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leksandrsapunov/Desktop/"/>
    </mc:Choice>
  </mc:AlternateContent>
  <xr:revisionPtr revIDLastSave="0" documentId="8_{A9939B5F-72E4-1C48-BE3A-054CE7C22C63}" xr6:coauthVersionLast="47" xr6:coauthVersionMax="47" xr10:uidLastSave="{00000000-0000-0000-0000-000000000000}"/>
  <bookViews>
    <workbookView xWindow="0" yWindow="760" windowWidth="28800" windowHeight="15700" activeTab="1" xr2:uid="{00000000-000D-0000-FFFF-FFFF00000000}"/>
  </bookViews>
  <sheets>
    <sheet name="Лист1" sheetId="1" r:id="rId1"/>
    <sheet name="СПИСОК СПОРТСМЕНОВ" sheetId="2" r:id="rId2"/>
  </sheets>
  <definedNames>
    <definedName name="_xlnm._FilterDatabase" localSheetId="0" hidden="1">Лист1!$A$1:$V$2951</definedName>
    <definedName name="_xlnm._FilterDatabase" localSheetId="1" hidden="1">'СПИСОК СПОРТСМЕНОВ'!$A$1:$Z$2950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52" i="2" l="1"/>
  <c r="I2952" i="2"/>
  <c r="K2950" i="2"/>
  <c r="I2950" i="2"/>
  <c r="K2949" i="2"/>
  <c r="I2949" i="2"/>
  <c r="K2948" i="2"/>
  <c r="I2948" i="2"/>
  <c r="K2947" i="2"/>
  <c r="I2947" i="2"/>
  <c r="K2946" i="2"/>
  <c r="I2946" i="2"/>
  <c r="K2945" i="2"/>
  <c r="I2945" i="2"/>
  <c r="K2944" i="2"/>
  <c r="I2944" i="2"/>
  <c r="K2943" i="2"/>
  <c r="I2943" i="2"/>
  <c r="K2942" i="2"/>
  <c r="I2942" i="2"/>
  <c r="K2941" i="2"/>
  <c r="I2941" i="2"/>
  <c r="K2940" i="2"/>
  <c r="I2940" i="2"/>
  <c r="K2939" i="2"/>
  <c r="I2939" i="2"/>
  <c r="K2938" i="2"/>
  <c r="I2938" i="2"/>
  <c r="K2937" i="2"/>
  <c r="I2937" i="2"/>
  <c r="K2936" i="2"/>
  <c r="I2936" i="2"/>
  <c r="K2935" i="2"/>
  <c r="I2935" i="2"/>
  <c r="K2934" i="2"/>
  <c r="I2934" i="2"/>
  <c r="K2933" i="2"/>
  <c r="I2933" i="2"/>
  <c r="K2932" i="2"/>
  <c r="I2932" i="2"/>
  <c r="K2931" i="2"/>
  <c r="I2931" i="2"/>
  <c r="K2930" i="2"/>
  <c r="I2930" i="2"/>
  <c r="K2929" i="2"/>
  <c r="I2929" i="2"/>
  <c r="K2928" i="2"/>
  <c r="I2928" i="2"/>
  <c r="K2927" i="2"/>
  <c r="I2927" i="2"/>
  <c r="K2926" i="2"/>
  <c r="I2926" i="2"/>
  <c r="K2925" i="2"/>
  <c r="I2925" i="2"/>
  <c r="K2924" i="2"/>
  <c r="I2924" i="2"/>
  <c r="K2923" i="2"/>
  <c r="I2923" i="2"/>
  <c r="K2922" i="2"/>
  <c r="I2922" i="2"/>
  <c r="K2921" i="2"/>
  <c r="I2921" i="2"/>
  <c r="K2920" i="2"/>
  <c r="I2920" i="2"/>
  <c r="K2919" i="2"/>
  <c r="I2919" i="2"/>
  <c r="K2918" i="2"/>
  <c r="I2918" i="2"/>
  <c r="K2917" i="2"/>
  <c r="I2917" i="2"/>
  <c r="K2916" i="2"/>
  <c r="I2916" i="2"/>
  <c r="K2915" i="2"/>
  <c r="I2915" i="2"/>
  <c r="K2914" i="2"/>
  <c r="I2914" i="2"/>
  <c r="K2913" i="2"/>
  <c r="I2913" i="2"/>
  <c r="K2912" i="2"/>
  <c r="I2912" i="2"/>
  <c r="K2911" i="2"/>
  <c r="I2911" i="2"/>
  <c r="K2910" i="2"/>
  <c r="I2910" i="2"/>
  <c r="K2909" i="2"/>
  <c r="I2909" i="2"/>
  <c r="K2908" i="2"/>
  <c r="I2908" i="2"/>
  <c r="K2907" i="2"/>
  <c r="I2907" i="2"/>
  <c r="K2906" i="2"/>
  <c r="I2906" i="2"/>
  <c r="K2905" i="2"/>
  <c r="I2905" i="2"/>
  <c r="K2904" i="2"/>
  <c r="I2904" i="2"/>
  <c r="K2903" i="2"/>
  <c r="I2903" i="2"/>
  <c r="K2902" i="2"/>
  <c r="I2902" i="2"/>
  <c r="K2901" i="2"/>
  <c r="I2901" i="2"/>
  <c r="K2900" i="2"/>
  <c r="I2900" i="2"/>
  <c r="K2899" i="2"/>
  <c r="I2899" i="2"/>
  <c r="K2898" i="2"/>
  <c r="I2898" i="2"/>
  <c r="K2897" i="2"/>
  <c r="I2897" i="2"/>
  <c r="K2896" i="2"/>
  <c r="I2896" i="2"/>
  <c r="K2895" i="2"/>
  <c r="I2895" i="2"/>
  <c r="K2894" i="2"/>
  <c r="I2894" i="2"/>
  <c r="K2893" i="2"/>
  <c r="I2893" i="2"/>
  <c r="K2892" i="2"/>
  <c r="I2892" i="2"/>
  <c r="K2891" i="2"/>
  <c r="I2891" i="2"/>
  <c r="K2890" i="2"/>
  <c r="I2890" i="2"/>
  <c r="K2889" i="2"/>
  <c r="I2889" i="2"/>
  <c r="K2888" i="2"/>
  <c r="I2888" i="2"/>
  <c r="K2887" i="2"/>
  <c r="I2887" i="2"/>
  <c r="K2886" i="2"/>
  <c r="I2886" i="2"/>
  <c r="K2885" i="2"/>
  <c r="I2885" i="2"/>
  <c r="K2884" i="2"/>
  <c r="I2884" i="2"/>
  <c r="K2883" i="2"/>
  <c r="I2883" i="2"/>
  <c r="K2882" i="2"/>
  <c r="I2882" i="2"/>
  <c r="K2881" i="2"/>
  <c r="I2881" i="2"/>
  <c r="K2880" i="2"/>
  <c r="I2880" i="2"/>
  <c r="K2879" i="2"/>
  <c r="I2879" i="2"/>
  <c r="K2878" i="2"/>
  <c r="I2878" i="2"/>
  <c r="K2877" i="2"/>
  <c r="I2877" i="2"/>
  <c r="K2876" i="2"/>
  <c r="I2876" i="2"/>
  <c r="K2875" i="2"/>
  <c r="I2875" i="2"/>
  <c r="K2874" i="2"/>
  <c r="I2874" i="2"/>
  <c r="K2873" i="2"/>
  <c r="I2873" i="2"/>
  <c r="K2872" i="2"/>
  <c r="I2872" i="2"/>
  <c r="K2871" i="2"/>
  <c r="I2871" i="2"/>
  <c r="K2870" i="2"/>
  <c r="I2870" i="2"/>
  <c r="K2869" i="2"/>
  <c r="I2869" i="2"/>
  <c r="K2868" i="2"/>
  <c r="I2868" i="2"/>
  <c r="K2867" i="2"/>
  <c r="I2867" i="2"/>
  <c r="K2866" i="2"/>
  <c r="I2866" i="2"/>
  <c r="K2865" i="2"/>
  <c r="I2865" i="2"/>
  <c r="K2864" i="2"/>
  <c r="I2864" i="2"/>
  <c r="K2863" i="2"/>
  <c r="I2863" i="2"/>
  <c r="K2862" i="2"/>
  <c r="I2862" i="2"/>
  <c r="K2861" i="2"/>
  <c r="I2861" i="2"/>
  <c r="K2860" i="2"/>
  <c r="I2860" i="2"/>
  <c r="K2859" i="2"/>
  <c r="I2859" i="2"/>
  <c r="K2858" i="2"/>
  <c r="I2858" i="2"/>
  <c r="K2857" i="2"/>
  <c r="I2857" i="2"/>
  <c r="K2856" i="2"/>
  <c r="I2856" i="2"/>
  <c r="K2855" i="2"/>
  <c r="I2855" i="2"/>
  <c r="K2854" i="2"/>
  <c r="I2854" i="2"/>
  <c r="K2853" i="2"/>
  <c r="I2853" i="2"/>
  <c r="K2852" i="2"/>
  <c r="I2852" i="2"/>
  <c r="K2851" i="2"/>
  <c r="I2851" i="2"/>
  <c r="K2850" i="2"/>
  <c r="I2850" i="2"/>
  <c r="K2849" i="2"/>
  <c r="I2849" i="2"/>
  <c r="K2848" i="2"/>
  <c r="I2848" i="2"/>
  <c r="K2847" i="2"/>
  <c r="I2847" i="2"/>
  <c r="K2846" i="2"/>
  <c r="I2846" i="2"/>
  <c r="K2845" i="2"/>
  <c r="I2845" i="2"/>
  <c r="K2844" i="2"/>
  <c r="I2844" i="2"/>
  <c r="K2843" i="2"/>
  <c r="I2843" i="2"/>
  <c r="K2842" i="2"/>
  <c r="I2842" i="2"/>
  <c r="K2841" i="2"/>
  <c r="I2841" i="2"/>
  <c r="K2840" i="2"/>
  <c r="I2840" i="2"/>
  <c r="K2839" i="2"/>
  <c r="I2839" i="2"/>
  <c r="K2838" i="2"/>
  <c r="I2838" i="2"/>
  <c r="K2837" i="2"/>
  <c r="I2837" i="2"/>
  <c r="K2836" i="2"/>
  <c r="I2836" i="2"/>
  <c r="K2835" i="2"/>
  <c r="I2835" i="2"/>
  <c r="K2834" i="2"/>
  <c r="I2834" i="2"/>
  <c r="K2833" i="2"/>
  <c r="I2833" i="2"/>
  <c r="K2832" i="2"/>
  <c r="I2832" i="2"/>
  <c r="K2831" i="2"/>
  <c r="I2831" i="2"/>
  <c r="K2830" i="2"/>
  <c r="I2830" i="2"/>
  <c r="K2829" i="2"/>
  <c r="I2829" i="2"/>
  <c r="K2828" i="2"/>
  <c r="I2828" i="2"/>
  <c r="K2827" i="2"/>
  <c r="I2827" i="2"/>
  <c r="K2826" i="2"/>
  <c r="I2826" i="2"/>
  <c r="K2825" i="2"/>
  <c r="I2825" i="2"/>
  <c r="K2824" i="2"/>
  <c r="I2824" i="2"/>
  <c r="K2823" i="2"/>
  <c r="I2823" i="2"/>
  <c r="K2822" i="2"/>
  <c r="I2822" i="2"/>
  <c r="K2821" i="2"/>
  <c r="I2821" i="2"/>
  <c r="K2820" i="2"/>
  <c r="I2820" i="2"/>
  <c r="K2819" i="2"/>
  <c r="I2819" i="2"/>
  <c r="K2818" i="2"/>
  <c r="I2818" i="2"/>
  <c r="K2817" i="2"/>
  <c r="I2817" i="2"/>
  <c r="K2816" i="2"/>
  <c r="I2816" i="2"/>
  <c r="K2815" i="2"/>
  <c r="I2815" i="2"/>
  <c r="K2814" i="2"/>
  <c r="I2814" i="2"/>
  <c r="K2813" i="2"/>
  <c r="I2813" i="2"/>
  <c r="K2812" i="2"/>
  <c r="I2812" i="2"/>
  <c r="K2811" i="2"/>
  <c r="I2811" i="2"/>
  <c r="K2810" i="2"/>
  <c r="I2810" i="2"/>
  <c r="K2809" i="2"/>
  <c r="I2809" i="2"/>
  <c r="K2808" i="2"/>
  <c r="I2808" i="2"/>
  <c r="K2807" i="2"/>
  <c r="I2807" i="2"/>
  <c r="K2806" i="2"/>
  <c r="I2806" i="2"/>
  <c r="K2805" i="2"/>
  <c r="I2805" i="2"/>
  <c r="K2804" i="2"/>
  <c r="I2804" i="2"/>
  <c r="K2803" i="2"/>
  <c r="I2803" i="2"/>
  <c r="K2802" i="2"/>
  <c r="I2802" i="2"/>
  <c r="K2801" i="2"/>
  <c r="I2801" i="2"/>
  <c r="K2800" i="2"/>
  <c r="I2800" i="2"/>
  <c r="K2799" i="2"/>
  <c r="I2799" i="2"/>
  <c r="K2798" i="2"/>
  <c r="I2798" i="2"/>
  <c r="K2797" i="2"/>
  <c r="I2797" i="2"/>
  <c r="K2796" i="2"/>
  <c r="I2796" i="2"/>
  <c r="K2795" i="2"/>
  <c r="I2795" i="2"/>
  <c r="K2794" i="2"/>
  <c r="I2794" i="2"/>
  <c r="K2793" i="2"/>
  <c r="I2793" i="2"/>
  <c r="K2791" i="2"/>
  <c r="I2791" i="2"/>
  <c r="K2790" i="2"/>
  <c r="I2790" i="2"/>
  <c r="K2789" i="2"/>
  <c r="I2789" i="2"/>
  <c r="K2788" i="2"/>
  <c r="I2788" i="2"/>
  <c r="K2787" i="2"/>
  <c r="I2787" i="2"/>
  <c r="K2786" i="2"/>
  <c r="I2786" i="2"/>
  <c r="K2785" i="2"/>
  <c r="I2785" i="2"/>
  <c r="K2784" i="2"/>
  <c r="I2784" i="2"/>
  <c r="K2783" i="2"/>
  <c r="I2783" i="2"/>
  <c r="K2782" i="2"/>
  <c r="I2782" i="2"/>
  <c r="K2781" i="2"/>
  <c r="I2781" i="2"/>
  <c r="K2780" i="2"/>
  <c r="I2780" i="2"/>
  <c r="K2779" i="2"/>
  <c r="I2779" i="2"/>
  <c r="K2778" i="2"/>
  <c r="I2778" i="2"/>
  <c r="K2777" i="2"/>
  <c r="I2777" i="2"/>
  <c r="K2776" i="2"/>
  <c r="I2776" i="2"/>
  <c r="K2775" i="2"/>
  <c r="I2775" i="2"/>
  <c r="K2774" i="2"/>
  <c r="I2774" i="2"/>
  <c r="K2773" i="2"/>
  <c r="I2773" i="2"/>
  <c r="K2772" i="2"/>
  <c r="I2772" i="2"/>
  <c r="K2771" i="2"/>
  <c r="I2771" i="2"/>
  <c r="K2770" i="2"/>
  <c r="I2770" i="2"/>
  <c r="K2769" i="2"/>
  <c r="I2769" i="2"/>
  <c r="K2768" i="2"/>
  <c r="I2768" i="2"/>
  <c r="K2767" i="2"/>
  <c r="I2767" i="2"/>
  <c r="K2766" i="2"/>
  <c r="I2766" i="2"/>
  <c r="K2765" i="2"/>
  <c r="I2765" i="2"/>
  <c r="K2764" i="2"/>
  <c r="I2764" i="2"/>
  <c r="K2763" i="2"/>
  <c r="I2763" i="2"/>
  <c r="K2762" i="2"/>
  <c r="I2762" i="2"/>
  <c r="K2761" i="2"/>
  <c r="I2761" i="2"/>
  <c r="K2760" i="2"/>
  <c r="I2760" i="2"/>
  <c r="K2759" i="2"/>
  <c r="I2759" i="2"/>
  <c r="K2758" i="2"/>
  <c r="I2758" i="2"/>
  <c r="K2757" i="2"/>
  <c r="I2757" i="2"/>
  <c r="K2756" i="2"/>
  <c r="I2756" i="2"/>
  <c r="K2755" i="2"/>
  <c r="I2755" i="2"/>
  <c r="K2754" i="2"/>
  <c r="I2754" i="2"/>
  <c r="K2753" i="2"/>
  <c r="I2753" i="2"/>
  <c r="K2752" i="2"/>
  <c r="I2752" i="2"/>
  <c r="K2751" i="2"/>
  <c r="I2751" i="2"/>
  <c r="K2750" i="2"/>
  <c r="I2750" i="2"/>
  <c r="K2749" i="2"/>
  <c r="I2749" i="2"/>
  <c r="K2748" i="2"/>
  <c r="I2748" i="2"/>
  <c r="K2747" i="2"/>
  <c r="I2747" i="2"/>
  <c r="K2746" i="2"/>
  <c r="I2746" i="2"/>
  <c r="K2745" i="2"/>
  <c r="I2745" i="2"/>
  <c r="K2744" i="2"/>
  <c r="I2744" i="2"/>
  <c r="K2743" i="2"/>
  <c r="I2743" i="2"/>
  <c r="K2742" i="2"/>
  <c r="I2742" i="2"/>
  <c r="K2741" i="2"/>
  <c r="I2741" i="2"/>
  <c r="K2740" i="2"/>
  <c r="I2740" i="2"/>
  <c r="K2739" i="2"/>
  <c r="I2739" i="2"/>
  <c r="K2738" i="2"/>
  <c r="I2738" i="2"/>
  <c r="K2737" i="2"/>
  <c r="I2737" i="2"/>
  <c r="K2736" i="2"/>
  <c r="I2736" i="2"/>
  <c r="K2735" i="2"/>
  <c r="I2735" i="2"/>
  <c r="K2734" i="2"/>
  <c r="I2734" i="2"/>
  <c r="K2733" i="2"/>
  <c r="I2733" i="2"/>
  <c r="K2732" i="2"/>
  <c r="I2732" i="2"/>
  <c r="K2731" i="2"/>
  <c r="I2731" i="2"/>
  <c r="K2730" i="2"/>
  <c r="I2730" i="2"/>
  <c r="K2729" i="2"/>
  <c r="I2729" i="2"/>
  <c r="K2728" i="2"/>
  <c r="I2728" i="2"/>
  <c r="K2727" i="2"/>
  <c r="I2727" i="2"/>
  <c r="K2726" i="2"/>
  <c r="I2726" i="2"/>
  <c r="K2725" i="2"/>
  <c r="I2725" i="2"/>
  <c r="K2724" i="2"/>
  <c r="I2724" i="2"/>
  <c r="K2723" i="2"/>
  <c r="I2723" i="2"/>
  <c r="K2722" i="2"/>
  <c r="I2722" i="2"/>
  <c r="K2721" i="2"/>
  <c r="I2721" i="2"/>
  <c r="K2720" i="2"/>
  <c r="I2720" i="2"/>
  <c r="K2719" i="2"/>
  <c r="I2719" i="2"/>
  <c r="K2718" i="2"/>
  <c r="I2718" i="2"/>
  <c r="K2717" i="2"/>
  <c r="I2717" i="2"/>
  <c r="K2716" i="2"/>
  <c r="I2716" i="2"/>
  <c r="K2715" i="2"/>
  <c r="I2715" i="2"/>
  <c r="K2714" i="2"/>
  <c r="I2714" i="2"/>
  <c r="K2713" i="2"/>
  <c r="I2713" i="2"/>
  <c r="K2712" i="2"/>
  <c r="I2712" i="2"/>
  <c r="K2711" i="2"/>
  <c r="I2711" i="2"/>
  <c r="K2710" i="2"/>
  <c r="I2710" i="2"/>
  <c r="K2709" i="2"/>
  <c r="I2709" i="2"/>
  <c r="K2708" i="2"/>
  <c r="I2708" i="2"/>
  <c r="K2707" i="2"/>
  <c r="I2707" i="2"/>
  <c r="K2706" i="2"/>
  <c r="I2706" i="2"/>
  <c r="K2705" i="2"/>
  <c r="I2705" i="2"/>
  <c r="K2704" i="2"/>
  <c r="I2704" i="2"/>
  <c r="K2703" i="2"/>
  <c r="I2703" i="2"/>
  <c r="K2702" i="2"/>
  <c r="I2702" i="2"/>
  <c r="K2701" i="2"/>
  <c r="I2701" i="2"/>
  <c r="K2700" i="2"/>
  <c r="I2700" i="2"/>
  <c r="K2699" i="2"/>
  <c r="I2699" i="2"/>
  <c r="K2698" i="2"/>
  <c r="I2698" i="2"/>
  <c r="K2697" i="2"/>
  <c r="I2697" i="2"/>
  <c r="K2696" i="2"/>
  <c r="I2696" i="2"/>
  <c r="K2695" i="2"/>
  <c r="I2695" i="2"/>
  <c r="K2694" i="2"/>
  <c r="I2694" i="2"/>
  <c r="K2693" i="2"/>
  <c r="I2693" i="2"/>
  <c r="K2692" i="2"/>
  <c r="I2692" i="2"/>
  <c r="K2691" i="2"/>
  <c r="I2691" i="2"/>
  <c r="K2690" i="2"/>
  <c r="I2690" i="2"/>
  <c r="K2689" i="2"/>
  <c r="I2689" i="2"/>
  <c r="K2688" i="2"/>
  <c r="I2688" i="2"/>
  <c r="K2687" i="2"/>
  <c r="I2687" i="2"/>
  <c r="K2686" i="2"/>
  <c r="I2686" i="2"/>
  <c r="K2685" i="2"/>
  <c r="I2685" i="2"/>
  <c r="K2684" i="2"/>
  <c r="I2684" i="2"/>
  <c r="K2683" i="2"/>
  <c r="I2683" i="2"/>
  <c r="K2682" i="2"/>
  <c r="I2682" i="2"/>
  <c r="K2681" i="2"/>
  <c r="I2681" i="2"/>
  <c r="K2680" i="2"/>
  <c r="I2680" i="2"/>
  <c r="K2679" i="2"/>
  <c r="I2679" i="2"/>
  <c r="K2678" i="2"/>
  <c r="I2678" i="2"/>
  <c r="K2677" i="2"/>
  <c r="I2677" i="2"/>
  <c r="K2676" i="2"/>
  <c r="I2676" i="2"/>
  <c r="K2675" i="2"/>
  <c r="I2675" i="2"/>
  <c r="K2674" i="2"/>
  <c r="I2674" i="2"/>
  <c r="K2673" i="2"/>
  <c r="I2673" i="2"/>
  <c r="K2672" i="2"/>
  <c r="I2672" i="2"/>
  <c r="K2671" i="2"/>
  <c r="I2671" i="2"/>
  <c r="K2670" i="2"/>
  <c r="I2670" i="2"/>
  <c r="K2669" i="2"/>
  <c r="I2669" i="2"/>
  <c r="K2668" i="2"/>
  <c r="I2668" i="2"/>
  <c r="K2667" i="2"/>
  <c r="I2667" i="2"/>
  <c r="K2666" i="2"/>
  <c r="I2666" i="2"/>
  <c r="K2665" i="2"/>
  <c r="I2665" i="2"/>
  <c r="K2664" i="2"/>
  <c r="I2664" i="2"/>
  <c r="K2663" i="2"/>
  <c r="I2663" i="2"/>
  <c r="K2662" i="2"/>
  <c r="I2662" i="2"/>
  <c r="K2661" i="2"/>
  <c r="I2661" i="2"/>
  <c r="K2660" i="2"/>
  <c r="I2660" i="2"/>
  <c r="K2659" i="2"/>
  <c r="I2659" i="2"/>
  <c r="K2658" i="2"/>
  <c r="I2658" i="2"/>
  <c r="K2657" i="2"/>
  <c r="I2657" i="2"/>
  <c r="K2656" i="2"/>
  <c r="I2656" i="2"/>
  <c r="K2655" i="2"/>
  <c r="I2655" i="2"/>
  <c r="K2654" i="2"/>
  <c r="I2654" i="2"/>
  <c r="K2653" i="2"/>
  <c r="I2653" i="2"/>
  <c r="K2652" i="2"/>
  <c r="I2652" i="2"/>
  <c r="K2651" i="2"/>
  <c r="I2651" i="2"/>
  <c r="K2650" i="2"/>
  <c r="I2650" i="2"/>
  <c r="K2649" i="2"/>
  <c r="I2649" i="2"/>
  <c r="K2648" i="2"/>
  <c r="I2648" i="2"/>
  <c r="K2647" i="2"/>
  <c r="I2647" i="2"/>
  <c r="K2646" i="2"/>
  <c r="I2646" i="2"/>
  <c r="K2645" i="2"/>
  <c r="I2645" i="2"/>
  <c r="K2644" i="2"/>
  <c r="I2644" i="2"/>
  <c r="K2643" i="2"/>
  <c r="I2643" i="2"/>
  <c r="K2642" i="2"/>
  <c r="I2642" i="2"/>
  <c r="K2641" i="2"/>
  <c r="I2641" i="2"/>
  <c r="K2640" i="2"/>
  <c r="I2640" i="2"/>
  <c r="K2639" i="2"/>
  <c r="I2639" i="2"/>
  <c r="K2638" i="2"/>
  <c r="I2638" i="2"/>
  <c r="K2637" i="2"/>
  <c r="I2637" i="2"/>
  <c r="K2636" i="2"/>
  <c r="I2636" i="2"/>
  <c r="K2635" i="2"/>
  <c r="I2635" i="2"/>
  <c r="K2634" i="2"/>
  <c r="I2634" i="2"/>
  <c r="K2633" i="2"/>
  <c r="I2633" i="2"/>
  <c r="K2632" i="2"/>
  <c r="I2632" i="2"/>
  <c r="K2631" i="2"/>
  <c r="I2631" i="2"/>
  <c r="K2630" i="2"/>
  <c r="I2630" i="2"/>
  <c r="K2629" i="2"/>
  <c r="I2629" i="2"/>
  <c r="K2628" i="2"/>
  <c r="I2628" i="2"/>
  <c r="K2627" i="2"/>
  <c r="I2627" i="2"/>
  <c r="K2626" i="2"/>
  <c r="I2626" i="2"/>
  <c r="K2625" i="2"/>
  <c r="I2625" i="2"/>
  <c r="K2624" i="2"/>
  <c r="I2624" i="2"/>
  <c r="K2623" i="2"/>
  <c r="I2623" i="2"/>
  <c r="K2622" i="2"/>
  <c r="I2622" i="2"/>
  <c r="K2621" i="2"/>
  <c r="I2621" i="2"/>
  <c r="K2620" i="2"/>
  <c r="I2620" i="2"/>
  <c r="K2619" i="2"/>
  <c r="I2619" i="2"/>
  <c r="K2618" i="2"/>
  <c r="I2618" i="2"/>
  <c r="K2617" i="2"/>
  <c r="I2617" i="2"/>
  <c r="K2616" i="2"/>
  <c r="I2616" i="2"/>
  <c r="K2615" i="2"/>
  <c r="I2615" i="2"/>
  <c r="K2614" i="2"/>
  <c r="I2614" i="2"/>
  <c r="K2613" i="2"/>
  <c r="I2613" i="2"/>
  <c r="K2612" i="2"/>
  <c r="I2612" i="2"/>
  <c r="K2611" i="2"/>
  <c r="I2611" i="2"/>
  <c r="K2610" i="2"/>
  <c r="I2610" i="2"/>
  <c r="K2609" i="2"/>
  <c r="I2609" i="2"/>
  <c r="K2608" i="2"/>
  <c r="I2608" i="2"/>
  <c r="K2607" i="2"/>
  <c r="I2607" i="2"/>
  <c r="K2606" i="2"/>
  <c r="I2606" i="2"/>
  <c r="K2605" i="2"/>
  <c r="I2605" i="2"/>
  <c r="K2604" i="2"/>
  <c r="I2604" i="2"/>
  <c r="K2603" i="2"/>
  <c r="I2603" i="2"/>
  <c r="K2602" i="2"/>
  <c r="I2602" i="2"/>
  <c r="K2601" i="2"/>
  <c r="I2601" i="2"/>
  <c r="K2600" i="2"/>
  <c r="I2600" i="2"/>
  <c r="K2599" i="2"/>
  <c r="I2599" i="2"/>
  <c r="K2598" i="2"/>
  <c r="I2598" i="2"/>
  <c r="K2597" i="2"/>
  <c r="I2597" i="2"/>
  <c r="K2596" i="2"/>
  <c r="I2596" i="2"/>
  <c r="K2595" i="2"/>
  <c r="I2595" i="2"/>
  <c r="K2594" i="2"/>
  <c r="I2594" i="2"/>
  <c r="K2593" i="2"/>
  <c r="I2593" i="2"/>
  <c r="K2592" i="2"/>
  <c r="I2592" i="2"/>
  <c r="K2591" i="2"/>
  <c r="I2591" i="2"/>
  <c r="K2590" i="2"/>
  <c r="I2590" i="2"/>
  <c r="K2589" i="2"/>
  <c r="I2589" i="2"/>
  <c r="K2588" i="2"/>
  <c r="I2588" i="2"/>
  <c r="K2587" i="2"/>
  <c r="I2587" i="2"/>
  <c r="K2586" i="2"/>
  <c r="I2586" i="2"/>
  <c r="K2585" i="2"/>
  <c r="I2585" i="2"/>
  <c r="K2584" i="2"/>
  <c r="I2584" i="2"/>
  <c r="K2583" i="2"/>
  <c r="I2583" i="2"/>
  <c r="K2582" i="2"/>
  <c r="I2582" i="2"/>
  <c r="K2581" i="2"/>
  <c r="I2581" i="2"/>
  <c r="K2580" i="2"/>
  <c r="I2580" i="2"/>
  <c r="K2579" i="2"/>
  <c r="I2579" i="2"/>
  <c r="K2578" i="2"/>
  <c r="I2578" i="2"/>
  <c r="K2577" i="2"/>
  <c r="I2577" i="2"/>
  <c r="K2576" i="2"/>
  <c r="I2576" i="2"/>
  <c r="K2575" i="2"/>
  <c r="I2575" i="2"/>
  <c r="K2574" i="2"/>
  <c r="I2574" i="2"/>
  <c r="K2573" i="2"/>
  <c r="I2573" i="2"/>
  <c r="K2572" i="2"/>
  <c r="I2572" i="2"/>
  <c r="K2571" i="2"/>
  <c r="I2571" i="2"/>
  <c r="K2570" i="2"/>
  <c r="I2570" i="2"/>
  <c r="K2569" i="2"/>
  <c r="I2569" i="2"/>
  <c r="K2568" i="2"/>
  <c r="I2568" i="2"/>
  <c r="K2567" i="2"/>
  <c r="I2567" i="2"/>
  <c r="K2566" i="2"/>
  <c r="I2566" i="2"/>
  <c r="K2565" i="2"/>
  <c r="I2565" i="2"/>
  <c r="K2564" i="2"/>
  <c r="I2564" i="2"/>
  <c r="K2563" i="2"/>
  <c r="I2563" i="2"/>
  <c r="K2562" i="2"/>
  <c r="I2562" i="2"/>
  <c r="K2561" i="2"/>
  <c r="I2561" i="2"/>
  <c r="K2560" i="2"/>
  <c r="I2560" i="2"/>
  <c r="K2559" i="2"/>
  <c r="I2559" i="2"/>
  <c r="K2558" i="2"/>
  <c r="I2558" i="2"/>
  <c r="K2557" i="2"/>
  <c r="I2557" i="2"/>
  <c r="K2556" i="2"/>
  <c r="I2556" i="2"/>
  <c r="K2555" i="2"/>
  <c r="I2555" i="2"/>
  <c r="K2554" i="2"/>
  <c r="I2554" i="2"/>
  <c r="K2553" i="2"/>
  <c r="I2553" i="2"/>
  <c r="K2552" i="2"/>
  <c r="I2552" i="2"/>
  <c r="K2551" i="2"/>
  <c r="I2551" i="2"/>
  <c r="K2550" i="2"/>
  <c r="I2550" i="2"/>
  <c r="K2549" i="2"/>
  <c r="I2549" i="2"/>
  <c r="K2548" i="2"/>
  <c r="I2548" i="2"/>
  <c r="K2547" i="2"/>
  <c r="I2547" i="2"/>
  <c r="K2546" i="2"/>
  <c r="I2546" i="2"/>
  <c r="K2545" i="2"/>
  <c r="I2545" i="2"/>
  <c r="K2544" i="2"/>
  <c r="I2544" i="2"/>
  <c r="K2543" i="2"/>
  <c r="I2543" i="2"/>
  <c r="K2542" i="2"/>
  <c r="I2542" i="2"/>
  <c r="K2541" i="2"/>
  <c r="I2541" i="2"/>
  <c r="K2540" i="2"/>
  <c r="I2540" i="2"/>
  <c r="K2539" i="2"/>
  <c r="I2539" i="2"/>
  <c r="K2538" i="2"/>
  <c r="I2538" i="2"/>
  <c r="K2537" i="2"/>
  <c r="I2537" i="2"/>
  <c r="K2536" i="2"/>
  <c r="I2536" i="2"/>
  <c r="K2535" i="2"/>
  <c r="I2535" i="2"/>
  <c r="K2534" i="2"/>
  <c r="I2534" i="2"/>
  <c r="K2533" i="2"/>
  <c r="I2533" i="2"/>
  <c r="K2532" i="2"/>
  <c r="I2532" i="2"/>
  <c r="K2531" i="2"/>
  <c r="I2531" i="2"/>
  <c r="K2530" i="2"/>
  <c r="I2530" i="2"/>
  <c r="K2529" i="2"/>
  <c r="I2529" i="2"/>
  <c r="K2528" i="2"/>
  <c r="I2528" i="2"/>
  <c r="K2527" i="2"/>
  <c r="I2527" i="2"/>
  <c r="K2526" i="2"/>
  <c r="I2526" i="2"/>
  <c r="K2525" i="2"/>
  <c r="I2525" i="2"/>
  <c r="K2524" i="2"/>
  <c r="I2524" i="2"/>
  <c r="K2523" i="2"/>
  <c r="I2523" i="2"/>
  <c r="K2522" i="2"/>
  <c r="I2522" i="2"/>
  <c r="K2521" i="2"/>
  <c r="I2521" i="2"/>
  <c r="K2520" i="2"/>
  <c r="I2520" i="2"/>
  <c r="K2519" i="2"/>
  <c r="I2519" i="2"/>
  <c r="K2518" i="2"/>
  <c r="I2518" i="2"/>
  <c r="K2517" i="2"/>
  <c r="I2517" i="2"/>
  <c r="K2516" i="2"/>
  <c r="I2516" i="2"/>
  <c r="K2515" i="2"/>
  <c r="I2515" i="2"/>
  <c r="K2514" i="2"/>
  <c r="I2514" i="2"/>
  <c r="K2513" i="2"/>
  <c r="I2513" i="2"/>
  <c r="K2512" i="2"/>
  <c r="I2512" i="2"/>
  <c r="K2511" i="2"/>
  <c r="I2511" i="2"/>
  <c r="K2510" i="2"/>
  <c r="I2510" i="2"/>
  <c r="K2509" i="2"/>
  <c r="I2509" i="2"/>
  <c r="K2508" i="2"/>
  <c r="I2508" i="2"/>
  <c r="K2507" i="2"/>
  <c r="I2507" i="2"/>
  <c r="K2506" i="2"/>
  <c r="I2506" i="2"/>
  <c r="K2505" i="2"/>
  <c r="I2505" i="2"/>
  <c r="K2504" i="2"/>
  <c r="I2504" i="2"/>
  <c r="K2503" i="2"/>
  <c r="I2503" i="2"/>
  <c r="K2502" i="2"/>
  <c r="I2502" i="2"/>
  <c r="K2501" i="2"/>
  <c r="I2501" i="2"/>
  <c r="K2500" i="2"/>
  <c r="I2500" i="2"/>
  <c r="K2499" i="2"/>
  <c r="I2499" i="2"/>
  <c r="K2498" i="2"/>
  <c r="I2498" i="2"/>
  <c r="K2497" i="2"/>
  <c r="I2497" i="2"/>
  <c r="K2496" i="2"/>
  <c r="I2496" i="2"/>
  <c r="K2495" i="2"/>
  <c r="I2495" i="2"/>
  <c r="K2494" i="2"/>
  <c r="I2494" i="2"/>
  <c r="K2493" i="2"/>
  <c r="I2493" i="2"/>
  <c r="K2492" i="2"/>
  <c r="I2492" i="2"/>
  <c r="K2491" i="2"/>
  <c r="I2491" i="2"/>
  <c r="K2490" i="2"/>
  <c r="I2490" i="2"/>
  <c r="K2489" i="2"/>
  <c r="I2489" i="2"/>
  <c r="K2488" i="2"/>
  <c r="I2488" i="2"/>
  <c r="K2487" i="2"/>
  <c r="I2487" i="2"/>
  <c r="K2486" i="2"/>
  <c r="I2486" i="2"/>
  <c r="K2485" i="2"/>
  <c r="I2485" i="2"/>
  <c r="K2484" i="2"/>
  <c r="I2484" i="2"/>
  <c r="K2483" i="2"/>
  <c r="I2483" i="2"/>
  <c r="K2482" i="2"/>
  <c r="I2482" i="2"/>
  <c r="K2481" i="2"/>
  <c r="I2481" i="2"/>
  <c r="K2480" i="2"/>
  <c r="I2480" i="2"/>
  <c r="K2479" i="2"/>
  <c r="I2479" i="2"/>
  <c r="K2478" i="2"/>
  <c r="I2478" i="2"/>
  <c r="K2477" i="2"/>
  <c r="I2477" i="2"/>
  <c r="K2476" i="2"/>
  <c r="I2476" i="2"/>
  <c r="K2475" i="2"/>
  <c r="I2475" i="2"/>
  <c r="K2474" i="2"/>
  <c r="I2474" i="2"/>
  <c r="K2473" i="2"/>
  <c r="I2473" i="2"/>
  <c r="K2472" i="2"/>
  <c r="I2472" i="2"/>
  <c r="K2471" i="2"/>
  <c r="I2471" i="2"/>
  <c r="K2470" i="2"/>
  <c r="I2470" i="2"/>
  <c r="K2469" i="2"/>
  <c r="I2469" i="2"/>
  <c r="K2468" i="2"/>
  <c r="I2468" i="2"/>
  <c r="K2467" i="2"/>
  <c r="I2467" i="2"/>
  <c r="K2466" i="2"/>
  <c r="I2466" i="2"/>
  <c r="K2465" i="2"/>
  <c r="I2465" i="2"/>
  <c r="K2464" i="2"/>
  <c r="I2464" i="2"/>
  <c r="K2463" i="2"/>
  <c r="I2463" i="2"/>
  <c r="K2462" i="2"/>
  <c r="I2462" i="2"/>
  <c r="K2461" i="2"/>
  <c r="I2461" i="2"/>
  <c r="K2460" i="2"/>
  <c r="I2460" i="2"/>
  <c r="K2459" i="2"/>
  <c r="I2459" i="2"/>
  <c r="K2458" i="2"/>
  <c r="I2458" i="2"/>
  <c r="K2457" i="2"/>
  <c r="I2457" i="2"/>
  <c r="K2456" i="2"/>
  <c r="I2456" i="2"/>
  <c r="K2455" i="2"/>
  <c r="I2455" i="2"/>
  <c r="K2454" i="2"/>
  <c r="I2454" i="2"/>
  <c r="K2453" i="2"/>
  <c r="I2453" i="2"/>
  <c r="K2452" i="2"/>
  <c r="I2452" i="2"/>
  <c r="K2451" i="2"/>
  <c r="I2451" i="2"/>
  <c r="K2450" i="2"/>
  <c r="I2450" i="2"/>
  <c r="K2449" i="2"/>
  <c r="I2449" i="2"/>
  <c r="K2448" i="2"/>
  <c r="I2448" i="2"/>
  <c r="K2447" i="2"/>
  <c r="I2447" i="2"/>
  <c r="K2446" i="2"/>
  <c r="I2446" i="2"/>
  <c r="K2445" i="2"/>
  <c r="I2445" i="2"/>
  <c r="K2444" i="2"/>
  <c r="I2444" i="2"/>
  <c r="K2443" i="2"/>
  <c r="I2443" i="2"/>
  <c r="K2442" i="2"/>
  <c r="I2442" i="2"/>
  <c r="K2441" i="2"/>
  <c r="I2441" i="2"/>
  <c r="K2440" i="2"/>
  <c r="I2440" i="2"/>
  <c r="K2439" i="2"/>
  <c r="I2439" i="2"/>
  <c r="K2438" i="2"/>
  <c r="I2438" i="2"/>
  <c r="K2437" i="2"/>
  <c r="I2437" i="2"/>
  <c r="K2436" i="2"/>
  <c r="I2436" i="2"/>
  <c r="K2435" i="2"/>
  <c r="I2435" i="2"/>
  <c r="K2434" i="2"/>
  <c r="I2434" i="2"/>
  <c r="K2433" i="2"/>
  <c r="I2433" i="2"/>
  <c r="K2432" i="2"/>
  <c r="I2432" i="2"/>
  <c r="K2431" i="2"/>
  <c r="I2431" i="2"/>
  <c r="K2430" i="2"/>
  <c r="I2430" i="2"/>
  <c r="K2429" i="2"/>
  <c r="I2429" i="2"/>
  <c r="K2428" i="2"/>
  <c r="I2428" i="2"/>
  <c r="K2427" i="2"/>
  <c r="I2427" i="2"/>
  <c r="K2426" i="2"/>
  <c r="I2426" i="2"/>
  <c r="K2425" i="2"/>
  <c r="I2425" i="2"/>
  <c r="K2424" i="2"/>
  <c r="I2424" i="2"/>
  <c r="K2423" i="2"/>
  <c r="I2423" i="2"/>
  <c r="K2422" i="2"/>
  <c r="I2422" i="2"/>
  <c r="K2421" i="2"/>
  <c r="I2421" i="2"/>
  <c r="K2420" i="2"/>
  <c r="I2420" i="2"/>
  <c r="K2419" i="2"/>
  <c r="I2419" i="2"/>
  <c r="K2418" i="2"/>
  <c r="I2418" i="2"/>
  <c r="K2417" i="2"/>
  <c r="I2417" i="2"/>
  <c r="K2416" i="2"/>
  <c r="I2416" i="2"/>
  <c r="K2415" i="2"/>
  <c r="I2415" i="2"/>
  <c r="K2414" i="2"/>
  <c r="I2414" i="2"/>
  <c r="K2413" i="2"/>
  <c r="I2413" i="2"/>
  <c r="K2412" i="2"/>
  <c r="I2412" i="2"/>
  <c r="K2411" i="2"/>
  <c r="I2411" i="2"/>
  <c r="K2410" i="2"/>
  <c r="I2410" i="2"/>
  <c r="K2409" i="2"/>
  <c r="I2409" i="2"/>
  <c r="K2408" i="2"/>
  <c r="I2408" i="2"/>
  <c r="K2407" i="2"/>
  <c r="I2407" i="2"/>
  <c r="K2406" i="2"/>
  <c r="I2406" i="2"/>
  <c r="K2405" i="2"/>
  <c r="I2405" i="2"/>
  <c r="K2404" i="2"/>
  <c r="I2404" i="2"/>
  <c r="K2403" i="2"/>
  <c r="I2403" i="2"/>
  <c r="K2402" i="2"/>
  <c r="I2402" i="2"/>
  <c r="K2401" i="2"/>
  <c r="I2401" i="2"/>
  <c r="K2400" i="2"/>
  <c r="I2400" i="2"/>
  <c r="K2399" i="2"/>
  <c r="I2399" i="2"/>
  <c r="K2398" i="2"/>
  <c r="I2398" i="2"/>
  <c r="K2397" i="2"/>
  <c r="I2397" i="2"/>
  <c r="K2396" i="2"/>
  <c r="I2396" i="2"/>
  <c r="K2395" i="2"/>
  <c r="I2395" i="2"/>
  <c r="K2394" i="2"/>
  <c r="I2394" i="2"/>
  <c r="K2393" i="2"/>
  <c r="I2393" i="2"/>
  <c r="K2392" i="2"/>
  <c r="I2392" i="2"/>
  <c r="K2391" i="2"/>
  <c r="I2391" i="2"/>
  <c r="K2390" i="2"/>
  <c r="I2390" i="2"/>
  <c r="K2389" i="2"/>
  <c r="I2389" i="2"/>
  <c r="K2388" i="2"/>
  <c r="I2388" i="2"/>
  <c r="K2387" i="2"/>
  <c r="I2387" i="2"/>
  <c r="K2386" i="2"/>
  <c r="I2386" i="2"/>
  <c r="K2385" i="2"/>
  <c r="I2385" i="2"/>
  <c r="K2384" i="2"/>
  <c r="I2384" i="2"/>
  <c r="K2383" i="2"/>
  <c r="I2383" i="2"/>
  <c r="K2382" i="2"/>
  <c r="I2382" i="2"/>
  <c r="K2381" i="2"/>
  <c r="I2381" i="2"/>
  <c r="K2380" i="2"/>
  <c r="I2380" i="2"/>
  <c r="K2379" i="2"/>
  <c r="I2379" i="2"/>
  <c r="K2378" i="2"/>
  <c r="I2378" i="2"/>
  <c r="K2377" i="2"/>
  <c r="I2377" i="2"/>
  <c r="K2376" i="2"/>
  <c r="I2376" i="2"/>
  <c r="K2375" i="2"/>
  <c r="I2375" i="2"/>
  <c r="K2374" i="2"/>
  <c r="I2374" i="2"/>
  <c r="K2373" i="2"/>
  <c r="I2373" i="2"/>
  <c r="K2372" i="2"/>
  <c r="I2372" i="2"/>
  <c r="K2371" i="2"/>
  <c r="I2371" i="2"/>
  <c r="K2370" i="2"/>
  <c r="I2370" i="2"/>
  <c r="K2369" i="2"/>
  <c r="I2369" i="2"/>
  <c r="K2368" i="2"/>
  <c r="I2368" i="2"/>
  <c r="K2367" i="2"/>
  <c r="I2367" i="2"/>
  <c r="K2366" i="2"/>
  <c r="I2366" i="2"/>
  <c r="K2365" i="2"/>
  <c r="I2365" i="2"/>
  <c r="K2364" i="2"/>
  <c r="I2364" i="2"/>
  <c r="K2363" i="2"/>
  <c r="I2363" i="2"/>
  <c r="K2362" i="2"/>
  <c r="I2362" i="2"/>
  <c r="K2361" i="2"/>
  <c r="I2361" i="2"/>
  <c r="K2360" i="2"/>
  <c r="I2360" i="2"/>
  <c r="K2359" i="2"/>
  <c r="I2359" i="2"/>
  <c r="K2358" i="2"/>
  <c r="I2358" i="2"/>
  <c r="K2357" i="2"/>
  <c r="I2357" i="2"/>
  <c r="K2356" i="2"/>
  <c r="I2356" i="2"/>
  <c r="K2355" i="2"/>
  <c r="I2355" i="2"/>
  <c r="K2354" i="2"/>
  <c r="I2354" i="2"/>
  <c r="K2353" i="2"/>
  <c r="I2353" i="2"/>
  <c r="K2352" i="2"/>
  <c r="I2352" i="2"/>
  <c r="K2351" i="2"/>
  <c r="I2351" i="2"/>
  <c r="K2350" i="2"/>
  <c r="I2350" i="2"/>
  <c r="K2349" i="2"/>
  <c r="I2349" i="2"/>
  <c r="K2348" i="2"/>
  <c r="I2348" i="2"/>
  <c r="K2347" i="2"/>
  <c r="I2347" i="2"/>
  <c r="K2346" i="2"/>
  <c r="I2346" i="2"/>
  <c r="K2345" i="2"/>
  <c r="I2345" i="2"/>
  <c r="K2344" i="2"/>
  <c r="I2344" i="2"/>
  <c r="K2343" i="2"/>
  <c r="I2343" i="2"/>
  <c r="K2342" i="2"/>
  <c r="I2342" i="2"/>
  <c r="K2341" i="2"/>
  <c r="I2341" i="2"/>
  <c r="K2340" i="2"/>
  <c r="I2340" i="2"/>
  <c r="K2339" i="2"/>
  <c r="I2339" i="2"/>
  <c r="K2338" i="2"/>
  <c r="I2338" i="2"/>
  <c r="K2337" i="2"/>
  <c r="I2337" i="2"/>
  <c r="K2336" i="2"/>
  <c r="I2336" i="2"/>
  <c r="K2335" i="2"/>
  <c r="I2335" i="2"/>
  <c r="K2334" i="2"/>
  <c r="I2334" i="2"/>
  <c r="K2333" i="2"/>
  <c r="I2333" i="2"/>
  <c r="K2332" i="2"/>
  <c r="I2332" i="2"/>
  <c r="K2331" i="2"/>
  <c r="I2331" i="2"/>
  <c r="K2330" i="2"/>
  <c r="I2330" i="2"/>
  <c r="K2329" i="2"/>
  <c r="I2329" i="2"/>
  <c r="K2328" i="2"/>
  <c r="I2328" i="2"/>
  <c r="K2327" i="2"/>
  <c r="I2327" i="2"/>
  <c r="K2326" i="2"/>
  <c r="I2326" i="2"/>
  <c r="K2325" i="2"/>
  <c r="I2325" i="2"/>
  <c r="K2324" i="2"/>
  <c r="I2324" i="2"/>
  <c r="K2323" i="2"/>
  <c r="I2323" i="2"/>
  <c r="K2322" i="2"/>
  <c r="I2322" i="2"/>
  <c r="K2321" i="2"/>
  <c r="I2321" i="2"/>
  <c r="K2320" i="2"/>
  <c r="I2320" i="2"/>
  <c r="K2319" i="2"/>
  <c r="I2319" i="2"/>
  <c r="K2318" i="2"/>
  <c r="I2318" i="2"/>
  <c r="K2317" i="2"/>
  <c r="I2317" i="2"/>
  <c r="K2316" i="2"/>
  <c r="I2316" i="2"/>
  <c r="K2315" i="2"/>
  <c r="I2315" i="2"/>
  <c r="K2314" i="2"/>
  <c r="I2314" i="2"/>
  <c r="K2313" i="2"/>
  <c r="I2313" i="2"/>
  <c r="K2312" i="2"/>
  <c r="I2312" i="2"/>
  <c r="K2311" i="2"/>
  <c r="I2311" i="2"/>
  <c r="K2310" i="2"/>
  <c r="I2310" i="2"/>
  <c r="K2309" i="2"/>
  <c r="I2309" i="2"/>
  <c r="K2308" i="2"/>
  <c r="I2308" i="2"/>
  <c r="K2307" i="2"/>
  <c r="I2307" i="2"/>
  <c r="K2306" i="2"/>
  <c r="I2306" i="2"/>
  <c r="K2305" i="2"/>
  <c r="I2305" i="2"/>
  <c r="K2304" i="2"/>
  <c r="I2304" i="2"/>
  <c r="K2303" i="2"/>
  <c r="I2303" i="2"/>
  <c r="K2302" i="2"/>
  <c r="I2302" i="2"/>
  <c r="K2301" i="2"/>
  <c r="I2301" i="2"/>
  <c r="K2300" i="2"/>
  <c r="I2300" i="2"/>
  <c r="K2299" i="2"/>
  <c r="I2299" i="2"/>
  <c r="K2298" i="2"/>
  <c r="I2298" i="2"/>
  <c r="K2297" i="2"/>
  <c r="I2297" i="2"/>
  <c r="K2296" i="2"/>
  <c r="I2296" i="2"/>
  <c r="K2295" i="2"/>
  <c r="I2295" i="2"/>
  <c r="K2294" i="2"/>
  <c r="I2294" i="2"/>
  <c r="K2293" i="2"/>
  <c r="I2293" i="2"/>
  <c r="K2292" i="2"/>
  <c r="I2292" i="2"/>
  <c r="K2291" i="2"/>
  <c r="I2291" i="2"/>
  <c r="K2290" i="2"/>
  <c r="I2290" i="2"/>
  <c r="K2289" i="2"/>
  <c r="I2289" i="2"/>
  <c r="K2288" i="2"/>
  <c r="I2288" i="2"/>
  <c r="K2287" i="2"/>
  <c r="I2287" i="2"/>
  <c r="K2286" i="2"/>
  <c r="I2286" i="2"/>
  <c r="K2285" i="2"/>
  <c r="I2285" i="2"/>
  <c r="K2284" i="2"/>
  <c r="I2284" i="2"/>
  <c r="K2283" i="2"/>
  <c r="I2283" i="2"/>
  <c r="K2282" i="2"/>
  <c r="I2282" i="2"/>
  <c r="K2281" i="2"/>
  <c r="I2281" i="2"/>
  <c r="K2280" i="2"/>
  <c r="I2280" i="2"/>
  <c r="K2279" i="2"/>
  <c r="I2279" i="2"/>
  <c r="K2278" i="2"/>
  <c r="I2278" i="2"/>
  <c r="K2277" i="2"/>
  <c r="I2277" i="2"/>
  <c r="K2276" i="2"/>
  <c r="I2276" i="2"/>
  <c r="K2275" i="2"/>
  <c r="I2275" i="2"/>
  <c r="K2274" i="2"/>
  <c r="I2274" i="2"/>
  <c r="K2273" i="2"/>
  <c r="I2273" i="2"/>
  <c r="K2272" i="2"/>
  <c r="I2272" i="2"/>
  <c r="K2271" i="2"/>
  <c r="I2271" i="2"/>
  <c r="K2270" i="2"/>
  <c r="I2270" i="2"/>
  <c r="K2269" i="2"/>
  <c r="I2269" i="2"/>
  <c r="K2268" i="2"/>
  <c r="I2268" i="2"/>
  <c r="K2267" i="2"/>
  <c r="I2267" i="2"/>
  <c r="K2266" i="2"/>
  <c r="I2266" i="2"/>
  <c r="K2265" i="2"/>
  <c r="I2265" i="2"/>
  <c r="K2264" i="2"/>
  <c r="I2264" i="2"/>
  <c r="K2263" i="2"/>
  <c r="I2263" i="2"/>
  <c r="K2262" i="2"/>
  <c r="I2262" i="2"/>
  <c r="K2261" i="2"/>
  <c r="I2261" i="2"/>
  <c r="K2260" i="2"/>
  <c r="I2260" i="2"/>
  <c r="K2259" i="2"/>
  <c r="I2259" i="2"/>
  <c r="K2258" i="2"/>
  <c r="I2258" i="2"/>
  <c r="K2257" i="2"/>
  <c r="I2257" i="2"/>
  <c r="K2256" i="2"/>
  <c r="I2256" i="2"/>
  <c r="K2255" i="2"/>
  <c r="I2255" i="2"/>
  <c r="K2254" i="2"/>
  <c r="I2254" i="2"/>
  <c r="K2253" i="2"/>
  <c r="I2253" i="2"/>
  <c r="K2252" i="2"/>
  <c r="I2252" i="2"/>
  <c r="K2251" i="2"/>
  <c r="I2251" i="2"/>
  <c r="K2250" i="2"/>
  <c r="I2250" i="2"/>
  <c r="K2249" i="2"/>
  <c r="I2249" i="2"/>
  <c r="K2248" i="2"/>
  <c r="I2248" i="2"/>
  <c r="K2247" i="2"/>
  <c r="I2247" i="2"/>
  <c r="K2246" i="2"/>
  <c r="I2246" i="2"/>
  <c r="K2245" i="2"/>
  <c r="I2245" i="2"/>
  <c r="K2244" i="2"/>
  <c r="I2244" i="2"/>
  <c r="K2243" i="2"/>
  <c r="I2243" i="2"/>
  <c r="K2242" i="2"/>
  <c r="I2242" i="2"/>
  <c r="K2241" i="2"/>
  <c r="I2241" i="2"/>
  <c r="K2240" i="2"/>
  <c r="I2240" i="2"/>
  <c r="K2239" i="2"/>
  <c r="I2239" i="2"/>
  <c r="K2238" i="2"/>
  <c r="I2238" i="2"/>
  <c r="K2237" i="2"/>
  <c r="I2237" i="2"/>
  <c r="K2236" i="2"/>
  <c r="I2236" i="2"/>
  <c r="K2235" i="2"/>
  <c r="I2235" i="2"/>
  <c r="K2234" i="2"/>
  <c r="I2234" i="2"/>
  <c r="K2233" i="2"/>
  <c r="I2233" i="2"/>
  <c r="K2232" i="2"/>
  <c r="I2232" i="2"/>
  <c r="K2231" i="2"/>
  <c r="I2231" i="2"/>
  <c r="K2230" i="2"/>
  <c r="I2230" i="2"/>
  <c r="K2229" i="2"/>
  <c r="I2229" i="2"/>
  <c r="K2228" i="2"/>
  <c r="I2228" i="2"/>
  <c r="K2227" i="2"/>
  <c r="I2227" i="2"/>
  <c r="K2226" i="2"/>
  <c r="I2226" i="2"/>
  <c r="K2225" i="2"/>
  <c r="I2225" i="2"/>
  <c r="K2224" i="2"/>
  <c r="I2224" i="2"/>
  <c r="K2223" i="2"/>
  <c r="I2223" i="2"/>
  <c r="K2222" i="2"/>
  <c r="I2222" i="2"/>
  <c r="K2221" i="2"/>
  <c r="I2221" i="2"/>
  <c r="K2220" i="2"/>
  <c r="I2220" i="2"/>
  <c r="K2219" i="2"/>
  <c r="I2219" i="2"/>
  <c r="K2218" i="2"/>
  <c r="I2218" i="2"/>
  <c r="K2217" i="2"/>
  <c r="I2217" i="2"/>
  <c r="K2216" i="2"/>
  <c r="I2216" i="2"/>
  <c r="K2215" i="2"/>
  <c r="I2215" i="2"/>
  <c r="K2214" i="2"/>
  <c r="I2214" i="2"/>
  <c r="K2213" i="2"/>
  <c r="I2213" i="2"/>
  <c r="K2212" i="2"/>
  <c r="I2212" i="2"/>
  <c r="K2211" i="2"/>
  <c r="I2211" i="2"/>
  <c r="K2210" i="2"/>
  <c r="I2210" i="2"/>
  <c r="K2209" i="2"/>
  <c r="I2209" i="2"/>
  <c r="K2208" i="2"/>
  <c r="I2208" i="2"/>
  <c r="K2207" i="2"/>
  <c r="I2207" i="2"/>
  <c r="K2206" i="2"/>
  <c r="I2206" i="2"/>
  <c r="K2205" i="2"/>
  <c r="I2205" i="2"/>
  <c r="K2204" i="2"/>
  <c r="I2204" i="2"/>
  <c r="K2203" i="2"/>
  <c r="I2203" i="2"/>
  <c r="K2202" i="2"/>
  <c r="I2202" i="2"/>
  <c r="K2201" i="2"/>
  <c r="I2201" i="2"/>
  <c r="K2200" i="2"/>
  <c r="I2200" i="2"/>
  <c r="K2199" i="2"/>
  <c r="I2199" i="2"/>
  <c r="K2198" i="2"/>
  <c r="I2198" i="2"/>
  <c r="K2197" i="2"/>
  <c r="I2197" i="2"/>
  <c r="K2196" i="2"/>
  <c r="I2196" i="2"/>
  <c r="K2195" i="2"/>
  <c r="I2195" i="2"/>
  <c r="K2194" i="2"/>
  <c r="I2194" i="2"/>
  <c r="K2193" i="2"/>
  <c r="I2193" i="2"/>
  <c r="K2192" i="2"/>
  <c r="I2192" i="2"/>
  <c r="K2191" i="2"/>
  <c r="I2191" i="2"/>
  <c r="K2190" i="2"/>
  <c r="I2190" i="2"/>
  <c r="K2189" i="2"/>
  <c r="I2189" i="2"/>
  <c r="K2188" i="2"/>
  <c r="I2188" i="2"/>
  <c r="K2187" i="2"/>
  <c r="I2187" i="2"/>
  <c r="K2186" i="2"/>
  <c r="I2186" i="2"/>
  <c r="K2185" i="2"/>
  <c r="I2185" i="2"/>
  <c r="K2184" i="2"/>
  <c r="I2184" i="2"/>
  <c r="K2183" i="2"/>
  <c r="I2183" i="2"/>
  <c r="K2182" i="2"/>
  <c r="I2182" i="2"/>
  <c r="K2181" i="2"/>
  <c r="I2181" i="2"/>
  <c r="K2180" i="2"/>
  <c r="I2180" i="2"/>
  <c r="K2179" i="2"/>
  <c r="I2179" i="2"/>
  <c r="K2178" i="2"/>
  <c r="I2178" i="2"/>
  <c r="K2177" i="2"/>
  <c r="I2177" i="2"/>
  <c r="K2176" i="2"/>
  <c r="I2176" i="2"/>
  <c r="K2175" i="2"/>
  <c r="I2175" i="2"/>
  <c r="K2174" i="2"/>
  <c r="I2174" i="2"/>
  <c r="K2173" i="2"/>
  <c r="I2173" i="2"/>
  <c r="K2172" i="2"/>
  <c r="I2172" i="2"/>
  <c r="K2171" i="2"/>
  <c r="I2171" i="2"/>
  <c r="K2170" i="2"/>
  <c r="I2170" i="2"/>
  <c r="K2169" i="2"/>
  <c r="I2169" i="2"/>
  <c r="K2168" i="2"/>
  <c r="I2168" i="2"/>
  <c r="K2167" i="2"/>
  <c r="I2167" i="2"/>
  <c r="K2166" i="2"/>
  <c r="I2166" i="2"/>
  <c r="K2165" i="2"/>
  <c r="I2165" i="2"/>
  <c r="K2164" i="2"/>
  <c r="I2164" i="2"/>
  <c r="K2163" i="2"/>
  <c r="I2163" i="2"/>
  <c r="K2162" i="2"/>
  <c r="I2162" i="2"/>
  <c r="K2161" i="2"/>
  <c r="I2161" i="2"/>
  <c r="K2160" i="2"/>
  <c r="I2160" i="2"/>
  <c r="K2159" i="2"/>
  <c r="I2159" i="2"/>
  <c r="K2158" i="2"/>
  <c r="I2158" i="2"/>
  <c r="K2157" i="2"/>
  <c r="I2157" i="2"/>
  <c r="K2156" i="2"/>
  <c r="I2156" i="2"/>
  <c r="K2155" i="2"/>
  <c r="I2155" i="2"/>
  <c r="K2154" i="2"/>
  <c r="I2154" i="2"/>
  <c r="K2153" i="2"/>
  <c r="I2153" i="2"/>
  <c r="K2152" i="2"/>
  <c r="I2152" i="2"/>
  <c r="K2151" i="2"/>
  <c r="I2151" i="2"/>
  <c r="K2150" i="2"/>
  <c r="I2150" i="2"/>
  <c r="K2149" i="2"/>
  <c r="I2149" i="2"/>
  <c r="K2148" i="2"/>
  <c r="I2148" i="2"/>
  <c r="K2147" i="2"/>
  <c r="I2147" i="2"/>
  <c r="K2146" i="2"/>
  <c r="I2146" i="2"/>
  <c r="K2145" i="2"/>
  <c r="I2145" i="2"/>
  <c r="K2144" i="2"/>
  <c r="I2144" i="2"/>
  <c r="K2143" i="2"/>
  <c r="I2143" i="2"/>
  <c r="K2142" i="2"/>
  <c r="I2142" i="2"/>
  <c r="K2141" i="2"/>
  <c r="I2141" i="2"/>
  <c r="K2140" i="2"/>
  <c r="I2140" i="2"/>
  <c r="K2139" i="2"/>
  <c r="I2139" i="2"/>
  <c r="K2138" i="2"/>
  <c r="I2138" i="2"/>
  <c r="K2137" i="2"/>
  <c r="I2137" i="2"/>
  <c r="K2136" i="2"/>
  <c r="I2136" i="2"/>
  <c r="K2135" i="2"/>
  <c r="I2135" i="2"/>
  <c r="K2134" i="2"/>
  <c r="I2134" i="2"/>
  <c r="K2133" i="2"/>
  <c r="I2133" i="2"/>
  <c r="K2132" i="2"/>
  <c r="I2132" i="2"/>
  <c r="K2131" i="2"/>
  <c r="I2131" i="2"/>
  <c r="K2130" i="2"/>
  <c r="I2130" i="2"/>
  <c r="K2129" i="2"/>
  <c r="I2129" i="2"/>
  <c r="K2128" i="2"/>
  <c r="I2128" i="2"/>
  <c r="K2127" i="2"/>
  <c r="I2127" i="2"/>
  <c r="K2126" i="2"/>
  <c r="I2126" i="2"/>
  <c r="K2125" i="2"/>
  <c r="I2125" i="2"/>
  <c r="K2124" i="2"/>
  <c r="I2124" i="2"/>
  <c r="K2123" i="2"/>
  <c r="I2123" i="2"/>
  <c r="K2122" i="2"/>
  <c r="I2122" i="2"/>
  <c r="K2121" i="2"/>
  <c r="I2121" i="2"/>
  <c r="K2120" i="2"/>
  <c r="I2120" i="2"/>
  <c r="K2119" i="2"/>
  <c r="I2119" i="2"/>
  <c r="K2118" i="2"/>
  <c r="I2118" i="2"/>
  <c r="K2117" i="2"/>
  <c r="I2117" i="2"/>
  <c r="K2116" i="2"/>
  <c r="I2116" i="2"/>
  <c r="K2115" i="2"/>
  <c r="I2115" i="2"/>
  <c r="K2114" i="2"/>
  <c r="I2114" i="2"/>
  <c r="K2113" i="2"/>
  <c r="I2113" i="2"/>
  <c r="K2112" i="2"/>
  <c r="I2112" i="2"/>
  <c r="K2111" i="2"/>
  <c r="I2111" i="2"/>
  <c r="K2110" i="2"/>
  <c r="I2110" i="2"/>
  <c r="K2109" i="2"/>
  <c r="I2109" i="2"/>
  <c r="K2108" i="2"/>
  <c r="I2108" i="2"/>
  <c r="K2107" i="2"/>
  <c r="I2107" i="2"/>
  <c r="K2106" i="2"/>
  <c r="I2106" i="2"/>
  <c r="K2105" i="2"/>
  <c r="I2105" i="2"/>
  <c r="K2104" i="2"/>
  <c r="I2104" i="2"/>
  <c r="K2103" i="2"/>
  <c r="I2103" i="2"/>
  <c r="K2102" i="2"/>
  <c r="I2102" i="2"/>
  <c r="K2101" i="2"/>
  <c r="I2101" i="2"/>
  <c r="K2100" i="2"/>
  <c r="I2100" i="2"/>
  <c r="K2099" i="2"/>
  <c r="I2099" i="2"/>
  <c r="K2098" i="2"/>
  <c r="I2098" i="2"/>
  <c r="K2097" i="2"/>
  <c r="I2097" i="2"/>
  <c r="K2096" i="2"/>
  <c r="I2096" i="2"/>
  <c r="K2095" i="2"/>
  <c r="I2095" i="2"/>
  <c r="K2094" i="2"/>
  <c r="I2094" i="2"/>
  <c r="K2093" i="2"/>
  <c r="I2093" i="2"/>
  <c r="K2092" i="2"/>
  <c r="I2092" i="2"/>
  <c r="K2091" i="2"/>
  <c r="I2091" i="2"/>
  <c r="K2090" i="2"/>
  <c r="I2090" i="2"/>
  <c r="K2089" i="2"/>
  <c r="I2089" i="2"/>
  <c r="K2088" i="2"/>
  <c r="I2088" i="2"/>
  <c r="K2087" i="2"/>
  <c r="I2087" i="2"/>
  <c r="K2086" i="2"/>
  <c r="I2086" i="2"/>
  <c r="K2085" i="2"/>
  <c r="I2085" i="2"/>
  <c r="K2084" i="2"/>
  <c r="I2084" i="2"/>
  <c r="K2083" i="2"/>
  <c r="I2083" i="2"/>
  <c r="K2082" i="2"/>
  <c r="I2082" i="2"/>
  <c r="K2081" i="2"/>
  <c r="I2081" i="2"/>
  <c r="K2080" i="2"/>
  <c r="I2080" i="2"/>
  <c r="K2079" i="2"/>
  <c r="I2079" i="2"/>
  <c r="K2078" i="2"/>
  <c r="I2078" i="2"/>
  <c r="K2077" i="2"/>
  <c r="I2077" i="2"/>
  <c r="K2076" i="2"/>
  <c r="I2076" i="2"/>
  <c r="K2075" i="2"/>
  <c r="I2075" i="2"/>
  <c r="K2074" i="2"/>
  <c r="I2074" i="2"/>
  <c r="K2073" i="2"/>
  <c r="I2073" i="2"/>
  <c r="K2072" i="2"/>
  <c r="I2072" i="2"/>
  <c r="K2071" i="2"/>
  <c r="I2071" i="2"/>
  <c r="K2070" i="2"/>
  <c r="I2070" i="2"/>
  <c r="K2069" i="2"/>
  <c r="I2069" i="2"/>
  <c r="K2068" i="2"/>
  <c r="I2068" i="2"/>
  <c r="K2067" i="2"/>
  <c r="I2067" i="2"/>
  <c r="K2066" i="2"/>
  <c r="I2066" i="2"/>
  <c r="K2065" i="2"/>
  <c r="I2065" i="2"/>
  <c r="K2064" i="2"/>
  <c r="I2064" i="2"/>
  <c r="K2063" i="2"/>
  <c r="I2063" i="2"/>
  <c r="K2062" i="2"/>
  <c r="I2062" i="2"/>
  <c r="K2061" i="2"/>
  <c r="I2061" i="2"/>
  <c r="K2060" i="2"/>
  <c r="I2060" i="2"/>
  <c r="K2059" i="2"/>
  <c r="I2059" i="2"/>
  <c r="K2058" i="2"/>
  <c r="I2058" i="2"/>
  <c r="K2057" i="2"/>
  <c r="I2057" i="2"/>
  <c r="K2056" i="2"/>
  <c r="I2056" i="2"/>
  <c r="K2055" i="2"/>
  <c r="I2055" i="2"/>
  <c r="K2054" i="2"/>
  <c r="I2054" i="2"/>
  <c r="K2053" i="2"/>
  <c r="I2053" i="2"/>
  <c r="K2052" i="2"/>
  <c r="I2052" i="2"/>
  <c r="K2051" i="2"/>
  <c r="I2051" i="2"/>
  <c r="K2050" i="2"/>
  <c r="I2050" i="2"/>
  <c r="K2049" i="2"/>
  <c r="I2049" i="2"/>
  <c r="K2048" i="2"/>
  <c r="I2048" i="2"/>
  <c r="K2047" i="2"/>
  <c r="I2047" i="2"/>
  <c r="K2046" i="2"/>
  <c r="I2046" i="2"/>
  <c r="K2045" i="2"/>
  <c r="I2045" i="2"/>
  <c r="K2044" i="2"/>
  <c r="I2044" i="2"/>
  <c r="K2043" i="2"/>
  <c r="I2043" i="2"/>
  <c r="K2042" i="2"/>
  <c r="I2042" i="2"/>
  <c r="K2041" i="2"/>
  <c r="I2041" i="2"/>
  <c r="K2040" i="2"/>
  <c r="I2040" i="2"/>
  <c r="K2039" i="2"/>
  <c r="I2039" i="2"/>
  <c r="K2038" i="2"/>
  <c r="I2038" i="2"/>
  <c r="K2037" i="2"/>
  <c r="I2037" i="2"/>
  <c r="K2036" i="2"/>
  <c r="I2036" i="2"/>
  <c r="K2035" i="2"/>
  <c r="I2035" i="2"/>
  <c r="K2034" i="2"/>
  <c r="I2034" i="2"/>
  <c r="K2033" i="2"/>
  <c r="I2033" i="2"/>
  <c r="K2032" i="2"/>
  <c r="I2032" i="2"/>
  <c r="K2031" i="2"/>
  <c r="I2031" i="2"/>
  <c r="K2030" i="2"/>
  <c r="I2030" i="2"/>
  <c r="K2029" i="2"/>
  <c r="I2029" i="2"/>
  <c r="K2028" i="2"/>
  <c r="I2028" i="2"/>
  <c r="K2027" i="2"/>
  <c r="I2027" i="2"/>
  <c r="K2026" i="2"/>
  <c r="I2026" i="2"/>
  <c r="K2025" i="2"/>
  <c r="I2025" i="2"/>
  <c r="K2024" i="2"/>
  <c r="I2024" i="2"/>
  <c r="K2023" i="2"/>
  <c r="I2023" i="2"/>
  <c r="K2022" i="2"/>
  <c r="I2022" i="2"/>
  <c r="K2021" i="2"/>
  <c r="I2021" i="2"/>
  <c r="K2020" i="2"/>
  <c r="I2020" i="2"/>
  <c r="K2019" i="2"/>
  <c r="I2019" i="2"/>
  <c r="K2018" i="2"/>
  <c r="I2018" i="2"/>
  <c r="K2017" i="2"/>
  <c r="I2017" i="2"/>
  <c r="K2016" i="2"/>
  <c r="I2016" i="2"/>
  <c r="K2015" i="2"/>
  <c r="I2015" i="2"/>
  <c r="K2014" i="2"/>
  <c r="I2014" i="2"/>
  <c r="K2013" i="2"/>
  <c r="I2013" i="2"/>
  <c r="K2012" i="2"/>
  <c r="I2012" i="2"/>
  <c r="K2011" i="2"/>
  <c r="I2011" i="2"/>
  <c r="K2010" i="2"/>
  <c r="I2010" i="2"/>
  <c r="K2009" i="2"/>
  <c r="I2009" i="2"/>
  <c r="K2008" i="2"/>
  <c r="I2008" i="2"/>
  <c r="K2007" i="2"/>
  <c r="I2007" i="2"/>
  <c r="K2006" i="2"/>
  <c r="I2006" i="2"/>
  <c r="K2005" i="2"/>
  <c r="I2005" i="2"/>
  <c r="K2004" i="2"/>
  <c r="I2004" i="2"/>
  <c r="K2003" i="2"/>
  <c r="I2003" i="2"/>
  <c r="K2002" i="2"/>
  <c r="I2002" i="2"/>
  <c r="K2001" i="2"/>
  <c r="I2001" i="2"/>
  <c r="K2000" i="2"/>
  <c r="I2000" i="2"/>
  <c r="K1999" i="2"/>
  <c r="I1999" i="2"/>
  <c r="K1998" i="2"/>
  <c r="I1998" i="2"/>
  <c r="K1997" i="2"/>
  <c r="I1997" i="2"/>
  <c r="K1996" i="2"/>
  <c r="I1996" i="2"/>
  <c r="K1995" i="2"/>
  <c r="I1995" i="2"/>
  <c r="K1994" i="2"/>
  <c r="I1994" i="2"/>
  <c r="K1993" i="2"/>
  <c r="I1993" i="2"/>
  <c r="K1992" i="2"/>
  <c r="I1992" i="2"/>
  <c r="K1991" i="2"/>
  <c r="I1991" i="2"/>
  <c r="K1990" i="2"/>
  <c r="I1990" i="2"/>
  <c r="K1989" i="2"/>
  <c r="I1989" i="2"/>
  <c r="K1988" i="2"/>
  <c r="I1988" i="2"/>
  <c r="K1987" i="2"/>
  <c r="I1987" i="2"/>
  <c r="K1986" i="2"/>
  <c r="I1986" i="2"/>
  <c r="K1985" i="2"/>
  <c r="I1985" i="2"/>
  <c r="K1984" i="2"/>
  <c r="I1984" i="2"/>
  <c r="K1983" i="2"/>
  <c r="I1983" i="2"/>
  <c r="K1982" i="2"/>
  <c r="I1982" i="2"/>
  <c r="K1981" i="2"/>
  <c r="I1981" i="2"/>
  <c r="K1980" i="2"/>
  <c r="I1980" i="2"/>
  <c r="K1979" i="2"/>
  <c r="I1979" i="2"/>
  <c r="K1978" i="2"/>
  <c r="I1978" i="2"/>
  <c r="K1977" i="2"/>
  <c r="I1977" i="2"/>
  <c r="K1976" i="2"/>
  <c r="I1976" i="2"/>
  <c r="K1975" i="2"/>
  <c r="I1975" i="2"/>
  <c r="K1974" i="2"/>
  <c r="I1974" i="2"/>
  <c r="K1973" i="2"/>
  <c r="I1973" i="2"/>
  <c r="K1972" i="2"/>
  <c r="I1972" i="2"/>
  <c r="K1971" i="2"/>
  <c r="I1971" i="2"/>
  <c r="K1970" i="2"/>
  <c r="I1970" i="2"/>
  <c r="K1969" i="2"/>
  <c r="I1969" i="2"/>
  <c r="K1968" i="2"/>
  <c r="I1968" i="2"/>
  <c r="K1967" i="2"/>
  <c r="I1967" i="2"/>
  <c r="K1966" i="2"/>
  <c r="I1966" i="2"/>
  <c r="K1965" i="2"/>
  <c r="I1965" i="2"/>
  <c r="K1964" i="2"/>
  <c r="I1964" i="2"/>
  <c r="K1963" i="2"/>
  <c r="I1963" i="2"/>
  <c r="K1962" i="2"/>
  <c r="I1962" i="2"/>
  <c r="K1961" i="2"/>
  <c r="I1961" i="2"/>
  <c r="K1960" i="2"/>
  <c r="I1960" i="2"/>
  <c r="K1959" i="2"/>
  <c r="I1959" i="2"/>
  <c r="K1958" i="2"/>
  <c r="I1958" i="2"/>
  <c r="K1957" i="2"/>
  <c r="I1957" i="2"/>
  <c r="K1956" i="2"/>
  <c r="I1956" i="2"/>
  <c r="K1955" i="2"/>
  <c r="I1955" i="2"/>
  <c r="K1954" i="2"/>
  <c r="I1954" i="2"/>
  <c r="K1953" i="2"/>
  <c r="I1953" i="2"/>
  <c r="K1952" i="2"/>
  <c r="I1952" i="2"/>
  <c r="K1951" i="2"/>
  <c r="I1951" i="2"/>
  <c r="K1950" i="2"/>
  <c r="I1950" i="2"/>
  <c r="K1949" i="2"/>
  <c r="I1949" i="2"/>
  <c r="K1948" i="2"/>
  <c r="I1948" i="2"/>
  <c r="K1947" i="2"/>
  <c r="I1947" i="2"/>
  <c r="K1946" i="2"/>
  <c r="I1946" i="2"/>
  <c r="K1945" i="2"/>
  <c r="I1945" i="2"/>
  <c r="K1944" i="2"/>
  <c r="I1944" i="2"/>
  <c r="K1943" i="2"/>
  <c r="I1943" i="2"/>
  <c r="K1942" i="2"/>
  <c r="I1942" i="2"/>
  <c r="K1941" i="2"/>
  <c r="I1941" i="2"/>
  <c r="K1940" i="2"/>
  <c r="I1940" i="2"/>
  <c r="K1939" i="2"/>
  <c r="I1939" i="2"/>
  <c r="K1938" i="2"/>
  <c r="I1938" i="2"/>
  <c r="K1937" i="2"/>
  <c r="I1937" i="2"/>
  <c r="K1936" i="2"/>
  <c r="I1936" i="2"/>
  <c r="K1935" i="2"/>
  <c r="I1935" i="2"/>
  <c r="K1934" i="2"/>
  <c r="I1934" i="2"/>
  <c r="K1933" i="2"/>
  <c r="I1933" i="2"/>
  <c r="K1932" i="2"/>
  <c r="I1932" i="2"/>
  <c r="K1931" i="2"/>
  <c r="I1931" i="2"/>
  <c r="K1930" i="2"/>
  <c r="I1930" i="2"/>
  <c r="K1929" i="2"/>
  <c r="I1929" i="2"/>
  <c r="K1928" i="2"/>
  <c r="I1928" i="2"/>
  <c r="K1927" i="2"/>
  <c r="I1927" i="2"/>
  <c r="K1926" i="2"/>
  <c r="I1926" i="2"/>
  <c r="K1925" i="2"/>
  <c r="I1925" i="2"/>
  <c r="K1924" i="2"/>
  <c r="I1924" i="2"/>
  <c r="K1923" i="2"/>
  <c r="I1923" i="2"/>
  <c r="K1922" i="2"/>
  <c r="I1922" i="2"/>
  <c r="K1921" i="2"/>
  <c r="I1921" i="2"/>
  <c r="K1920" i="2"/>
  <c r="I1920" i="2"/>
  <c r="K1919" i="2"/>
  <c r="I1919" i="2"/>
  <c r="K1918" i="2"/>
  <c r="I1918" i="2"/>
  <c r="K1917" i="2"/>
  <c r="I1917" i="2"/>
  <c r="K1916" i="2"/>
  <c r="I1916" i="2"/>
  <c r="K1915" i="2"/>
  <c r="I1915" i="2"/>
  <c r="K1914" i="2"/>
  <c r="I1914" i="2"/>
  <c r="K1913" i="2"/>
  <c r="I1913" i="2"/>
  <c r="K1912" i="2"/>
  <c r="I1912" i="2"/>
  <c r="K1911" i="2"/>
  <c r="I1911" i="2"/>
  <c r="K1910" i="2"/>
  <c r="I1910" i="2"/>
  <c r="K1909" i="2"/>
  <c r="I1909" i="2"/>
  <c r="K1908" i="2"/>
  <c r="I1908" i="2"/>
  <c r="K1907" i="2"/>
  <c r="I1907" i="2"/>
  <c r="K1906" i="2"/>
  <c r="I1906" i="2"/>
  <c r="K1905" i="2"/>
  <c r="I1905" i="2"/>
  <c r="K1904" i="2"/>
  <c r="I1904" i="2"/>
  <c r="K1903" i="2"/>
  <c r="I1903" i="2"/>
  <c r="K1902" i="2"/>
  <c r="I1902" i="2"/>
  <c r="K1901" i="2"/>
  <c r="I1901" i="2"/>
  <c r="K1900" i="2"/>
  <c r="I1900" i="2"/>
  <c r="K1899" i="2"/>
  <c r="I1899" i="2"/>
  <c r="K1898" i="2"/>
  <c r="I1898" i="2"/>
  <c r="K1897" i="2"/>
  <c r="I1897" i="2"/>
  <c r="K1896" i="2"/>
  <c r="I1896" i="2"/>
  <c r="K1895" i="2"/>
  <c r="I1895" i="2"/>
  <c r="K1894" i="2"/>
  <c r="I1894" i="2"/>
  <c r="K1893" i="2"/>
  <c r="I1893" i="2"/>
  <c r="K1892" i="2"/>
  <c r="I1892" i="2"/>
  <c r="K1891" i="2"/>
  <c r="I1891" i="2"/>
  <c r="K1890" i="2"/>
  <c r="I1890" i="2"/>
  <c r="K1889" i="2"/>
  <c r="I1889" i="2"/>
  <c r="K1888" i="2"/>
  <c r="I1888" i="2"/>
  <c r="K1887" i="2"/>
  <c r="I1887" i="2"/>
  <c r="K1886" i="2"/>
  <c r="I1886" i="2"/>
  <c r="K1885" i="2"/>
  <c r="I1885" i="2"/>
  <c r="K1884" i="2"/>
  <c r="I1884" i="2"/>
  <c r="K1883" i="2"/>
  <c r="I1883" i="2"/>
  <c r="K1882" i="2"/>
  <c r="I1882" i="2"/>
  <c r="K1881" i="2"/>
  <c r="I1881" i="2"/>
  <c r="K1880" i="2"/>
  <c r="I1880" i="2"/>
  <c r="K1879" i="2"/>
  <c r="I1879" i="2"/>
  <c r="K1878" i="2"/>
  <c r="I1878" i="2"/>
  <c r="K1877" i="2"/>
  <c r="I1877" i="2"/>
  <c r="K1876" i="2"/>
  <c r="I1876" i="2"/>
  <c r="K1875" i="2"/>
  <c r="I1875" i="2"/>
  <c r="K1874" i="2"/>
  <c r="I1874" i="2"/>
  <c r="K1873" i="2"/>
  <c r="I1873" i="2"/>
  <c r="K1872" i="2"/>
  <c r="I1872" i="2"/>
  <c r="K1871" i="2"/>
  <c r="I1871" i="2"/>
  <c r="K1870" i="2"/>
  <c r="I1870" i="2"/>
  <c r="K1869" i="2"/>
  <c r="I1869" i="2"/>
  <c r="K1868" i="2"/>
  <c r="I1868" i="2"/>
  <c r="K1867" i="2"/>
  <c r="I1867" i="2"/>
  <c r="K1866" i="2"/>
  <c r="I1866" i="2"/>
  <c r="K1865" i="2"/>
  <c r="I1865" i="2"/>
  <c r="K1864" i="2"/>
  <c r="I1864" i="2"/>
  <c r="K1863" i="2"/>
  <c r="I1863" i="2"/>
  <c r="K1862" i="2"/>
  <c r="I1862" i="2"/>
  <c r="K1861" i="2"/>
  <c r="I1861" i="2"/>
  <c r="K1860" i="2"/>
  <c r="I1860" i="2"/>
  <c r="K1859" i="2"/>
  <c r="I1859" i="2"/>
  <c r="K1858" i="2"/>
  <c r="I1858" i="2"/>
  <c r="K1857" i="2"/>
  <c r="I1857" i="2"/>
  <c r="K1856" i="2"/>
  <c r="I1856" i="2"/>
  <c r="K1855" i="2"/>
  <c r="I1855" i="2"/>
  <c r="K1854" i="2"/>
  <c r="I1854" i="2"/>
  <c r="K1853" i="2"/>
  <c r="I1853" i="2"/>
  <c r="K1852" i="2"/>
  <c r="I1852" i="2"/>
  <c r="K1851" i="2"/>
  <c r="I1851" i="2"/>
  <c r="K1850" i="2"/>
  <c r="I1850" i="2"/>
  <c r="K1849" i="2"/>
  <c r="I1849" i="2"/>
  <c r="K1848" i="2"/>
  <c r="I1848" i="2"/>
  <c r="K1847" i="2"/>
  <c r="I1847" i="2"/>
  <c r="K1846" i="2"/>
  <c r="I1846" i="2"/>
  <c r="K1845" i="2"/>
  <c r="I1845" i="2"/>
  <c r="K1844" i="2"/>
  <c r="I1844" i="2"/>
  <c r="K1843" i="2"/>
  <c r="I1843" i="2"/>
  <c r="K1842" i="2"/>
  <c r="I1842" i="2"/>
  <c r="K1841" i="2"/>
  <c r="I1841" i="2"/>
  <c r="K1840" i="2"/>
  <c r="I1840" i="2"/>
  <c r="K1839" i="2"/>
  <c r="I1839" i="2"/>
  <c r="K1838" i="2"/>
  <c r="I1838" i="2"/>
  <c r="K1837" i="2"/>
  <c r="I1837" i="2"/>
  <c r="K1836" i="2"/>
  <c r="I1836" i="2"/>
  <c r="K1835" i="2"/>
  <c r="I1835" i="2"/>
  <c r="K1834" i="2"/>
  <c r="I1834" i="2"/>
  <c r="K1833" i="2"/>
  <c r="I1833" i="2"/>
  <c r="K1832" i="2"/>
  <c r="I1832" i="2"/>
  <c r="K1831" i="2"/>
  <c r="I1831" i="2"/>
  <c r="K1830" i="2"/>
  <c r="I1830" i="2"/>
  <c r="K1829" i="2"/>
  <c r="I1829" i="2"/>
  <c r="K1828" i="2"/>
  <c r="I1828" i="2"/>
  <c r="K1827" i="2"/>
  <c r="I1827" i="2"/>
  <c r="K1826" i="2"/>
  <c r="I1826" i="2"/>
  <c r="K1825" i="2"/>
  <c r="I1825" i="2"/>
  <c r="K1824" i="2"/>
  <c r="I1824" i="2"/>
  <c r="K1823" i="2"/>
  <c r="I1823" i="2"/>
  <c r="K1822" i="2"/>
  <c r="I1822" i="2"/>
  <c r="K1821" i="2"/>
  <c r="I1821" i="2"/>
  <c r="K1820" i="2"/>
  <c r="I1820" i="2"/>
  <c r="K1819" i="2"/>
  <c r="I1819" i="2"/>
  <c r="K1818" i="2"/>
  <c r="I1818" i="2"/>
  <c r="K1817" i="2"/>
  <c r="I1817" i="2"/>
  <c r="K1816" i="2"/>
  <c r="I1816" i="2"/>
  <c r="K1815" i="2"/>
  <c r="I1815" i="2"/>
  <c r="K1814" i="2"/>
  <c r="I1814" i="2"/>
  <c r="K1813" i="2"/>
  <c r="I1813" i="2"/>
  <c r="K1812" i="2"/>
  <c r="I1812" i="2"/>
  <c r="K1811" i="2"/>
  <c r="I1811" i="2"/>
  <c r="K1810" i="2"/>
  <c r="I1810" i="2"/>
  <c r="K1809" i="2"/>
  <c r="I1809" i="2"/>
  <c r="K1808" i="2"/>
  <c r="I1808" i="2"/>
  <c r="K1807" i="2"/>
  <c r="I1807" i="2"/>
  <c r="K1806" i="2"/>
  <c r="I1806" i="2"/>
  <c r="K1805" i="2"/>
  <c r="I1805" i="2"/>
  <c r="K1804" i="2"/>
  <c r="I1804" i="2"/>
  <c r="K1803" i="2"/>
  <c r="I1803" i="2"/>
  <c r="K1802" i="2"/>
  <c r="I1802" i="2"/>
  <c r="K1801" i="2"/>
  <c r="I1801" i="2"/>
  <c r="K1800" i="2"/>
  <c r="I1800" i="2"/>
  <c r="K1799" i="2"/>
  <c r="I1799" i="2"/>
  <c r="K1798" i="2"/>
  <c r="I1798" i="2"/>
  <c r="K1797" i="2"/>
  <c r="I1797" i="2"/>
  <c r="K1796" i="2"/>
  <c r="I1796" i="2"/>
  <c r="K1795" i="2"/>
  <c r="I1795" i="2"/>
  <c r="K1794" i="2"/>
  <c r="I1794" i="2"/>
  <c r="K1793" i="2"/>
  <c r="I1793" i="2"/>
  <c r="K1792" i="2"/>
  <c r="I1792" i="2"/>
  <c r="K1791" i="2"/>
  <c r="I1791" i="2"/>
  <c r="K1790" i="2"/>
  <c r="I1790" i="2"/>
  <c r="K1789" i="2"/>
  <c r="I1789" i="2"/>
  <c r="K1788" i="2"/>
  <c r="I1788" i="2"/>
  <c r="K1787" i="2"/>
  <c r="I1787" i="2"/>
  <c r="K1786" i="2"/>
  <c r="I1786" i="2"/>
  <c r="K1785" i="2"/>
  <c r="I1785" i="2"/>
  <c r="K1784" i="2"/>
  <c r="I1784" i="2"/>
  <c r="K1783" i="2"/>
  <c r="I1783" i="2"/>
  <c r="K1782" i="2"/>
  <c r="I1782" i="2"/>
  <c r="K1781" i="2"/>
  <c r="I1781" i="2"/>
  <c r="K1780" i="2"/>
  <c r="I1780" i="2"/>
  <c r="K1779" i="2"/>
  <c r="I1779" i="2"/>
  <c r="K1778" i="2"/>
  <c r="I1778" i="2"/>
  <c r="K1777" i="2"/>
  <c r="I1777" i="2"/>
  <c r="K1776" i="2"/>
  <c r="I1776" i="2"/>
  <c r="K1775" i="2"/>
  <c r="I1775" i="2"/>
  <c r="K1774" i="2"/>
  <c r="I1774" i="2"/>
  <c r="K1773" i="2"/>
  <c r="I1773" i="2"/>
  <c r="K1772" i="2"/>
  <c r="I1772" i="2"/>
  <c r="K1771" i="2"/>
  <c r="I1771" i="2"/>
  <c r="K1770" i="2"/>
  <c r="I1770" i="2"/>
  <c r="K1769" i="2"/>
  <c r="I1769" i="2"/>
  <c r="K1768" i="2"/>
  <c r="I1768" i="2"/>
  <c r="K1767" i="2"/>
  <c r="I1767" i="2"/>
  <c r="K1766" i="2"/>
  <c r="I1766" i="2"/>
  <c r="K1765" i="2"/>
  <c r="I1765" i="2"/>
  <c r="K1764" i="2"/>
  <c r="I1764" i="2"/>
  <c r="K1763" i="2"/>
  <c r="I1763" i="2"/>
  <c r="K1762" i="2"/>
  <c r="I1762" i="2"/>
  <c r="K1761" i="2"/>
  <c r="I1761" i="2"/>
  <c r="K1760" i="2"/>
  <c r="I1760" i="2"/>
  <c r="K1759" i="2"/>
  <c r="I1759" i="2"/>
  <c r="K1758" i="2"/>
  <c r="I1758" i="2"/>
  <c r="K1757" i="2"/>
  <c r="I1757" i="2"/>
  <c r="K1756" i="2"/>
  <c r="I1756" i="2"/>
  <c r="K1755" i="2"/>
  <c r="I1755" i="2"/>
  <c r="K1754" i="2"/>
  <c r="I1754" i="2"/>
  <c r="K1753" i="2"/>
  <c r="I1753" i="2"/>
  <c r="K1752" i="2"/>
  <c r="I1752" i="2"/>
  <c r="K1751" i="2"/>
  <c r="I1751" i="2"/>
  <c r="K1750" i="2"/>
  <c r="I1750" i="2"/>
  <c r="K1749" i="2"/>
  <c r="I1749" i="2"/>
  <c r="K1748" i="2"/>
  <c r="I1748" i="2"/>
  <c r="K1747" i="2"/>
  <c r="I1747" i="2"/>
  <c r="K1746" i="2"/>
  <c r="I1746" i="2"/>
  <c r="K1745" i="2"/>
  <c r="I1745" i="2"/>
  <c r="K1744" i="2"/>
  <c r="I1744" i="2"/>
  <c r="K1743" i="2"/>
  <c r="I1743" i="2"/>
  <c r="K1742" i="2"/>
  <c r="I1742" i="2"/>
  <c r="K1741" i="2"/>
  <c r="I1741" i="2"/>
  <c r="K1740" i="2"/>
  <c r="I1740" i="2"/>
  <c r="K1739" i="2"/>
  <c r="I1739" i="2"/>
  <c r="K1738" i="2"/>
  <c r="I1738" i="2"/>
  <c r="K1737" i="2"/>
  <c r="I1737" i="2"/>
  <c r="K1736" i="2"/>
  <c r="I1736" i="2"/>
  <c r="K1735" i="2"/>
  <c r="I1735" i="2"/>
  <c r="K1734" i="2"/>
  <c r="I1734" i="2"/>
  <c r="K1733" i="2"/>
  <c r="I1733" i="2"/>
  <c r="K1732" i="2"/>
  <c r="I1732" i="2"/>
  <c r="K1731" i="2"/>
  <c r="I1731" i="2"/>
  <c r="K1730" i="2"/>
  <c r="I1730" i="2"/>
  <c r="K1729" i="2"/>
  <c r="I1729" i="2"/>
  <c r="K1728" i="2"/>
  <c r="I1728" i="2"/>
  <c r="K1727" i="2"/>
  <c r="I1727" i="2"/>
  <c r="K1726" i="2"/>
  <c r="I1726" i="2"/>
  <c r="K1725" i="2"/>
  <c r="I1725" i="2"/>
  <c r="K1724" i="2"/>
  <c r="I1724" i="2"/>
  <c r="K1723" i="2"/>
  <c r="I1723" i="2"/>
  <c r="K1722" i="2"/>
  <c r="I1722" i="2"/>
  <c r="K1721" i="2"/>
  <c r="I1721" i="2"/>
  <c r="K1720" i="2"/>
  <c r="I1720" i="2"/>
  <c r="K1719" i="2"/>
  <c r="I1719" i="2"/>
  <c r="K1718" i="2"/>
  <c r="I1718" i="2"/>
  <c r="K1717" i="2"/>
  <c r="I1717" i="2"/>
  <c r="K1716" i="2"/>
  <c r="I1716" i="2"/>
  <c r="K1715" i="2"/>
  <c r="I1715" i="2"/>
  <c r="K1714" i="2"/>
  <c r="I1714" i="2"/>
  <c r="K1713" i="2"/>
  <c r="I1713" i="2"/>
  <c r="K1712" i="2"/>
  <c r="I1712" i="2"/>
  <c r="K1711" i="2"/>
  <c r="I1711" i="2"/>
  <c r="K1710" i="2"/>
  <c r="I1710" i="2"/>
  <c r="K1709" i="2"/>
  <c r="I1709" i="2"/>
  <c r="K1708" i="2"/>
  <c r="I1708" i="2"/>
  <c r="K1707" i="2"/>
  <c r="I1707" i="2"/>
  <c r="K1706" i="2"/>
  <c r="I1706" i="2"/>
  <c r="K1705" i="2"/>
  <c r="I1705" i="2"/>
  <c r="K1704" i="2"/>
  <c r="I1704" i="2"/>
  <c r="K1703" i="2"/>
  <c r="I1703" i="2"/>
  <c r="K1702" i="2"/>
  <c r="I1702" i="2"/>
  <c r="K1701" i="2"/>
  <c r="I1701" i="2"/>
  <c r="K1700" i="2"/>
  <c r="I1700" i="2"/>
  <c r="K1699" i="2"/>
  <c r="I1699" i="2"/>
  <c r="K1698" i="2"/>
  <c r="I1698" i="2"/>
  <c r="K1697" i="2"/>
  <c r="I1697" i="2"/>
  <c r="K1696" i="2"/>
  <c r="I1696" i="2"/>
  <c r="K1695" i="2"/>
  <c r="I1695" i="2"/>
  <c r="K1694" i="2"/>
  <c r="I1694" i="2"/>
  <c r="K1693" i="2"/>
  <c r="I1693" i="2"/>
  <c r="K1692" i="2"/>
  <c r="I1692" i="2"/>
  <c r="K1691" i="2"/>
  <c r="I1691" i="2"/>
  <c r="K1690" i="2"/>
  <c r="I1690" i="2"/>
  <c r="K1689" i="2"/>
  <c r="I1689" i="2"/>
  <c r="K1688" i="2"/>
  <c r="I1688" i="2"/>
  <c r="K1687" i="2"/>
  <c r="I1687" i="2"/>
  <c r="K1686" i="2"/>
  <c r="I1686" i="2"/>
  <c r="K1685" i="2"/>
  <c r="I1685" i="2"/>
  <c r="K1684" i="2"/>
  <c r="I1684" i="2"/>
  <c r="K1683" i="2"/>
  <c r="I1683" i="2"/>
  <c r="K1682" i="2"/>
  <c r="I1682" i="2"/>
  <c r="K1681" i="2"/>
  <c r="I1681" i="2"/>
  <c r="K1680" i="2"/>
  <c r="I1680" i="2"/>
  <c r="K1679" i="2"/>
  <c r="I1679" i="2"/>
  <c r="K1678" i="2"/>
  <c r="I1678" i="2"/>
  <c r="K1677" i="2"/>
  <c r="I1677" i="2"/>
  <c r="K1676" i="2"/>
  <c r="I1676" i="2"/>
  <c r="K1675" i="2"/>
  <c r="I1675" i="2"/>
  <c r="K1674" i="2"/>
  <c r="I1674" i="2"/>
  <c r="K1673" i="2"/>
  <c r="I1673" i="2"/>
  <c r="K1672" i="2"/>
  <c r="I1672" i="2"/>
  <c r="K1671" i="2"/>
  <c r="I1671" i="2"/>
  <c r="K1670" i="2"/>
  <c r="I1670" i="2"/>
  <c r="K1669" i="2"/>
  <c r="I1669" i="2"/>
  <c r="K1668" i="2"/>
  <c r="I1668" i="2"/>
  <c r="K1667" i="2"/>
  <c r="I1667" i="2"/>
  <c r="K1666" i="2"/>
  <c r="I1666" i="2"/>
  <c r="K1665" i="2"/>
  <c r="I1665" i="2"/>
  <c r="K1664" i="2"/>
  <c r="I1664" i="2"/>
  <c r="K1663" i="2"/>
  <c r="I1663" i="2"/>
  <c r="K1662" i="2"/>
  <c r="I1662" i="2"/>
  <c r="K1661" i="2"/>
  <c r="I1661" i="2"/>
  <c r="K1660" i="2"/>
  <c r="I1660" i="2"/>
  <c r="K1659" i="2"/>
  <c r="I1659" i="2"/>
  <c r="K1658" i="2"/>
  <c r="I1658" i="2"/>
  <c r="K1657" i="2"/>
  <c r="I1657" i="2"/>
  <c r="K1656" i="2"/>
  <c r="I1656" i="2"/>
  <c r="K1655" i="2"/>
  <c r="I1655" i="2"/>
  <c r="K1654" i="2"/>
  <c r="I1654" i="2"/>
  <c r="K1653" i="2"/>
  <c r="I1653" i="2"/>
  <c r="K1652" i="2"/>
  <c r="I1652" i="2"/>
  <c r="K1651" i="2"/>
  <c r="I1651" i="2"/>
  <c r="K1650" i="2"/>
  <c r="I1650" i="2"/>
  <c r="K1649" i="2"/>
  <c r="I1649" i="2"/>
  <c r="K1648" i="2"/>
  <c r="I1648" i="2"/>
  <c r="K1647" i="2"/>
  <c r="I1647" i="2"/>
  <c r="K1646" i="2"/>
  <c r="I1646" i="2"/>
  <c r="K1645" i="2"/>
  <c r="I1645" i="2"/>
  <c r="K1644" i="2"/>
  <c r="I1644" i="2"/>
  <c r="K1643" i="2"/>
  <c r="I1643" i="2"/>
  <c r="K1642" i="2"/>
  <c r="I1642" i="2"/>
  <c r="K1641" i="2"/>
  <c r="I1641" i="2"/>
  <c r="K1640" i="2"/>
  <c r="I1640" i="2"/>
  <c r="K1639" i="2"/>
  <c r="I1639" i="2"/>
  <c r="K1638" i="2"/>
  <c r="I1638" i="2"/>
  <c r="K1637" i="2"/>
  <c r="I1637" i="2"/>
  <c r="K1636" i="2"/>
  <c r="I1636" i="2"/>
  <c r="K1635" i="2"/>
  <c r="I1635" i="2"/>
  <c r="K1634" i="2"/>
  <c r="I1634" i="2"/>
  <c r="K1633" i="2"/>
  <c r="I1633" i="2"/>
  <c r="K1632" i="2"/>
  <c r="I1632" i="2"/>
  <c r="K1631" i="2"/>
  <c r="I1631" i="2"/>
  <c r="K1630" i="2"/>
  <c r="I1630" i="2"/>
  <c r="K1629" i="2"/>
  <c r="I1629" i="2"/>
  <c r="K1628" i="2"/>
  <c r="I1628" i="2"/>
  <c r="K1627" i="2"/>
  <c r="I1627" i="2"/>
  <c r="K1626" i="2"/>
  <c r="I1626" i="2"/>
  <c r="K1625" i="2"/>
  <c r="I1625" i="2"/>
  <c r="K1624" i="2"/>
  <c r="I1624" i="2"/>
  <c r="K1623" i="2"/>
  <c r="I1623" i="2"/>
  <c r="K1622" i="2"/>
  <c r="I1622" i="2"/>
  <c r="K1621" i="2"/>
  <c r="I1621" i="2"/>
  <c r="K1620" i="2"/>
  <c r="I1620" i="2"/>
  <c r="K1619" i="2"/>
  <c r="I1619" i="2"/>
  <c r="K1618" i="2"/>
  <c r="I1618" i="2"/>
  <c r="K1617" i="2"/>
  <c r="I1617" i="2"/>
  <c r="K1616" i="2"/>
  <c r="I1616" i="2"/>
  <c r="K1615" i="2"/>
  <c r="I1615" i="2"/>
  <c r="K1614" i="2"/>
  <c r="I1614" i="2"/>
  <c r="K1613" i="2"/>
  <c r="I1613" i="2"/>
  <c r="K1612" i="2"/>
  <c r="I1612" i="2"/>
  <c r="K1611" i="2"/>
  <c r="I1611" i="2"/>
  <c r="K1610" i="2"/>
  <c r="I1610" i="2"/>
  <c r="K1609" i="2"/>
  <c r="I1609" i="2"/>
  <c r="K1608" i="2"/>
  <c r="I1608" i="2"/>
  <c r="K1607" i="2"/>
  <c r="I1607" i="2"/>
  <c r="K1606" i="2"/>
  <c r="I1606" i="2"/>
  <c r="K1605" i="2"/>
  <c r="I1605" i="2"/>
  <c r="K1604" i="2"/>
  <c r="I1604" i="2"/>
  <c r="K1603" i="2"/>
  <c r="I1603" i="2"/>
  <c r="K1602" i="2"/>
  <c r="I1602" i="2"/>
  <c r="K1601" i="2"/>
  <c r="I1601" i="2"/>
  <c r="K1600" i="2"/>
  <c r="I1600" i="2"/>
  <c r="K1599" i="2"/>
  <c r="I1599" i="2"/>
  <c r="K1598" i="2"/>
  <c r="I1598" i="2"/>
  <c r="K1597" i="2"/>
  <c r="I1597" i="2"/>
  <c r="K1596" i="2"/>
  <c r="I1596" i="2"/>
  <c r="K1595" i="2"/>
  <c r="I1595" i="2"/>
  <c r="K1594" i="2"/>
  <c r="I1594" i="2"/>
  <c r="K1593" i="2"/>
  <c r="I1593" i="2"/>
  <c r="K1592" i="2"/>
  <c r="I1592" i="2"/>
  <c r="K1591" i="2"/>
  <c r="I1591" i="2"/>
  <c r="K1590" i="2"/>
  <c r="I1590" i="2"/>
  <c r="K1589" i="2"/>
  <c r="I1589" i="2"/>
  <c r="K1588" i="2"/>
  <c r="I1588" i="2"/>
  <c r="K1587" i="2"/>
  <c r="I1587" i="2"/>
  <c r="K1586" i="2"/>
  <c r="I1586" i="2"/>
  <c r="K1585" i="2"/>
  <c r="I1585" i="2"/>
  <c r="K1584" i="2"/>
  <c r="I1584" i="2"/>
  <c r="K1583" i="2"/>
  <c r="I1583" i="2"/>
  <c r="K1582" i="2"/>
  <c r="I1582" i="2"/>
  <c r="K1581" i="2"/>
  <c r="I1581" i="2"/>
  <c r="K1580" i="2"/>
  <c r="I1580" i="2"/>
  <c r="K1579" i="2"/>
  <c r="I1579" i="2"/>
  <c r="K1578" i="2"/>
  <c r="I1578" i="2"/>
  <c r="K1577" i="2"/>
  <c r="I1577" i="2"/>
  <c r="K1576" i="2"/>
  <c r="I1576" i="2"/>
  <c r="K1575" i="2"/>
  <c r="I1575" i="2"/>
  <c r="K1574" i="2"/>
  <c r="I1574" i="2"/>
  <c r="K1573" i="2"/>
  <c r="I1573" i="2"/>
  <c r="K1572" i="2"/>
  <c r="I1572" i="2"/>
  <c r="K1571" i="2"/>
  <c r="I1571" i="2"/>
  <c r="K1570" i="2"/>
  <c r="I1570" i="2"/>
  <c r="K1569" i="2"/>
  <c r="I1569" i="2"/>
  <c r="K1568" i="2"/>
  <c r="I1568" i="2"/>
  <c r="K1567" i="2"/>
  <c r="I1567" i="2"/>
  <c r="K1566" i="2"/>
  <c r="I1566" i="2"/>
  <c r="K1565" i="2"/>
  <c r="I1565" i="2"/>
  <c r="K1564" i="2"/>
  <c r="I1564" i="2"/>
  <c r="K1563" i="2"/>
  <c r="I1563" i="2"/>
  <c r="K1562" i="2"/>
  <c r="I1562" i="2"/>
  <c r="K1561" i="2"/>
  <c r="I1561" i="2"/>
  <c r="K1560" i="2"/>
  <c r="I1560" i="2"/>
  <c r="K1559" i="2"/>
  <c r="I1559" i="2"/>
  <c r="K1558" i="2"/>
  <c r="I1558" i="2"/>
  <c r="K1557" i="2"/>
  <c r="I1557" i="2"/>
  <c r="K1556" i="2"/>
  <c r="I1556" i="2"/>
  <c r="K1555" i="2"/>
  <c r="I1555" i="2"/>
  <c r="K1554" i="2"/>
  <c r="I1554" i="2"/>
  <c r="K1553" i="2"/>
  <c r="I1553" i="2"/>
  <c r="K1552" i="2"/>
  <c r="I1552" i="2"/>
  <c r="K1551" i="2"/>
  <c r="I1551" i="2"/>
  <c r="K1550" i="2"/>
  <c r="I1550" i="2"/>
  <c r="K1549" i="2"/>
  <c r="I1549" i="2"/>
  <c r="K1548" i="2"/>
  <c r="I1548" i="2"/>
  <c r="K1547" i="2"/>
  <c r="I1547" i="2"/>
  <c r="K1546" i="2"/>
  <c r="I1546" i="2"/>
  <c r="K1545" i="2"/>
  <c r="I1545" i="2"/>
  <c r="K1544" i="2"/>
  <c r="I1544" i="2"/>
  <c r="K1543" i="2"/>
  <c r="I1543" i="2"/>
  <c r="K1542" i="2"/>
  <c r="I1542" i="2"/>
  <c r="K1541" i="2"/>
  <c r="I1541" i="2"/>
  <c r="K1540" i="2"/>
  <c r="I1540" i="2"/>
  <c r="K1539" i="2"/>
  <c r="I1539" i="2"/>
  <c r="K1538" i="2"/>
  <c r="I1538" i="2"/>
  <c r="K1537" i="2"/>
  <c r="I1537" i="2"/>
  <c r="K1536" i="2"/>
  <c r="I1536" i="2"/>
  <c r="K1535" i="2"/>
  <c r="I1535" i="2"/>
  <c r="K1534" i="2"/>
  <c r="I1534" i="2"/>
  <c r="K1533" i="2"/>
  <c r="I1533" i="2"/>
  <c r="K1532" i="2"/>
  <c r="I1532" i="2"/>
  <c r="K1531" i="2"/>
  <c r="I1531" i="2"/>
  <c r="K1530" i="2"/>
  <c r="I1530" i="2"/>
  <c r="K1529" i="2"/>
  <c r="I1529" i="2"/>
  <c r="K1528" i="2"/>
  <c r="I1528" i="2"/>
  <c r="K1527" i="2"/>
  <c r="I1527" i="2"/>
  <c r="K1526" i="2"/>
  <c r="I1526" i="2"/>
  <c r="K1525" i="2"/>
  <c r="I1525" i="2"/>
  <c r="K1524" i="2"/>
  <c r="I1524" i="2"/>
  <c r="K1523" i="2"/>
  <c r="I1523" i="2"/>
  <c r="K1522" i="2"/>
  <c r="I1522" i="2"/>
  <c r="K1521" i="2"/>
  <c r="I1521" i="2"/>
  <c r="K1520" i="2"/>
  <c r="I1520" i="2"/>
  <c r="K1519" i="2"/>
  <c r="I1519" i="2"/>
  <c r="K1518" i="2"/>
  <c r="I1518" i="2"/>
  <c r="K1517" i="2"/>
  <c r="I1517" i="2"/>
  <c r="K1516" i="2"/>
  <c r="I1516" i="2"/>
  <c r="K1515" i="2"/>
  <c r="I1515" i="2"/>
  <c r="K1514" i="2"/>
  <c r="I1514" i="2"/>
  <c r="K1513" i="2"/>
  <c r="I1513" i="2"/>
  <c r="K1512" i="2"/>
  <c r="I1512" i="2"/>
  <c r="K1511" i="2"/>
  <c r="I1511" i="2"/>
  <c r="K1510" i="2"/>
  <c r="I1510" i="2"/>
  <c r="K1509" i="2"/>
  <c r="I1509" i="2"/>
  <c r="K1508" i="2"/>
  <c r="I1508" i="2"/>
  <c r="K1507" i="2"/>
  <c r="I1507" i="2"/>
  <c r="K1506" i="2"/>
  <c r="I1506" i="2"/>
  <c r="K1505" i="2"/>
  <c r="I1505" i="2"/>
  <c r="K1504" i="2"/>
  <c r="I1504" i="2"/>
  <c r="K1503" i="2"/>
  <c r="I1503" i="2"/>
  <c r="K1502" i="2"/>
  <c r="I1502" i="2"/>
  <c r="K1501" i="2"/>
  <c r="I1501" i="2"/>
  <c r="K1500" i="2"/>
  <c r="I1500" i="2"/>
  <c r="K1499" i="2"/>
  <c r="I1499" i="2"/>
  <c r="K1498" i="2"/>
  <c r="I1498" i="2"/>
  <c r="K1497" i="2"/>
  <c r="I1497" i="2"/>
  <c r="K1496" i="2"/>
  <c r="I1496" i="2"/>
  <c r="K1495" i="2"/>
  <c r="I1495" i="2"/>
  <c r="K1494" i="2"/>
  <c r="I1494" i="2"/>
  <c r="K1493" i="2"/>
  <c r="I1493" i="2"/>
  <c r="K1492" i="2"/>
  <c r="I1492" i="2"/>
  <c r="K1491" i="2"/>
  <c r="I1491" i="2"/>
  <c r="K1490" i="2"/>
  <c r="I1490" i="2"/>
  <c r="K1489" i="2"/>
  <c r="I1489" i="2"/>
  <c r="K1488" i="2"/>
  <c r="I1488" i="2"/>
  <c r="K1487" i="2"/>
  <c r="I1487" i="2"/>
  <c r="K1486" i="2"/>
  <c r="I1486" i="2"/>
  <c r="K1485" i="2"/>
  <c r="I1485" i="2"/>
  <c r="K1484" i="2"/>
  <c r="I1484" i="2"/>
  <c r="K1483" i="2"/>
  <c r="I1483" i="2"/>
  <c r="K1482" i="2"/>
  <c r="I1482" i="2"/>
  <c r="K1481" i="2"/>
  <c r="I1481" i="2"/>
  <c r="K1480" i="2"/>
  <c r="I1480" i="2"/>
  <c r="K1479" i="2"/>
  <c r="I1479" i="2"/>
  <c r="K1478" i="2"/>
  <c r="I1478" i="2"/>
  <c r="K1477" i="2"/>
  <c r="I1477" i="2"/>
  <c r="K1476" i="2"/>
  <c r="I1476" i="2"/>
  <c r="K1475" i="2"/>
  <c r="I1475" i="2"/>
  <c r="K1474" i="2"/>
  <c r="I1474" i="2"/>
  <c r="K1473" i="2"/>
  <c r="I1473" i="2"/>
  <c r="K1472" i="2"/>
  <c r="I1472" i="2"/>
  <c r="K1471" i="2"/>
  <c r="I1471" i="2"/>
  <c r="K1470" i="2"/>
  <c r="I1470" i="2"/>
  <c r="K1469" i="2"/>
  <c r="I1469" i="2"/>
  <c r="K1468" i="2"/>
  <c r="I1468" i="2"/>
  <c r="K1467" i="2"/>
  <c r="I1467" i="2"/>
  <c r="K1466" i="2"/>
  <c r="I1466" i="2"/>
  <c r="K1465" i="2"/>
  <c r="I1465" i="2"/>
  <c r="K1464" i="2"/>
  <c r="I1464" i="2"/>
  <c r="K1463" i="2"/>
  <c r="I1463" i="2"/>
  <c r="K1462" i="2"/>
  <c r="I1462" i="2"/>
  <c r="K1461" i="2"/>
  <c r="I1461" i="2"/>
  <c r="K1460" i="2"/>
  <c r="I1460" i="2"/>
  <c r="K1459" i="2"/>
  <c r="I1459" i="2"/>
  <c r="K1458" i="2"/>
  <c r="I1458" i="2"/>
  <c r="K1457" i="2"/>
  <c r="I1457" i="2"/>
  <c r="K1456" i="2"/>
  <c r="I1456" i="2"/>
  <c r="K1455" i="2"/>
  <c r="I1455" i="2"/>
  <c r="K1454" i="2"/>
  <c r="I1454" i="2"/>
  <c r="K1453" i="2"/>
  <c r="I1453" i="2"/>
  <c r="K1452" i="2"/>
  <c r="I1452" i="2"/>
  <c r="K1451" i="2"/>
  <c r="I1451" i="2"/>
  <c r="K1450" i="2"/>
  <c r="I1450" i="2"/>
  <c r="K1449" i="2"/>
  <c r="I1449" i="2"/>
  <c r="K1448" i="2"/>
  <c r="I1448" i="2"/>
  <c r="K1447" i="2"/>
  <c r="I1447" i="2"/>
  <c r="K1446" i="2"/>
  <c r="I1446" i="2"/>
  <c r="K1445" i="2"/>
  <c r="I1445" i="2"/>
  <c r="K1444" i="2"/>
  <c r="I1444" i="2"/>
  <c r="K1443" i="2"/>
  <c r="I1443" i="2"/>
  <c r="K1442" i="2"/>
  <c r="I1442" i="2"/>
  <c r="K1441" i="2"/>
  <c r="I1441" i="2"/>
  <c r="K1440" i="2"/>
  <c r="I1440" i="2"/>
  <c r="K1439" i="2"/>
  <c r="I1439" i="2"/>
  <c r="K1438" i="2"/>
  <c r="I1438" i="2"/>
  <c r="K1437" i="2"/>
  <c r="I1437" i="2"/>
  <c r="K1436" i="2"/>
  <c r="I1436" i="2"/>
  <c r="K1435" i="2"/>
  <c r="I1435" i="2"/>
  <c r="K1434" i="2"/>
  <c r="I1434" i="2"/>
  <c r="K1433" i="2"/>
  <c r="I1433" i="2"/>
  <c r="K1432" i="2"/>
  <c r="I1432" i="2"/>
  <c r="K1431" i="2"/>
  <c r="I1431" i="2"/>
  <c r="K1430" i="2"/>
  <c r="I1430" i="2"/>
  <c r="K1429" i="2"/>
  <c r="I1429" i="2"/>
  <c r="K1428" i="2"/>
  <c r="I1428" i="2"/>
  <c r="K1427" i="2"/>
  <c r="I1427" i="2"/>
  <c r="K1426" i="2"/>
  <c r="I1426" i="2"/>
  <c r="K1425" i="2"/>
  <c r="I1425" i="2"/>
  <c r="K1424" i="2"/>
  <c r="I1424" i="2"/>
  <c r="K1423" i="2"/>
  <c r="I1423" i="2"/>
  <c r="K1422" i="2"/>
  <c r="I1422" i="2"/>
  <c r="K1421" i="2"/>
  <c r="I1421" i="2"/>
  <c r="K1420" i="2"/>
  <c r="I1420" i="2"/>
  <c r="K1419" i="2"/>
  <c r="I1419" i="2"/>
  <c r="K1418" i="2"/>
  <c r="I1418" i="2"/>
  <c r="K1417" i="2"/>
  <c r="I1417" i="2"/>
  <c r="K1416" i="2"/>
  <c r="I1416" i="2"/>
  <c r="K1415" i="2"/>
  <c r="I1415" i="2"/>
  <c r="K1414" i="2"/>
  <c r="I1414" i="2"/>
  <c r="K1413" i="2"/>
  <c r="I1413" i="2"/>
  <c r="K1412" i="2"/>
  <c r="I1412" i="2"/>
  <c r="K1411" i="2"/>
  <c r="I1411" i="2"/>
  <c r="K1410" i="2"/>
  <c r="I1410" i="2"/>
  <c r="K1409" i="2"/>
  <c r="I1409" i="2"/>
  <c r="K1408" i="2"/>
  <c r="I1408" i="2"/>
  <c r="K1407" i="2"/>
  <c r="I1407" i="2"/>
  <c r="K1406" i="2"/>
  <c r="I1406" i="2"/>
  <c r="K1405" i="2"/>
  <c r="I1405" i="2"/>
  <c r="K1404" i="2"/>
  <c r="I1404" i="2"/>
  <c r="K1403" i="2"/>
  <c r="I1403" i="2"/>
  <c r="K1402" i="2"/>
  <c r="I1402" i="2"/>
  <c r="K1401" i="2"/>
  <c r="I1401" i="2"/>
  <c r="K1400" i="2"/>
  <c r="I1400" i="2"/>
  <c r="K1399" i="2"/>
  <c r="I1399" i="2"/>
  <c r="K1398" i="2"/>
  <c r="I1398" i="2"/>
  <c r="K1397" i="2"/>
  <c r="I1397" i="2"/>
  <c r="K1396" i="2"/>
  <c r="I1396" i="2"/>
  <c r="K1395" i="2"/>
  <c r="I1395" i="2"/>
  <c r="K1394" i="2"/>
  <c r="I1394" i="2"/>
  <c r="K1393" i="2"/>
  <c r="I1393" i="2"/>
  <c r="K1392" i="2"/>
  <c r="I1392" i="2"/>
  <c r="K1391" i="2"/>
  <c r="I1391" i="2"/>
  <c r="K1390" i="2"/>
  <c r="I1390" i="2"/>
  <c r="K1389" i="2"/>
  <c r="I1389" i="2"/>
  <c r="K1388" i="2"/>
  <c r="I1388" i="2"/>
  <c r="K1387" i="2"/>
  <c r="I1387" i="2"/>
  <c r="K1386" i="2"/>
  <c r="I1386" i="2"/>
  <c r="K1385" i="2"/>
  <c r="I1385" i="2"/>
  <c r="K1384" i="2"/>
  <c r="I1384" i="2"/>
  <c r="K1383" i="2"/>
  <c r="I1383" i="2"/>
  <c r="K1382" i="2"/>
  <c r="I1382" i="2"/>
  <c r="K1381" i="2"/>
  <c r="I1381" i="2"/>
  <c r="K1380" i="2"/>
  <c r="I1380" i="2"/>
  <c r="K1379" i="2"/>
  <c r="I1379" i="2"/>
  <c r="K1378" i="2"/>
  <c r="I1378" i="2"/>
  <c r="K1377" i="2"/>
  <c r="I1377" i="2"/>
  <c r="K1376" i="2"/>
  <c r="I1376" i="2"/>
  <c r="K1375" i="2"/>
  <c r="I1375" i="2"/>
  <c r="K1374" i="2"/>
  <c r="I1374" i="2"/>
  <c r="K1373" i="2"/>
  <c r="I1373" i="2"/>
  <c r="K1372" i="2"/>
  <c r="I1372" i="2"/>
  <c r="K1371" i="2"/>
  <c r="I1371" i="2"/>
  <c r="K1370" i="2"/>
  <c r="I1370" i="2"/>
  <c r="K1369" i="2"/>
  <c r="I1369" i="2"/>
  <c r="K1368" i="2"/>
  <c r="I1368" i="2"/>
  <c r="K1367" i="2"/>
  <c r="I1367" i="2"/>
  <c r="K1366" i="2"/>
  <c r="I1366" i="2"/>
  <c r="K1365" i="2"/>
  <c r="I1365" i="2"/>
  <c r="K1364" i="2"/>
  <c r="I1364" i="2"/>
  <c r="K1363" i="2"/>
  <c r="I1363" i="2"/>
  <c r="K1362" i="2"/>
  <c r="I1362" i="2"/>
  <c r="K1361" i="2"/>
  <c r="I1361" i="2"/>
  <c r="K1360" i="2"/>
  <c r="I1360" i="2"/>
  <c r="K1359" i="2"/>
  <c r="I1359" i="2"/>
  <c r="K1358" i="2"/>
  <c r="I1358" i="2"/>
  <c r="K1357" i="2"/>
  <c r="I1357" i="2"/>
  <c r="K1356" i="2"/>
  <c r="I1356" i="2"/>
  <c r="K1355" i="2"/>
  <c r="I1355" i="2"/>
  <c r="K1354" i="2"/>
  <c r="I1354" i="2"/>
  <c r="K1353" i="2"/>
  <c r="I1353" i="2"/>
  <c r="K1352" i="2"/>
  <c r="I1352" i="2"/>
  <c r="K1351" i="2"/>
  <c r="I1351" i="2"/>
  <c r="K1350" i="2"/>
  <c r="I1350" i="2"/>
  <c r="K1349" i="2"/>
  <c r="I1349" i="2"/>
  <c r="K1348" i="2"/>
  <c r="I1348" i="2"/>
  <c r="K1347" i="2"/>
  <c r="I1347" i="2"/>
  <c r="K1346" i="2"/>
  <c r="I1346" i="2"/>
  <c r="K1345" i="2"/>
  <c r="I1345" i="2"/>
  <c r="K1344" i="2"/>
  <c r="I1344" i="2"/>
  <c r="K1343" i="2"/>
  <c r="I1343" i="2"/>
  <c r="K1342" i="2"/>
  <c r="I1342" i="2"/>
  <c r="K1341" i="2"/>
  <c r="I1341" i="2"/>
  <c r="K1340" i="2"/>
  <c r="I1340" i="2"/>
  <c r="K1339" i="2"/>
  <c r="I1339" i="2"/>
  <c r="K1338" i="2"/>
  <c r="I1338" i="2"/>
  <c r="K1337" i="2"/>
  <c r="I1337" i="2"/>
  <c r="K1336" i="2"/>
  <c r="I1336" i="2"/>
  <c r="K1335" i="2"/>
  <c r="I1335" i="2"/>
  <c r="K1334" i="2"/>
  <c r="I1334" i="2"/>
  <c r="K1333" i="2"/>
  <c r="I1333" i="2"/>
  <c r="K1332" i="2"/>
  <c r="I1332" i="2"/>
  <c r="K1331" i="2"/>
  <c r="I1331" i="2"/>
  <c r="K1330" i="2"/>
  <c r="I1330" i="2"/>
  <c r="K1329" i="2"/>
  <c r="I1329" i="2"/>
  <c r="K1328" i="2"/>
  <c r="I1328" i="2"/>
  <c r="K1327" i="2"/>
  <c r="I1327" i="2"/>
  <c r="K1326" i="2"/>
  <c r="I1326" i="2"/>
  <c r="K1325" i="2"/>
  <c r="I1325" i="2"/>
  <c r="K1324" i="2"/>
  <c r="I1324" i="2"/>
  <c r="K1323" i="2"/>
  <c r="I1323" i="2"/>
  <c r="K1322" i="2"/>
  <c r="I1322" i="2"/>
  <c r="K1321" i="2"/>
  <c r="I1321" i="2"/>
  <c r="K1320" i="2"/>
  <c r="I1320" i="2"/>
  <c r="K1319" i="2"/>
  <c r="I1319" i="2"/>
  <c r="K1318" i="2"/>
  <c r="I1318" i="2"/>
  <c r="K1317" i="2"/>
  <c r="I1317" i="2"/>
  <c r="K1316" i="2"/>
  <c r="I1316" i="2"/>
  <c r="K1315" i="2"/>
  <c r="I1315" i="2"/>
  <c r="K1314" i="2"/>
  <c r="I1314" i="2"/>
  <c r="K1313" i="2"/>
  <c r="I1313" i="2"/>
  <c r="K1312" i="2"/>
  <c r="I1312" i="2"/>
  <c r="K1311" i="2"/>
  <c r="I1311" i="2"/>
  <c r="K1310" i="2"/>
  <c r="I1310" i="2"/>
  <c r="K1309" i="2"/>
  <c r="I1309" i="2"/>
  <c r="K1308" i="2"/>
  <c r="I1308" i="2"/>
  <c r="K1307" i="2"/>
  <c r="I1307" i="2"/>
  <c r="K1306" i="2"/>
  <c r="I1306" i="2"/>
  <c r="K1305" i="2"/>
  <c r="I1305" i="2"/>
  <c r="K1304" i="2"/>
  <c r="I1304" i="2"/>
  <c r="K1303" i="2"/>
  <c r="I1303" i="2"/>
  <c r="K1302" i="2"/>
  <c r="I1302" i="2"/>
  <c r="K1301" i="2"/>
  <c r="I1301" i="2"/>
  <c r="K1300" i="2"/>
  <c r="I1300" i="2"/>
  <c r="K1299" i="2"/>
  <c r="I1299" i="2"/>
  <c r="K1298" i="2"/>
  <c r="I1298" i="2"/>
  <c r="K1297" i="2"/>
  <c r="I1297" i="2"/>
  <c r="K1296" i="2"/>
  <c r="I1296" i="2"/>
  <c r="K1295" i="2"/>
  <c r="I1295" i="2"/>
  <c r="K1294" i="2"/>
  <c r="I1294" i="2"/>
  <c r="K1293" i="2"/>
  <c r="I1293" i="2"/>
  <c r="K1292" i="2"/>
  <c r="I1292" i="2"/>
  <c r="K1291" i="2"/>
  <c r="I1291" i="2"/>
  <c r="K1290" i="2"/>
  <c r="I1290" i="2"/>
  <c r="K1289" i="2"/>
  <c r="I1289" i="2"/>
  <c r="K1288" i="2"/>
  <c r="I1288" i="2"/>
  <c r="K1287" i="2"/>
  <c r="I1287" i="2"/>
  <c r="K1286" i="2"/>
  <c r="I1286" i="2"/>
  <c r="K1285" i="2"/>
  <c r="I1285" i="2"/>
  <c r="K1284" i="2"/>
  <c r="I1284" i="2"/>
  <c r="K1283" i="2"/>
  <c r="I1283" i="2"/>
  <c r="K1282" i="2"/>
  <c r="I1282" i="2"/>
  <c r="K1281" i="2"/>
  <c r="I1281" i="2"/>
  <c r="K1280" i="2"/>
  <c r="I1280" i="2"/>
  <c r="K1279" i="2"/>
  <c r="I1279" i="2"/>
  <c r="K1278" i="2"/>
  <c r="I1278" i="2"/>
  <c r="K1277" i="2"/>
  <c r="I1277" i="2"/>
  <c r="K1276" i="2"/>
  <c r="I1276" i="2"/>
  <c r="K1275" i="2"/>
  <c r="I1275" i="2"/>
  <c r="K1274" i="2"/>
  <c r="I1274" i="2"/>
  <c r="K1273" i="2"/>
  <c r="I1273" i="2"/>
  <c r="K1272" i="2"/>
  <c r="I1272" i="2"/>
  <c r="K1271" i="2"/>
  <c r="I1271" i="2"/>
  <c r="K1270" i="2"/>
  <c r="I1270" i="2"/>
  <c r="K1269" i="2"/>
  <c r="I1269" i="2"/>
  <c r="K1268" i="2"/>
  <c r="I1268" i="2"/>
  <c r="K1267" i="2"/>
  <c r="I1267" i="2"/>
  <c r="K1266" i="2"/>
  <c r="I1266" i="2"/>
  <c r="K1265" i="2"/>
  <c r="I1265" i="2"/>
  <c r="K1264" i="2"/>
  <c r="I1264" i="2"/>
  <c r="K1263" i="2"/>
  <c r="I1263" i="2"/>
  <c r="K1262" i="2"/>
  <c r="I1262" i="2"/>
  <c r="K1261" i="2"/>
  <c r="I1261" i="2"/>
  <c r="K1260" i="2"/>
  <c r="I1260" i="2"/>
  <c r="K1259" i="2"/>
  <c r="I1259" i="2"/>
  <c r="K1258" i="2"/>
  <c r="I1258" i="2"/>
  <c r="K1257" i="2"/>
  <c r="I1257" i="2"/>
  <c r="K1256" i="2"/>
  <c r="I1256" i="2"/>
  <c r="K1255" i="2"/>
  <c r="I1255" i="2"/>
  <c r="K1254" i="2"/>
  <c r="I1254" i="2"/>
  <c r="K1253" i="2"/>
  <c r="I1253" i="2"/>
  <c r="K1252" i="2"/>
  <c r="I1252" i="2"/>
  <c r="K1251" i="2"/>
  <c r="I1251" i="2"/>
  <c r="K1250" i="2"/>
  <c r="I1250" i="2"/>
  <c r="K1249" i="2"/>
  <c r="I1249" i="2"/>
  <c r="K1248" i="2"/>
  <c r="I1248" i="2"/>
  <c r="K1247" i="2"/>
  <c r="I1247" i="2"/>
  <c r="K1246" i="2"/>
  <c r="I1246" i="2"/>
  <c r="K1245" i="2"/>
  <c r="I1245" i="2"/>
  <c r="K1244" i="2"/>
  <c r="I1244" i="2"/>
  <c r="K1243" i="2"/>
  <c r="I1243" i="2"/>
  <c r="K1242" i="2"/>
  <c r="I1242" i="2"/>
  <c r="K1241" i="2"/>
  <c r="I1241" i="2"/>
  <c r="K1240" i="2"/>
  <c r="I1240" i="2"/>
  <c r="K1239" i="2"/>
  <c r="I1239" i="2"/>
  <c r="K1238" i="2"/>
  <c r="I1238" i="2"/>
  <c r="K1237" i="2"/>
  <c r="I1237" i="2"/>
  <c r="K1236" i="2"/>
  <c r="I1236" i="2"/>
  <c r="K1235" i="2"/>
  <c r="I1235" i="2"/>
  <c r="K1234" i="2"/>
  <c r="I1234" i="2"/>
  <c r="K1233" i="2"/>
  <c r="I1233" i="2"/>
  <c r="K1232" i="2"/>
  <c r="I1232" i="2"/>
  <c r="K1231" i="2"/>
  <c r="I1231" i="2"/>
  <c r="K1230" i="2"/>
  <c r="I1230" i="2"/>
  <c r="K1229" i="2"/>
  <c r="I1229" i="2"/>
  <c r="K1228" i="2"/>
  <c r="I1228" i="2"/>
  <c r="K1227" i="2"/>
  <c r="I1227" i="2"/>
  <c r="K1226" i="2"/>
  <c r="I1226" i="2"/>
  <c r="K1225" i="2"/>
  <c r="I1225" i="2"/>
  <c r="K1224" i="2"/>
  <c r="I1224" i="2"/>
  <c r="K1223" i="2"/>
  <c r="I1223" i="2"/>
  <c r="K1222" i="2"/>
  <c r="I1222" i="2"/>
  <c r="K1221" i="2"/>
  <c r="I1221" i="2"/>
  <c r="K1220" i="2"/>
  <c r="I1220" i="2"/>
  <c r="K1219" i="2"/>
  <c r="I1219" i="2"/>
  <c r="K1218" i="2"/>
  <c r="I1218" i="2"/>
  <c r="K1217" i="2"/>
  <c r="I1217" i="2"/>
  <c r="K1216" i="2"/>
  <c r="I1216" i="2"/>
  <c r="K1215" i="2"/>
  <c r="I1215" i="2"/>
  <c r="K1214" i="2"/>
  <c r="I1214" i="2"/>
  <c r="K1213" i="2"/>
  <c r="I1213" i="2"/>
  <c r="K1212" i="2"/>
  <c r="I1212" i="2"/>
  <c r="K1211" i="2"/>
  <c r="I1211" i="2"/>
  <c r="K1210" i="2"/>
  <c r="I1210" i="2"/>
  <c r="K1209" i="2"/>
  <c r="I1209" i="2"/>
  <c r="K1208" i="2"/>
  <c r="I1208" i="2"/>
  <c r="K1207" i="2"/>
  <c r="I1207" i="2"/>
  <c r="K1206" i="2"/>
  <c r="I1206" i="2"/>
  <c r="K1205" i="2"/>
  <c r="I1205" i="2"/>
  <c r="K1204" i="2"/>
  <c r="I1204" i="2"/>
  <c r="K1203" i="2"/>
  <c r="I1203" i="2"/>
  <c r="K1202" i="2"/>
  <c r="I1202" i="2"/>
  <c r="K1201" i="2"/>
  <c r="I1201" i="2"/>
  <c r="K1200" i="2"/>
  <c r="I1200" i="2"/>
  <c r="K1199" i="2"/>
  <c r="I1199" i="2"/>
  <c r="K1198" i="2"/>
  <c r="I1198" i="2"/>
  <c r="K1197" i="2"/>
  <c r="I1197" i="2"/>
  <c r="K1196" i="2"/>
  <c r="I1196" i="2"/>
  <c r="K1195" i="2"/>
  <c r="I1195" i="2"/>
  <c r="K1194" i="2"/>
  <c r="I1194" i="2"/>
  <c r="K1193" i="2"/>
  <c r="I1193" i="2"/>
  <c r="K1192" i="2"/>
  <c r="I1192" i="2"/>
  <c r="K1191" i="2"/>
  <c r="I1191" i="2"/>
  <c r="K1190" i="2"/>
  <c r="I1190" i="2"/>
  <c r="K1189" i="2"/>
  <c r="I1189" i="2"/>
  <c r="K1188" i="2"/>
  <c r="I1188" i="2"/>
  <c r="K1187" i="2"/>
  <c r="I1187" i="2"/>
  <c r="K1186" i="2"/>
  <c r="I1186" i="2"/>
  <c r="K1185" i="2"/>
  <c r="I1185" i="2"/>
  <c r="K1184" i="2"/>
  <c r="I1184" i="2"/>
  <c r="K1183" i="2"/>
  <c r="I1183" i="2"/>
  <c r="K1182" i="2"/>
  <c r="I1182" i="2"/>
  <c r="K1181" i="2"/>
  <c r="I1181" i="2"/>
  <c r="K1180" i="2"/>
  <c r="I1180" i="2"/>
  <c r="K1179" i="2"/>
  <c r="I1179" i="2"/>
  <c r="K1178" i="2"/>
  <c r="I1178" i="2"/>
  <c r="K1177" i="2"/>
  <c r="I1177" i="2"/>
  <c r="K1176" i="2"/>
  <c r="I1176" i="2"/>
  <c r="K1175" i="2"/>
  <c r="I1175" i="2"/>
  <c r="K1174" i="2"/>
  <c r="I1174" i="2"/>
  <c r="K1173" i="2"/>
  <c r="I1173" i="2"/>
  <c r="K1172" i="2"/>
  <c r="I1172" i="2"/>
  <c r="K1171" i="2"/>
  <c r="I1171" i="2"/>
  <c r="K1170" i="2"/>
  <c r="I1170" i="2"/>
  <c r="K1169" i="2"/>
  <c r="I1169" i="2"/>
  <c r="K1168" i="2"/>
  <c r="I1168" i="2"/>
  <c r="K1167" i="2"/>
  <c r="I1167" i="2"/>
  <c r="K1166" i="2"/>
  <c r="I1166" i="2"/>
  <c r="K1165" i="2"/>
  <c r="I1165" i="2"/>
  <c r="K1164" i="2"/>
  <c r="I1164" i="2"/>
  <c r="K1163" i="2"/>
  <c r="I1163" i="2"/>
  <c r="K1162" i="2"/>
  <c r="I1162" i="2"/>
  <c r="K1161" i="2"/>
  <c r="I1161" i="2"/>
  <c r="K1160" i="2"/>
  <c r="I1160" i="2"/>
  <c r="K1159" i="2"/>
  <c r="I1159" i="2"/>
  <c r="K1158" i="2"/>
  <c r="I1158" i="2"/>
  <c r="K1157" i="2"/>
  <c r="I1157" i="2"/>
  <c r="K1156" i="2"/>
  <c r="I1156" i="2"/>
  <c r="K1155" i="2"/>
  <c r="I1155" i="2"/>
  <c r="K1154" i="2"/>
  <c r="I1154" i="2"/>
  <c r="K1153" i="2"/>
  <c r="I1153" i="2"/>
  <c r="K1152" i="2"/>
  <c r="I1152" i="2"/>
  <c r="K1151" i="2"/>
  <c r="I1151" i="2"/>
  <c r="K1150" i="2"/>
  <c r="I1150" i="2"/>
  <c r="K1149" i="2"/>
  <c r="I1149" i="2"/>
  <c r="K1148" i="2"/>
  <c r="I1148" i="2"/>
  <c r="K1147" i="2"/>
  <c r="I1147" i="2"/>
  <c r="K1146" i="2"/>
  <c r="I1146" i="2"/>
  <c r="K1145" i="2"/>
  <c r="I1145" i="2"/>
  <c r="K1144" i="2"/>
  <c r="I1144" i="2"/>
  <c r="K1143" i="2"/>
  <c r="I1143" i="2"/>
  <c r="K1142" i="2"/>
  <c r="I1142" i="2"/>
  <c r="K1141" i="2"/>
  <c r="I1141" i="2"/>
  <c r="K1140" i="2"/>
  <c r="I1140" i="2"/>
  <c r="K1139" i="2"/>
  <c r="I1139" i="2"/>
  <c r="K1138" i="2"/>
  <c r="I1138" i="2"/>
  <c r="K1137" i="2"/>
  <c r="I1137" i="2"/>
  <c r="K1136" i="2"/>
  <c r="I1136" i="2"/>
  <c r="K1135" i="2"/>
  <c r="I1135" i="2"/>
  <c r="K1134" i="2"/>
  <c r="I1134" i="2"/>
  <c r="K1133" i="2"/>
  <c r="I1133" i="2"/>
  <c r="K1132" i="2"/>
  <c r="I1132" i="2"/>
  <c r="K1131" i="2"/>
  <c r="I1131" i="2"/>
  <c r="K1130" i="2"/>
  <c r="I1130" i="2"/>
  <c r="K1129" i="2"/>
  <c r="I1129" i="2"/>
  <c r="K1128" i="2"/>
  <c r="I1128" i="2"/>
  <c r="K1127" i="2"/>
  <c r="I1127" i="2"/>
  <c r="K1126" i="2"/>
  <c r="I1126" i="2"/>
  <c r="K1125" i="2"/>
  <c r="I1125" i="2"/>
  <c r="K1124" i="2"/>
  <c r="I1124" i="2"/>
  <c r="K1123" i="2"/>
  <c r="I1123" i="2"/>
  <c r="K1122" i="2"/>
  <c r="I1122" i="2"/>
  <c r="K1121" i="2"/>
  <c r="I1121" i="2"/>
  <c r="K1120" i="2"/>
  <c r="I1120" i="2"/>
  <c r="K1119" i="2"/>
  <c r="I1119" i="2"/>
  <c r="K1118" i="2"/>
  <c r="I1118" i="2"/>
  <c r="K1117" i="2"/>
  <c r="I1117" i="2"/>
  <c r="K1116" i="2"/>
  <c r="I1116" i="2"/>
  <c r="K1115" i="2"/>
  <c r="I1115" i="2"/>
  <c r="K1114" i="2"/>
  <c r="I1114" i="2"/>
  <c r="K1113" i="2"/>
  <c r="I1113" i="2"/>
  <c r="K1112" i="2"/>
  <c r="I1112" i="2"/>
  <c r="K1111" i="2"/>
  <c r="I1111" i="2"/>
  <c r="K1110" i="2"/>
  <c r="I1110" i="2"/>
  <c r="K1109" i="2"/>
  <c r="I1109" i="2"/>
  <c r="K1108" i="2"/>
  <c r="I1108" i="2"/>
  <c r="K1107" i="2"/>
  <c r="I1107" i="2"/>
  <c r="K1106" i="2"/>
  <c r="I1106" i="2"/>
  <c r="K1105" i="2"/>
  <c r="I1105" i="2"/>
  <c r="K1104" i="2"/>
  <c r="I1104" i="2"/>
  <c r="K1103" i="2"/>
  <c r="I1103" i="2"/>
  <c r="K1102" i="2"/>
  <c r="I1102" i="2"/>
  <c r="K1101" i="2"/>
  <c r="I1101" i="2"/>
  <c r="K1100" i="2"/>
  <c r="I1100" i="2"/>
  <c r="K1099" i="2"/>
  <c r="I1099" i="2"/>
  <c r="K1098" i="2"/>
  <c r="I1098" i="2"/>
  <c r="K1097" i="2"/>
  <c r="I1097" i="2"/>
  <c r="K1096" i="2"/>
  <c r="I1096" i="2"/>
  <c r="K1095" i="2"/>
  <c r="I1095" i="2"/>
  <c r="K1094" i="2"/>
  <c r="I1094" i="2"/>
  <c r="K1093" i="2"/>
  <c r="I1093" i="2"/>
  <c r="K1092" i="2"/>
  <c r="I1092" i="2"/>
  <c r="K1091" i="2"/>
  <c r="I1091" i="2"/>
  <c r="K1090" i="2"/>
  <c r="I1090" i="2"/>
  <c r="K1089" i="2"/>
  <c r="I1089" i="2"/>
  <c r="K1088" i="2"/>
  <c r="I1088" i="2"/>
  <c r="K1087" i="2"/>
  <c r="I1087" i="2"/>
  <c r="K1086" i="2"/>
  <c r="I1086" i="2"/>
  <c r="K1085" i="2"/>
  <c r="I1085" i="2"/>
  <c r="K1084" i="2"/>
  <c r="I1084" i="2"/>
  <c r="K1083" i="2"/>
  <c r="I1083" i="2"/>
  <c r="K1082" i="2"/>
  <c r="I1082" i="2"/>
  <c r="K1081" i="2"/>
  <c r="I1081" i="2"/>
  <c r="K1080" i="2"/>
  <c r="I1080" i="2"/>
  <c r="K1079" i="2"/>
  <c r="I1079" i="2"/>
  <c r="K1078" i="2"/>
  <c r="I1078" i="2"/>
  <c r="K1077" i="2"/>
  <c r="I1077" i="2"/>
  <c r="K1076" i="2"/>
  <c r="I1076" i="2"/>
  <c r="K1075" i="2"/>
  <c r="I1075" i="2"/>
  <c r="K1074" i="2"/>
  <c r="I1074" i="2"/>
  <c r="K1073" i="2"/>
  <c r="I1073" i="2"/>
  <c r="K1072" i="2"/>
  <c r="I1072" i="2"/>
  <c r="K1071" i="2"/>
  <c r="I1071" i="2"/>
  <c r="K1070" i="2"/>
  <c r="I1070" i="2"/>
  <c r="K1069" i="2"/>
  <c r="I1069" i="2"/>
  <c r="K1068" i="2"/>
  <c r="I1068" i="2"/>
  <c r="K1067" i="2"/>
  <c r="I1067" i="2"/>
  <c r="K1066" i="2"/>
  <c r="I1066" i="2"/>
  <c r="K1065" i="2"/>
  <c r="I1065" i="2"/>
  <c r="K1064" i="2"/>
  <c r="I1064" i="2"/>
  <c r="K1063" i="2"/>
  <c r="I1063" i="2"/>
  <c r="K1062" i="2"/>
  <c r="I1062" i="2"/>
  <c r="K1061" i="2"/>
  <c r="I1061" i="2"/>
  <c r="K1060" i="2"/>
  <c r="I1060" i="2"/>
  <c r="K1059" i="2"/>
  <c r="I1059" i="2"/>
  <c r="K1058" i="2"/>
  <c r="I1058" i="2"/>
  <c r="K1057" i="2"/>
  <c r="I1057" i="2"/>
  <c r="K1056" i="2"/>
  <c r="I1056" i="2"/>
  <c r="K1055" i="2"/>
  <c r="I1055" i="2"/>
  <c r="K1054" i="2"/>
  <c r="I1054" i="2"/>
  <c r="K1053" i="2"/>
  <c r="I1053" i="2"/>
  <c r="K1052" i="2"/>
  <c r="I1052" i="2"/>
  <c r="K1051" i="2"/>
  <c r="I1051" i="2"/>
  <c r="K1050" i="2"/>
  <c r="I1050" i="2"/>
  <c r="K1049" i="2"/>
  <c r="I1049" i="2"/>
  <c r="K1048" i="2"/>
  <c r="I1048" i="2"/>
  <c r="K1047" i="2"/>
  <c r="I1047" i="2"/>
  <c r="K1046" i="2"/>
  <c r="I1046" i="2"/>
  <c r="K1045" i="2"/>
  <c r="I1045" i="2"/>
  <c r="K1044" i="2"/>
  <c r="I1044" i="2"/>
  <c r="K1043" i="2"/>
  <c r="I1043" i="2"/>
  <c r="K1042" i="2"/>
  <c r="I1042" i="2"/>
  <c r="K1041" i="2"/>
  <c r="I1041" i="2"/>
  <c r="K1040" i="2"/>
  <c r="I1040" i="2"/>
  <c r="K1039" i="2"/>
  <c r="I1039" i="2"/>
  <c r="K1038" i="2"/>
  <c r="I1038" i="2"/>
  <c r="K1037" i="2"/>
  <c r="I1037" i="2"/>
  <c r="K1036" i="2"/>
  <c r="I1036" i="2"/>
  <c r="K1035" i="2"/>
  <c r="I1035" i="2"/>
  <c r="K1034" i="2"/>
  <c r="I1034" i="2"/>
  <c r="K1033" i="2"/>
  <c r="I1033" i="2"/>
  <c r="K1032" i="2"/>
  <c r="I1032" i="2"/>
  <c r="K1031" i="2"/>
  <c r="I1031" i="2"/>
  <c r="K1030" i="2"/>
  <c r="I1030" i="2"/>
  <c r="K1029" i="2"/>
  <c r="I1029" i="2"/>
  <c r="K1028" i="2"/>
  <c r="I1028" i="2"/>
  <c r="K1027" i="2"/>
  <c r="I1027" i="2"/>
  <c r="K1026" i="2"/>
  <c r="I1026" i="2"/>
  <c r="K1025" i="2"/>
  <c r="I1025" i="2"/>
  <c r="K1024" i="2"/>
  <c r="I1024" i="2"/>
  <c r="K1023" i="2"/>
  <c r="I1023" i="2"/>
  <c r="K1022" i="2"/>
  <c r="I1022" i="2"/>
  <c r="K1021" i="2"/>
  <c r="I1021" i="2"/>
  <c r="K1020" i="2"/>
  <c r="I1020" i="2"/>
  <c r="K1019" i="2"/>
  <c r="I1019" i="2"/>
  <c r="K1018" i="2"/>
  <c r="I1018" i="2"/>
  <c r="K1017" i="2"/>
  <c r="I1017" i="2"/>
  <c r="K1016" i="2"/>
  <c r="I1016" i="2"/>
  <c r="K1015" i="2"/>
  <c r="I1015" i="2"/>
  <c r="K1014" i="2"/>
  <c r="I1014" i="2"/>
  <c r="K1013" i="2"/>
  <c r="I1013" i="2"/>
  <c r="K1012" i="2"/>
  <c r="I1012" i="2"/>
  <c r="K1011" i="2"/>
  <c r="I1011" i="2"/>
  <c r="K1010" i="2"/>
  <c r="I1010" i="2"/>
  <c r="K1009" i="2"/>
  <c r="I1009" i="2"/>
  <c r="K1008" i="2"/>
  <c r="I1008" i="2"/>
  <c r="K1007" i="2"/>
  <c r="I1007" i="2"/>
  <c r="K1006" i="2"/>
  <c r="I1006" i="2"/>
  <c r="K1005" i="2"/>
  <c r="I1005" i="2"/>
  <c r="K1004" i="2"/>
  <c r="I1004" i="2"/>
  <c r="K1003" i="2"/>
  <c r="I1003" i="2"/>
  <c r="K1002" i="2"/>
  <c r="I1002" i="2"/>
  <c r="K1001" i="2"/>
  <c r="I1001" i="2"/>
  <c r="K1000" i="2"/>
  <c r="I1000" i="2"/>
  <c r="K999" i="2"/>
  <c r="I999" i="2"/>
  <c r="K998" i="2"/>
  <c r="I998" i="2"/>
  <c r="K997" i="2"/>
  <c r="I997" i="2"/>
  <c r="K996" i="2"/>
  <c r="I996" i="2"/>
  <c r="K995" i="2"/>
  <c r="I995" i="2"/>
  <c r="K994" i="2"/>
  <c r="I994" i="2"/>
  <c r="K993" i="2"/>
  <c r="I993" i="2"/>
  <c r="K992" i="2"/>
  <c r="I992" i="2"/>
  <c r="K991" i="2"/>
  <c r="I991" i="2"/>
  <c r="K990" i="2"/>
  <c r="I990" i="2"/>
  <c r="K989" i="2"/>
  <c r="I989" i="2"/>
  <c r="K988" i="2"/>
  <c r="I988" i="2"/>
  <c r="K987" i="2"/>
  <c r="I987" i="2"/>
  <c r="K986" i="2"/>
  <c r="I986" i="2"/>
  <c r="K985" i="2"/>
  <c r="I985" i="2"/>
  <c r="K984" i="2"/>
  <c r="I984" i="2"/>
  <c r="K983" i="2"/>
  <c r="I983" i="2"/>
  <c r="K982" i="2"/>
  <c r="I982" i="2"/>
  <c r="K981" i="2"/>
  <c r="I981" i="2"/>
  <c r="K980" i="2"/>
  <c r="I980" i="2"/>
  <c r="K979" i="2"/>
  <c r="I979" i="2"/>
  <c r="K978" i="2"/>
  <c r="I978" i="2"/>
  <c r="K977" i="2"/>
  <c r="I977" i="2"/>
  <c r="K976" i="2"/>
  <c r="I976" i="2"/>
  <c r="K975" i="2"/>
  <c r="I975" i="2"/>
  <c r="K974" i="2"/>
  <c r="I974" i="2"/>
  <c r="K973" i="2"/>
  <c r="I973" i="2"/>
  <c r="K972" i="2"/>
  <c r="I972" i="2"/>
  <c r="K971" i="2"/>
  <c r="I971" i="2"/>
  <c r="K970" i="2"/>
  <c r="I970" i="2"/>
  <c r="K969" i="2"/>
  <c r="I969" i="2"/>
  <c r="K968" i="2"/>
  <c r="I968" i="2"/>
  <c r="K967" i="2"/>
  <c r="I967" i="2"/>
  <c r="K966" i="2"/>
  <c r="I966" i="2"/>
  <c r="K965" i="2"/>
  <c r="I965" i="2"/>
  <c r="K964" i="2"/>
  <c r="I964" i="2"/>
  <c r="K963" i="2"/>
  <c r="I963" i="2"/>
  <c r="K962" i="2"/>
  <c r="I962" i="2"/>
  <c r="K961" i="2"/>
  <c r="I961" i="2"/>
  <c r="K960" i="2"/>
  <c r="I960" i="2"/>
  <c r="K959" i="2"/>
  <c r="I959" i="2"/>
  <c r="K958" i="2"/>
  <c r="I958" i="2"/>
  <c r="K957" i="2"/>
  <c r="I957" i="2"/>
  <c r="K956" i="2"/>
  <c r="I956" i="2"/>
  <c r="K955" i="2"/>
  <c r="I955" i="2"/>
  <c r="K954" i="2"/>
  <c r="I954" i="2"/>
  <c r="K953" i="2"/>
  <c r="I953" i="2"/>
  <c r="K952" i="2"/>
  <c r="I952" i="2"/>
  <c r="K951" i="2"/>
  <c r="I951" i="2"/>
  <c r="K950" i="2"/>
  <c r="I950" i="2"/>
  <c r="K949" i="2"/>
  <c r="I949" i="2"/>
  <c r="K948" i="2"/>
  <c r="I948" i="2"/>
  <c r="K947" i="2"/>
  <c r="I947" i="2"/>
  <c r="K946" i="2"/>
  <c r="I946" i="2"/>
  <c r="K945" i="2"/>
  <c r="I945" i="2"/>
  <c r="K944" i="2"/>
  <c r="I944" i="2"/>
  <c r="K943" i="2"/>
  <c r="I943" i="2"/>
  <c r="K942" i="2"/>
  <c r="I942" i="2"/>
  <c r="K941" i="2"/>
  <c r="I941" i="2"/>
  <c r="K940" i="2"/>
  <c r="I940" i="2"/>
  <c r="K939" i="2"/>
  <c r="I939" i="2"/>
  <c r="K938" i="2"/>
  <c r="I938" i="2"/>
  <c r="K937" i="2"/>
  <c r="I937" i="2"/>
  <c r="K936" i="2"/>
  <c r="I936" i="2"/>
  <c r="K935" i="2"/>
  <c r="I935" i="2"/>
  <c r="K934" i="2"/>
  <c r="I934" i="2"/>
  <c r="K933" i="2"/>
  <c r="I933" i="2"/>
  <c r="K932" i="2"/>
  <c r="I932" i="2"/>
  <c r="K931" i="2"/>
  <c r="I931" i="2"/>
  <c r="K930" i="2"/>
  <c r="I930" i="2"/>
  <c r="K929" i="2"/>
  <c r="I929" i="2"/>
  <c r="K928" i="2"/>
  <c r="I928" i="2"/>
  <c r="K927" i="2"/>
  <c r="I927" i="2"/>
  <c r="K926" i="2"/>
  <c r="I926" i="2"/>
  <c r="K925" i="2"/>
  <c r="I925" i="2"/>
  <c r="K924" i="2"/>
  <c r="I924" i="2"/>
  <c r="K923" i="2"/>
  <c r="I923" i="2"/>
  <c r="K922" i="2"/>
  <c r="I922" i="2"/>
  <c r="K921" i="2"/>
  <c r="I921" i="2"/>
  <c r="K920" i="2"/>
  <c r="I920" i="2"/>
  <c r="K919" i="2"/>
  <c r="I919" i="2"/>
  <c r="K918" i="2"/>
  <c r="I918" i="2"/>
  <c r="K917" i="2"/>
  <c r="I917" i="2"/>
  <c r="K916" i="2"/>
  <c r="I916" i="2"/>
  <c r="K915" i="2"/>
  <c r="I915" i="2"/>
  <c r="K914" i="2"/>
  <c r="I914" i="2"/>
  <c r="K913" i="2"/>
  <c r="I913" i="2"/>
  <c r="K912" i="2"/>
  <c r="I912" i="2"/>
  <c r="K911" i="2"/>
  <c r="I911" i="2"/>
  <c r="K910" i="2"/>
  <c r="I910" i="2"/>
  <c r="K909" i="2"/>
  <c r="I909" i="2"/>
  <c r="K908" i="2"/>
  <c r="I908" i="2"/>
  <c r="K907" i="2"/>
  <c r="I907" i="2"/>
  <c r="K906" i="2"/>
  <c r="I906" i="2"/>
  <c r="K905" i="2"/>
  <c r="I905" i="2"/>
  <c r="K904" i="2"/>
  <c r="I904" i="2"/>
  <c r="K903" i="2"/>
  <c r="I903" i="2"/>
  <c r="K902" i="2"/>
  <c r="I902" i="2"/>
  <c r="K901" i="2"/>
  <c r="I901" i="2"/>
  <c r="K900" i="2"/>
  <c r="I900" i="2"/>
  <c r="K899" i="2"/>
  <c r="I899" i="2"/>
  <c r="K898" i="2"/>
  <c r="I898" i="2"/>
  <c r="K897" i="2"/>
  <c r="I897" i="2"/>
  <c r="K896" i="2"/>
  <c r="I896" i="2"/>
  <c r="K895" i="2"/>
  <c r="I895" i="2"/>
  <c r="K894" i="2"/>
  <c r="I894" i="2"/>
  <c r="K893" i="2"/>
  <c r="I893" i="2"/>
  <c r="K892" i="2"/>
  <c r="I892" i="2"/>
  <c r="K891" i="2"/>
  <c r="I891" i="2"/>
  <c r="K890" i="2"/>
  <c r="I890" i="2"/>
  <c r="K889" i="2"/>
  <c r="I889" i="2"/>
  <c r="K888" i="2"/>
  <c r="I888" i="2"/>
  <c r="K887" i="2"/>
  <c r="I887" i="2"/>
  <c r="K886" i="2"/>
  <c r="I886" i="2"/>
  <c r="K885" i="2"/>
  <c r="I885" i="2"/>
  <c r="K884" i="2"/>
  <c r="I884" i="2"/>
  <c r="K883" i="2"/>
  <c r="I883" i="2"/>
  <c r="K882" i="2"/>
  <c r="I882" i="2"/>
  <c r="K881" i="2"/>
  <c r="I881" i="2"/>
  <c r="K880" i="2"/>
  <c r="I880" i="2"/>
  <c r="K879" i="2"/>
  <c r="I879" i="2"/>
  <c r="K878" i="2"/>
  <c r="I878" i="2"/>
  <c r="K877" i="2"/>
  <c r="I877" i="2"/>
  <c r="K876" i="2"/>
  <c r="I876" i="2"/>
  <c r="K875" i="2"/>
  <c r="I875" i="2"/>
  <c r="K874" i="2"/>
  <c r="I874" i="2"/>
  <c r="K873" i="2"/>
  <c r="I873" i="2"/>
  <c r="K872" i="2"/>
  <c r="I872" i="2"/>
  <c r="K871" i="2"/>
  <c r="I871" i="2"/>
  <c r="K870" i="2"/>
  <c r="I870" i="2"/>
  <c r="K869" i="2"/>
  <c r="I869" i="2"/>
  <c r="K868" i="2"/>
  <c r="I868" i="2"/>
  <c r="K867" i="2"/>
  <c r="I867" i="2"/>
  <c r="K866" i="2"/>
  <c r="I866" i="2"/>
  <c r="K865" i="2"/>
  <c r="I865" i="2"/>
  <c r="K864" i="2"/>
  <c r="I864" i="2"/>
  <c r="K863" i="2"/>
  <c r="I863" i="2"/>
  <c r="K862" i="2"/>
  <c r="I862" i="2"/>
  <c r="K861" i="2"/>
  <c r="I861" i="2"/>
  <c r="K860" i="2"/>
  <c r="I860" i="2"/>
  <c r="K859" i="2"/>
  <c r="I859" i="2"/>
  <c r="K858" i="2"/>
  <c r="I858" i="2"/>
  <c r="K857" i="2"/>
  <c r="I857" i="2"/>
  <c r="K856" i="2"/>
  <c r="I856" i="2"/>
  <c r="K855" i="2"/>
  <c r="I855" i="2"/>
  <c r="K854" i="2"/>
  <c r="I854" i="2"/>
  <c r="K853" i="2"/>
  <c r="I853" i="2"/>
  <c r="K852" i="2"/>
  <c r="I852" i="2"/>
  <c r="K851" i="2"/>
  <c r="I851" i="2"/>
  <c r="K850" i="2"/>
  <c r="I850" i="2"/>
  <c r="K849" i="2"/>
  <c r="I849" i="2"/>
  <c r="K848" i="2"/>
  <c r="I848" i="2"/>
  <c r="K847" i="2"/>
  <c r="I847" i="2"/>
  <c r="K846" i="2"/>
  <c r="I846" i="2"/>
  <c r="K845" i="2"/>
  <c r="I845" i="2"/>
  <c r="K844" i="2"/>
  <c r="I844" i="2"/>
  <c r="K843" i="2"/>
  <c r="I843" i="2"/>
  <c r="K842" i="2"/>
  <c r="I842" i="2"/>
  <c r="K841" i="2"/>
  <c r="I841" i="2"/>
  <c r="K840" i="2"/>
  <c r="I840" i="2"/>
  <c r="K839" i="2"/>
  <c r="I839" i="2"/>
  <c r="K838" i="2"/>
  <c r="I838" i="2"/>
  <c r="K837" i="2"/>
  <c r="I837" i="2"/>
  <c r="K836" i="2"/>
  <c r="I836" i="2"/>
  <c r="K835" i="2"/>
  <c r="I835" i="2"/>
  <c r="K834" i="2"/>
  <c r="I834" i="2"/>
  <c r="K833" i="2"/>
  <c r="I833" i="2"/>
  <c r="K832" i="2"/>
  <c r="I832" i="2"/>
  <c r="K831" i="2"/>
  <c r="I831" i="2"/>
  <c r="K830" i="2"/>
  <c r="I830" i="2"/>
  <c r="K829" i="2"/>
  <c r="I829" i="2"/>
  <c r="K828" i="2"/>
  <c r="I828" i="2"/>
  <c r="K827" i="2"/>
  <c r="I827" i="2"/>
  <c r="K826" i="2"/>
  <c r="I826" i="2"/>
  <c r="K825" i="2"/>
  <c r="I825" i="2"/>
  <c r="K824" i="2"/>
  <c r="I824" i="2"/>
  <c r="K823" i="2"/>
  <c r="I823" i="2"/>
  <c r="K822" i="2"/>
  <c r="I822" i="2"/>
  <c r="K821" i="2"/>
  <c r="I821" i="2"/>
  <c r="K820" i="2"/>
  <c r="I820" i="2"/>
  <c r="K819" i="2"/>
  <c r="I819" i="2"/>
  <c r="K818" i="2"/>
  <c r="I818" i="2"/>
  <c r="K817" i="2"/>
  <c r="I817" i="2"/>
  <c r="K816" i="2"/>
  <c r="I816" i="2"/>
  <c r="K815" i="2"/>
  <c r="I815" i="2"/>
  <c r="K814" i="2"/>
  <c r="I814" i="2"/>
  <c r="K813" i="2"/>
  <c r="I813" i="2"/>
  <c r="K812" i="2"/>
  <c r="I812" i="2"/>
  <c r="K811" i="2"/>
  <c r="I811" i="2"/>
  <c r="K810" i="2"/>
  <c r="I810" i="2"/>
  <c r="K809" i="2"/>
  <c r="I809" i="2"/>
  <c r="K808" i="2"/>
  <c r="I808" i="2"/>
  <c r="K807" i="2"/>
  <c r="I807" i="2"/>
  <c r="K806" i="2"/>
  <c r="I806" i="2"/>
  <c r="K805" i="2"/>
  <c r="I805" i="2"/>
  <c r="K804" i="2"/>
  <c r="I804" i="2"/>
  <c r="K803" i="2"/>
  <c r="I803" i="2"/>
  <c r="K802" i="2"/>
  <c r="I802" i="2"/>
  <c r="K801" i="2"/>
  <c r="I801" i="2"/>
  <c r="K800" i="2"/>
  <c r="I800" i="2"/>
  <c r="K799" i="2"/>
  <c r="I799" i="2"/>
  <c r="K798" i="2"/>
  <c r="I798" i="2"/>
  <c r="K797" i="2"/>
  <c r="I797" i="2"/>
  <c r="K796" i="2"/>
  <c r="I796" i="2"/>
  <c r="K795" i="2"/>
  <c r="I795" i="2"/>
  <c r="K794" i="2"/>
  <c r="I794" i="2"/>
  <c r="K793" i="2"/>
  <c r="I793" i="2"/>
  <c r="K792" i="2"/>
  <c r="I792" i="2"/>
  <c r="K791" i="2"/>
  <c r="I791" i="2"/>
  <c r="K790" i="2"/>
  <c r="I790" i="2"/>
  <c r="K789" i="2"/>
  <c r="I789" i="2"/>
  <c r="K788" i="2"/>
  <c r="I788" i="2"/>
  <c r="K787" i="2"/>
  <c r="I787" i="2"/>
  <c r="K786" i="2"/>
  <c r="I786" i="2"/>
  <c r="K785" i="2"/>
  <c r="I785" i="2"/>
  <c r="K784" i="2"/>
  <c r="I784" i="2"/>
  <c r="K783" i="2"/>
  <c r="I783" i="2"/>
  <c r="K782" i="2"/>
  <c r="I782" i="2"/>
  <c r="K781" i="2"/>
  <c r="I781" i="2"/>
  <c r="K780" i="2"/>
  <c r="I780" i="2"/>
  <c r="K779" i="2"/>
  <c r="I779" i="2"/>
  <c r="K778" i="2"/>
  <c r="I778" i="2"/>
  <c r="K777" i="2"/>
  <c r="I777" i="2"/>
  <c r="K776" i="2"/>
  <c r="I776" i="2"/>
  <c r="K775" i="2"/>
  <c r="I775" i="2"/>
  <c r="K774" i="2"/>
  <c r="I774" i="2"/>
  <c r="K773" i="2"/>
  <c r="I773" i="2"/>
  <c r="K772" i="2"/>
  <c r="I772" i="2"/>
  <c r="K771" i="2"/>
  <c r="I771" i="2"/>
  <c r="K770" i="2"/>
  <c r="I770" i="2"/>
  <c r="K769" i="2"/>
  <c r="I769" i="2"/>
  <c r="K768" i="2"/>
  <c r="I768" i="2"/>
  <c r="K767" i="2"/>
  <c r="I767" i="2"/>
  <c r="K766" i="2"/>
  <c r="I766" i="2"/>
  <c r="K765" i="2"/>
  <c r="I765" i="2"/>
  <c r="K764" i="2"/>
  <c r="I764" i="2"/>
  <c r="K763" i="2"/>
  <c r="I763" i="2"/>
  <c r="K762" i="2"/>
  <c r="I762" i="2"/>
  <c r="K761" i="2"/>
  <c r="I761" i="2"/>
  <c r="K760" i="2"/>
  <c r="I760" i="2"/>
  <c r="K759" i="2"/>
  <c r="I759" i="2"/>
  <c r="K758" i="2"/>
  <c r="I758" i="2"/>
  <c r="K757" i="2"/>
  <c r="I757" i="2"/>
  <c r="K756" i="2"/>
  <c r="I756" i="2"/>
  <c r="K755" i="2"/>
  <c r="I755" i="2"/>
  <c r="K754" i="2"/>
  <c r="I754" i="2"/>
  <c r="K753" i="2"/>
  <c r="I753" i="2"/>
  <c r="K752" i="2"/>
  <c r="I752" i="2"/>
  <c r="K751" i="2"/>
  <c r="I751" i="2"/>
  <c r="K750" i="2"/>
  <c r="I750" i="2"/>
  <c r="K749" i="2"/>
  <c r="I749" i="2"/>
  <c r="K748" i="2"/>
  <c r="I748" i="2"/>
  <c r="K747" i="2"/>
  <c r="I747" i="2"/>
  <c r="K746" i="2"/>
  <c r="I746" i="2"/>
  <c r="K745" i="2"/>
  <c r="I745" i="2"/>
  <c r="K744" i="2"/>
  <c r="I744" i="2"/>
  <c r="K743" i="2"/>
  <c r="I743" i="2"/>
  <c r="K742" i="2"/>
  <c r="I742" i="2"/>
  <c r="K741" i="2"/>
  <c r="I741" i="2"/>
  <c r="K740" i="2"/>
  <c r="I740" i="2"/>
  <c r="K739" i="2"/>
  <c r="I739" i="2"/>
  <c r="K738" i="2"/>
  <c r="I738" i="2"/>
  <c r="K737" i="2"/>
  <c r="I737" i="2"/>
  <c r="K736" i="2"/>
  <c r="I736" i="2"/>
  <c r="K735" i="2"/>
  <c r="I735" i="2"/>
  <c r="K734" i="2"/>
  <c r="I734" i="2"/>
  <c r="K733" i="2"/>
  <c r="I733" i="2"/>
  <c r="K732" i="2"/>
  <c r="I732" i="2"/>
  <c r="K731" i="2"/>
  <c r="I731" i="2"/>
  <c r="K730" i="2"/>
  <c r="I730" i="2"/>
  <c r="K729" i="2"/>
  <c r="I729" i="2"/>
  <c r="K728" i="2"/>
  <c r="I728" i="2"/>
  <c r="K727" i="2"/>
  <c r="I727" i="2"/>
  <c r="K726" i="2"/>
  <c r="I726" i="2"/>
  <c r="K725" i="2"/>
  <c r="I725" i="2"/>
  <c r="K724" i="2"/>
  <c r="I724" i="2"/>
  <c r="K723" i="2"/>
  <c r="I723" i="2"/>
  <c r="K722" i="2"/>
  <c r="I722" i="2"/>
  <c r="K721" i="2"/>
  <c r="I721" i="2"/>
  <c r="K720" i="2"/>
  <c r="I720" i="2"/>
  <c r="K719" i="2"/>
  <c r="I719" i="2"/>
  <c r="K718" i="2"/>
  <c r="I718" i="2"/>
  <c r="K717" i="2"/>
  <c r="I717" i="2"/>
  <c r="K716" i="2"/>
  <c r="I716" i="2"/>
  <c r="K715" i="2"/>
  <c r="I715" i="2"/>
  <c r="K714" i="2"/>
  <c r="I714" i="2"/>
  <c r="K713" i="2"/>
  <c r="I713" i="2"/>
  <c r="K712" i="2"/>
  <c r="I712" i="2"/>
  <c r="K711" i="2"/>
  <c r="I711" i="2"/>
  <c r="K710" i="2"/>
  <c r="I710" i="2"/>
  <c r="K709" i="2"/>
  <c r="I709" i="2"/>
  <c r="K708" i="2"/>
  <c r="I708" i="2"/>
  <c r="K707" i="2"/>
  <c r="I707" i="2"/>
  <c r="K706" i="2"/>
  <c r="I706" i="2"/>
  <c r="K705" i="2"/>
  <c r="I705" i="2"/>
  <c r="K704" i="2"/>
  <c r="I704" i="2"/>
  <c r="K703" i="2"/>
  <c r="I703" i="2"/>
  <c r="K702" i="2"/>
  <c r="I702" i="2"/>
  <c r="K701" i="2"/>
  <c r="I701" i="2"/>
  <c r="K700" i="2"/>
  <c r="I700" i="2"/>
  <c r="K699" i="2"/>
  <c r="I699" i="2"/>
  <c r="K698" i="2"/>
  <c r="I698" i="2"/>
  <c r="K697" i="2"/>
  <c r="I697" i="2"/>
  <c r="K696" i="2"/>
  <c r="I696" i="2"/>
  <c r="K695" i="2"/>
  <c r="I695" i="2"/>
  <c r="K694" i="2"/>
  <c r="I694" i="2"/>
  <c r="K693" i="2"/>
  <c r="I693" i="2"/>
  <c r="K692" i="2"/>
  <c r="I692" i="2"/>
  <c r="K691" i="2"/>
  <c r="I691" i="2"/>
  <c r="K690" i="2"/>
  <c r="I690" i="2"/>
  <c r="K689" i="2"/>
  <c r="I689" i="2"/>
  <c r="K688" i="2"/>
  <c r="I688" i="2"/>
  <c r="K687" i="2"/>
  <c r="I687" i="2"/>
  <c r="K686" i="2"/>
  <c r="I686" i="2"/>
  <c r="K685" i="2"/>
  <c r="I685" i="2"/>
  <c r="K684" i="2"/>
  <c r="I684" i="2"/>
  <c r="K683" i="2"/>
  <c r="I683" i="2"/>
  <c r="K682" i="2"/>
  <c r="I682" i="2"/>
  <c r="K681" i="2"/>
  <c r="I681" i="2"/>
  <c r="K680" i="2"/>
  <c r="I680" i="2"/>
  <c r="K679" i="2"/>
  <c r="I679" i="2"/>
  <c r="K678" i="2"/>
  <c r="I678" i="2"/>
  <c r="K677" i="2"/>
  <c r="I677" i="2"/>
  <c r="K676" i="2"/>
  <c r="I676" i="2"/>
  <c r="K675" i="2"/>
  <c r="I675" i="2"/>
  <c r="K674" i="2"/>
  <c r="I674" i="2"/>
  <c r="K673" i="2"/>
  <c r="I673" i="2"/>
  <c r="K672" i="2"/>
  <c r="I672" i="2"/>
  <c r="K671" i="2"/>
  <c r="I671" i="2"/>
  <c r="K670" i="2"/>
  <c r="I670" i="2"/>
  <c r="K669" i="2"/>
  <c r="I669" i="2"/>
  <c r="K668" i="2"/>
  <c r="I668" i="2"/>
  <c r="K667" i="2"/>
  <c r="I667" i="2"/>
  <c r="K666" i="2"/>
  <c r="I666" i="2"/>
  <c r="K665" i="2"/>
  <c r="I665" i="2"/>
  <c r="K664" i="2"/>
  <c r="I664" i="2"/>
  <c r="K663" i="2"/>
  <c r="I663" i="2"/>
  <c r="K662" i="2"/>
  <c r="I662" i="2"/>
  <c r="K661" i="2"/>
  <c r="I661" i="2"/>
  <c r="K660" i="2"/>
  <c r="I660" i="2"/>
  <c r="K659" i="2"/>
  <c r="I659" i="2"/>
  <c r="K658" i="2"/>
  <c r="I658" i="2"/>
  <c r="K657" i="2"/>
  <c r="I657" i="2"/>
  <c r="K656" i="2"/>
  <c r="I656" i="2"/>
  <c r="K655" i="2"/>
  <c r="I655" i="2"/>
  <c r="K654" i="2"/>
  <c r="I654" i="2"/>
  <c r="K653" i="2"/>
  <c r="I653" i="2"/>
  <c r="K652" i="2"/>
  <c r="I652" i="2"/>
  <c r="K651" i="2"/>
  <c r="I651" i="2"/>
  <c r="K650" i="2"/>
  <c r="I650" i="2"/>
  <c r="K649" i="2"/>
  <c r="I649" i="2"/>
  <c r="K648" i="2"/>
  <c r="I648" i="2"/>
  <c r="K647" i="2"/>
  <c r="I647" i="2"/>
  <c r="K646" i="2"/>
  <c r="I646" i="2"/>
  <c r="K645" i="2"/>
  <c r="I645" i="2"/>
  <c r="K644" i="2"/>
  <c r="I644" i="2"/>
  <c r="K643" i="2"/>
  <c r="I643" i="2"/>
  <c r="K642" i="2"/>
  <c r="I642" i="2"/>
  <c r="K641" i="2"/>
  <c r="I641" i="2"/>
  <c r="K640" i="2"/>
  <c r="I640" i="2"/>
  <c r="K639" i="2"/>
  <c r="I639" i="2"/>
  <c r="K638" i="2"/>
  <c r="I638" i="2"/>
  <c r="K637" i="2"/>
  <c r="I637" i="2"/>
  <c r="K636" i="2"/>
  <c r="I636" i="2"/>
  <c r="K635" i="2"/>
  <c r="I635" i="2"/>
  <c r="K634" i="2"/>
  <c r="I634" i="2"/>
  <c r="K633" i="2"/>
  <c r="I633" i="2"/>
  <c r="K632" i="2"/>
  <c r="I632" i="2"/>
  <c r="K631" i="2"/>
  <c r="I631" i="2"/>
  <c r="K630" i="2"/>
  <c r="I630" i="2"/>
  <c r="K629" i="2"/>
  <c r="I629" i="2"/>
  <c r="K628" i="2"/>
  <c r="I628" i="2"/>
  <c r="K627" i="2"/>
  <c r="I627" i="2"/>
  <c r="K626" i="2"/>
  <c r="I626" i="2"/>
  <c r="K625" i="2"/>
  <c r="I625" i="2"/>
  <c r="K624" i="2"/>
  <c r="I624" i="2"/>
  <c r="K623" i="2"/>
  <c r="I623" i="2"/>
  <c r="K622" i="2"/>
  <c r="I622" i="2"/>
  <c r="K621" i="2"/>
  <c r="I621" i="2"/>
  <c r="K620" i="2"/>
  <c r="I620" i="2"/>
  <c r="K619" i="2"/>
  <c r="I619" i="2"/>
  <c r="K618" i="2"/>
  <c r="I618" i="2"/>
  <c r="K617" i="2"/>
  <c r="I617" i="2"/>
  <c r="K616" i="2"/>
  <c r="I616" i="2"/>
  <c r="K615" i="2"/>
  <c r="I615" i="2"/>
  <c r="K614" i="2"/>
  <c r="I614" i="2"/>
  <c r="K613" i="2"/>
  <c r="I613" i="2"/>
  <c r="K612" i="2"/>
  <c r="I612" i="2"/>
  <c r="K611" i="2"/>
  <c r="I611" i="2"/>
  <c r="K610" i="2"/>
  <c r="I610" i="2"/>
  <c r="K609" i="2"/>
  <c r="I609" i="2"/>
  <c r="K608" i="2"/>
  <c r="I608" i="2"/>
  <c r="K607" i="2"/>
  <c r="I607" i="2"/>
  <c r="K606" i="2"/>
  <c r="I606" i="2"/>
  <c r="K605" i="2"/>
  <c r="I605" i="2"/>
  <c r="K604" i="2"/>
  <c r="I604" i="2"/>
  <c r="K603" i="2"/>
  <c r="I603" i="2"/>
  <c r="K602" i="2"/>
  <c r="I602" i="2"/>
  <c r="K601" i="2"/>
  <c r="I601" i="2"/>
  <c r="K600" i="2"/>
  <c r="I600" i="2"/>
  <c r="K599" i="2"/>
  <c r="I599" i="2"/>
  <c r="K598" i="2"/>
  <c r="I598" i="2"/>
  <c r="K597" i="2"/>
  <c r="I597" i="2"/>
  <c r="K596" i="2"/>
  <c r="I596" i="2"/>
  <c r="K595" i="2"/>
  <c r="I595" i="2"/>
  <c r="K594" i="2"/>
  <c r="I594" i="2"/>
  <c r="K593" i="2"/>
  <c r="I593" i="2"/>
  <c r="K592" i="2"/>
  <c r="I592" i="2"/>
  <c r="K591" i="2"/>
  <c r="I591" i="2"/>
  <c r="K590" i="2"/>
  <c r="I590" i="2"/>
  <c r="K589" i="2"/>
  <c r="I589" i="2"/>
  <c r="K588" i="2"/>
  <c r="I588" i="2"/>
  <c r="K587" i="2"/>
  <c r="I587" i="2"/>
  <c r="K586" i="2"/>
  <c r="I586" i="2"/>
  <c r="K585" i="2"/>
  <c r="I585" i="2"/>
  <c r="K584" i="2"/>
  <c r="I584" i="2"/>
  <c r="K583" i="2"/>
  <c r="I583" i="2"/>
  <c r="K582" i="2"/>
  <c r="I582" i="2"/>
  <c r="K581" i="2"/>
  <c r="I581" i="2"/>
  <c r="K580" i="2"/>
  <c r="I580" i="2"/>
  <c r="K579" i="2"/>
  <c r="I579" i="2"/>
  <c r="K578" i="2"/>
  <c r="I578" i="2"/>
  <c r="K577" i="2"/>
  <c r="I577" i="2"/>
  <c r="K576" i="2"/>
  <c r="I576" i="2"/>
  <c r="K575" i="2"/>
  <c r="I575" i="2"/>
  <c r="K574" i="2"/>
  <c r="I574" i="2"/>
  <c r="K573" i="2"/>
  <c r="I573" i="2"/>
  <c r="K572" i="2"/>
  <c r="I572" i="2"/>
  <c r="K571" i="2"/>
  <c r="I571" i="2"/>
  <c r="K570" i="2"/>
  <c r="I570" i="2"/>
  <c r="K569" i="2"/>
  <c r="I569" i="2"/>
  <c r="K568" i="2"/>
  <c r="I568" i="2"/>
  <c r="K567" i="2"/>
  <c r="I567" i="2"/>
  <c r="K566" i="2"/>
  <c r="I566" i="2"/>
  <c r="K565" i="2"/>
  <c r="I565" i="2"/>
  <c r="K564" i="2"/>
  <c r="I564" i="2"/>
  <c r="K563" i="2"/>
  <c r="I563" i="2"/>
  <c r="K562" i="2"/>
  <c r="I562" i="2"/>
  <c r="K561" i="2"/>
  <c r="I561" i="2"/>
  <c r="K560" i="2"/>
  <c r="I560" i="2"/>
  <c r="K559" i="2"/>
  <c r="I559" i="2"/>
  <c r="K558" i="2"/>
  <c r="I558" i="2"/>
  <c r="K557" i="2"/>
  <c r="I557" i="2"/>
  <c r="K556" i="2"/>
  <c r="I556" i="2"/>
  <c r="K555" i="2"/>
  <c r="I555" i="2"/>
  <c r="K554" i="2"/>
  <c r="I554" i="2"/>
  <c r="K553" i="2"/>
  <c r="I553" i="2"/>
  <c r="K552" i="2"/>
  <c r="I552" i="2"/>
  <c r="K551" i="2"/>
  <c r="I551" i="2"/>
  <c r="K550" i="2"/>
  <c r="I550" i="2"/>
  <c r="K549" i="2"/>
  <c r="I549" i="2"/>
  <c r="K548" i="2"/>
  <c r="I548" i="2"/>
  <c r="K547" i="2"/>
  <c r="I547" i="2"/>
  <c r="K546" i="2"/>
  <c r="I546" i="2"/>
  <c r="K545" i="2"/>
  <c r="I545" i="2"/>
  <c r="K544" i="2"/>
  <c r="I544" i="2"/>
  <c r="K543" i="2"/>
  <c r="I543" i="2"/>
  <c r="K542" i="2"/>
  <c r="I542" i="2"/>
  <c r="K541" i="2"/>
  <c r="I541" i="2"/>
  <c r="K540" i="2"/>
  <c r="I540" i="2"/>
  <c r="K539" i="2"/>
  <c r="I539" i="2"/>
  <c r="K538" i="2"/>
  <c r="I538" i="2"/>
  <c r="K537" i="2"/>
  <c r="I537" i="2"/>
  <c r="K536" i="2"/>
  <c r="I536" i="2"/>
  <c r="K535" i="2"/>
  <c r="I535" i="2"/>
  <c r="K534" i="2"/>
  <c r="I534" i="2"/>
  <c r="K533" i="2"/>
  <c r="I533" i="2"/>
  <c r="K532" i="2"/>
  <c r="I532" i="2"/>
  <c r="K531" i="2"/>
  <c r="I531" i="2"/>
  <c r="K530" i="2"/>
  <c r="I530" i="2"/>
  <c r="K529" i="2"/>
  <c r="I529" i="2"/>
  <c r="K528" i="2"/>
  <c r="I528" i="2"/>
  <c r="K527" i="2"/>
  <c r="I527" i="2"/>
  <c r="K526" i="2"/>
  <c r="I526" i="2"/>
  <c r="K525" i="2"/>
  <c r="I525" i="2"/>
  <c r="K524" i="2"/>
  <c r="I524" i="2"/>
  <c r="K523" i="2"/>
  <c r="I523" i="2"/>
  <c r="K522" i="2"/>
  <c r="I522" i="2"/>
  <c r="K521" i="2"/>
  <c r="I521" i="2"/>
  <c r="K520" i="2"/>
  <c r="I520" i="2"/>
  <c r="K519" i="2"/>
  <c r="I519" i="2"/>
  <c r="K518" i="2"/>
  <c r="I518" i="2"/>
  <c r="K517" i="2"/>
  <c r="I517" i="2"/>
  <c r="K516" i="2"/>
  <c r="I516" i="2"/>
  <c r="K515" i="2"/>
  <c r="I515" i="2"/>
  <c r="K514" i="2"/>
  <c r="I514" i="2"/>
  <c r="K513" i="2"/>
  <c r="I513" i="2"/>
  <c r="K512" i="2"/>
  <c r="I512" i="2"/>
  <c r="K511" i="2"/>
  <c r="I511" i="2"/>
  <c r="K510" i="2"/>
  <c r="I510" i="2"/>
  <c r="K509" i="2"/>
  <c r="I509" i="2"/>
  <c r="K508" i="2"/>
  <c r="I508" i="2"/>
  <c r="K507" i="2"/>
  <c r="I507" i="2"/>
  <c r="K506" i="2"/>
  <c r="I506" i="2"/>
  <c r="K505" i="2"/>
  <c r="I505" i="2"/>
  <c r="K504" i="2"/>
  <c r="I504" i="2"/>
  <c r="K503" i="2"/>
  <c r="I503" i="2"/>
  <c r="K502" i="2"/>
  <c r="I502" i="2"/>
  <c r="K501" i="2"/>
  <c r="I501" i="2"/>
  <c r="K500" i="2"/>
  <c r="I500" i="2"/>
  <c r="K499" i="2"/>
  <c r="I499" i="2"/>
  <c r="K498" i="2"/>
  <c r="I498" i="2"/>
  <c r="K497" i="2"/>
  <c r="I497" i="2"/>
  <c r="K496" i="2"/>
  <c r="I496" i="2"/>
  <c r="K495" i="2"/>
  <c r="I495" i="2"/>
  <c r="K494" i="2"/>
  <c r="I494" i="2"/>
  <c r="K493" i="2"/>
  <c r="I493" i="2"/>
  <c r="K492" i="2"/>
  <c r="I492" i="2"/>
  <c r="K491" i="2"/>
  <c r="I491" i="2"/>
  <c r="K490" i="2"/>
  <c r="I490" i="2"/>
  <c r="K489" i="2"/>
  <c r="I489" i="2"/>
  <c r="K488" i="2"/>
  <c r="I488" i="2"/>
  <c r="K487" i="2"/>
  <c r="I487" i="2"/>
  <c r="K486" i="2"/>
  <c r="I486" i="2"/>
  <c r="K485" i="2"/>
  <c r="I485" i="2"/>
  <c r="K484" i="2"/>
  <c r="I484" i="2"/>
  <c r="K483" i="2"/>
  <c r="I483" i="2"/>
  <c r="K482" i="2"/>
  <c r="I482" i="2"/>
  <c r="K481" i="2"/>
  <c r="I481" i="2"/>
  <c r="K480" i="2"/>
  <c r="I480" i="2"/>
  <c r="K479" i="2"/>
  <c r="I479" i="2"/>
  <c r="K478" i="2"/>
  <c r="I478" i="2"/>
  <c r="K477" i="2"/>
  <c r="I477" i="2"/>
  <c r="K476" i="2"/>
  <c r="I476" i="2"/>
  <c r="K475" i="2"/>
  <c r="J475" i="2"/>
  <c r="I475" i="2"/>
  <c r="K474" i="2"/>
  <c r="I474" i="2"/>
  <c r="K473" i="2"/>
  <c r="I473" i="2"/>
  <c r="K472" i="2"/>
  <c r="I472" i="2"/>
  <c r="K471" i="2"/>
  <c r="I471" i="2"/>
  <c r="K470" i="2"/>
  <c r="I470" i="2"/>
  <c r="K469" i="2"/>
  <c r="I469" i="2"/>
  <c r="K468" i="2"/>
  <c r="I468" i="2"/>
  <c r="K467" i="2"/>
  <c r="I467" i="2"/>
  <c r="K466" i="2"/>
  <c r="I466" i="2"/>
  <c r="K465" i="2"/>
  <c r="I465" i="2"/>
  <c r="K464" i="2"/>
  <c r="I464" i="2"/>
  <c r="K463" i="2"/>
  <c r="I463" i="2"/>
  <c r="K462" i="2"/>
  <c r="I462" i="2"/>
  <c r="K461" i="2"/>
  <c r="I461" i="2"/>
  <c r="K460" i="2"/>
  <c r="I460" i="2"/>
  <c r="K459" i="2"/>
  <c r="I459" i="2"/>
  <c r="K458" i="2"/>
  <c r="I458" i="2"/>
  <c r="K457" i="2"/>
  <c r="I457" i="2"/>
  <c r="K456" i="2"/>
  <c r="I456" i="2"/>
  <c r="K455" i="2"/>
  <c r="I455" i="2"/>
  <c r="K454" i="2"/>
  <c r="I454" i="2"/>
  <c r="K453" i="2"/>
  <c r="I453" i="2"/>
  <c r="K452" i="2"/>
  <c r="I452" i="2"/>
  <c r="K451" i="2"/>
  <c r="I451" i="2"/>
  <c r="K450" i="2"/>
  <c r="I450" i="2"/>
  <c r="K449" i="2"/>
  <c r="I449" i="2"/>
  <c r="K448" i="2"/>
  <c r="I448" i="2"/>
  <c r="K447" i="2"/>
  <c r="I447" i="2"/>
  <c r="K446" i="2"/>
  <c r="I446" i="2"/>
  <c r="K445" i="2"/>
  <c r="I445" i="2"/>
  <c r="K444" i="2"/>
  <c r="I444" i="2"/>
  <c r="K443" i="2"/>
  <c r="I443" i="2"/>
  <c r="K442" i="2"/>
  <c r="I442" i="2"/>
  <c r="K441" i="2"/>
  <c r="I441" i="2"/>
  <c r="K440" i="2"/>
  <c r="I440" i="2"/>
  <c r="K439" i="2"/>
  <c r="I439" i="2"/>
  <c r="K438" i="2"/>
  <c r="I438" i="2"/>
  <c r="K437" i="2"/>
  <c r="I437" i="2"/>
  <c r="K436" i="2"/>
  <c r="I436" i="2"/>
  <c r="K435" i="2"/>
  <c r="I435" i="2"/>
  <c r="K434" i="2"/>
  <c r="I434" i="2"/>
  <c r="K433" i="2"/>
  <c r="I433" i="2"/>
  <c r="K432" i="2"/>
  <c r="I432" i="2"/>
  <c r="K431" i="2"/>
  <c r="I431" i="2"/>
  <c r="K430" i="2"/>
  <c r="I430" i="2"/>
  <c r="K429" i="2"/>
  <c r="I429" i="2"/>
  <c r="K428" i="2"/>
  <c r="I428" i="2"/>
  <c r="K427" i="2"/>
  <c r="I427" i="2"/>
  <c r="K426" i="2"/>
  <c r="I426" i="2"/>
  <c r="K425" i="2"/>
  <c r="I425" i="2"/>
  <c r="K424" i="2"/>
  <c r="I424" i="2"/>
  <c r="K423" i="2"/>
  <c r="I423" i="2"/>
  <c r="K422" i="2"/>
  <c r="I422" i="2"/>
  <c r="K421" i="2"/>
  <c r="I421" i="2"/>
  <c r="K420" i="2"/>
  <c r="I420" i="2"/>
  <c r="K419" i="2"/>
  <c r="I419" i="2"/>
  <c r="K418" i="2"/>
  <c r="I418" i="2"/>
  <c r="K417" i="2"/>
  <c r="I417" i="2"/>
  <c r="K416" i="2"/>
  <c r="I416" i="2"/>
  <c r="K415" i="2"/>
  <c r="I415" i="2"/>
  <c r="K414" i="2"/>
  <c r="I414" i="2"/>
  <c r="K413" i="2"/>
  <c r="I413" i="2"/>
  <c r="K412" i="2"/>
  <c r="I412" i="2"/>
  <c r="K411" i="2"/>
  <c r="I411" i="2"/>
  <c r="K410" i="2"/>
  <c r="I410" i="2"/>
  <c r="K409" i="2"/>
  <c r="I409" i="2"/>
  <c r="K408" i="2"/>
  <c r="I408" i="2"/>
  <c r="K407" i="2"/>
  <c r="I407" i="2"/>
  <c r="K406" i="2"/>
  <c r="I406" i="2"/>
  <c r="K405" i="2"/>
  <c r="I405" i="2"/>
  <c r="K404" i="2"/>
  <c r="I404" i="2"/>
  <c r="K403" i="2"/>
  <c r="I403" i="2"/>
  <c r="K402" i="2"/>
  <c r="I402" i="2"/>
  <c r="K401" i="2"/>
  <c r="I401" i="2"/>
  <c r="K400" i="2"/>
  <c r="I400" i="2"/>
  <c r="K399" i="2"/>
  <c r="I399" i="2"/>
  <c r="K398" i="2"/>
  <c r="I398" i="2"/>
  <c r="K397" i="2"/>
  <c r="I397" i="2"/>
  <c r="K396" i="2"/>
  <c r="I396" i="2"/>
  <c r="K395" i="2"/>
  <c r="I395" i="2"/>
  <c r="K394" i="2"/>
  <c r="I394" i="2"/>
  <c r="K393" i="2"/>
  <c r="I393" i="2"/>
  <c r="K392" i="2"/>
  <c r="I392" i="2"/>
  <c r="K391" i="2"/>
  <c r="I391" i="2"/>
  <c r="K390" i="2"/>
  <c r="I390" i="2"/>
  <c r="K389" i="2"/>
  <c r="I389" i="2"/>
  <c r="K388" i="2"/>
  <c r="I388" i="2"/>
  <c r="K387" i="2"/>
  <c r="I387" i="2"/>
  <c r="K386" i="2"/>
  <c r="I386" i="2"/>
  <c r="K385" i="2"/>
  <c r="I385" i="2"/>
  <c r="K384" i="2"/>
  <c r="I384" i="2"/>
  <c r="K383" i="2"/>
  <c r="I383" i="2"/>
  <c r="K382" i="2"/>
  <c r="I382" i="2"/>
  <c r="K381" i="2"/>
  <c r="I381" i="2"/>
  <c r="K380" i="2"/>
  <c r="I380" i="2"/>
  <c r="K379" i="2"/>
  <c r="I379" i="2"/>
  <c r="K378" i="2"/>
  <c r="I378" i="2"/>
  <c r="K377" i="2"/>
  <c r="I377" i="2"/>
  <c r="K376" i="2"/>
  <c r="I376" i="2"/>
  <c r="K375" i="2"/>
  <c r="I375" i="2"/>
  <c r="K374" i="2"/>
  <c r="K373" i="2"/>
  <c r="I373" i="2"/>
  <c r="K372" i="2"/>
  <c r="I372" i="2"/>
  <c r="K371" i="2"/>
  <c r="I371" i="2"/>
  <c r="K370" i="2"/>
  <c r="I370" i="2"/>
  <c r="K369" i="2"/>
  <c r="I369" i="2"/>
  <c r="K368" i="2"/>
  <c r="I368" i="2"/>
  <c r="K367" i="2"/>
  <c r="I367" i="2"/>
  <c r="K366" i="2"/>
  <c r="I366" i="2"/>
  <c r="K365" i="2"/>
  <c r="I365" i="2"/>
  <c r="K364" i="2"/>
  <c r="I364" i="2"/>
  <c r="K363" i="2"/>
  <c r="I363" i="2"/>
  <c r="K362" i="2"/>
  <c r="I362" i="2"/>
  <c r="K361" i="2"/>
  <c r="I361" i="2"/>
  <c r="K360" i="2"/>
  <c r="I360" i="2"/>
  <c r="K359" i="2"/>
  <c r="I359" i="2"/>
  <c r="K358" i="2"/>
  <c r="I358" i="2"/>
  <c r="K357" i="2"/>
  <c r="I357" i="2"/>
  <c r="K356" i="2"/>
  <c r="I356" i="2"/>
  <c r="K355" i="2"/>
  <c r="I355" i="2"/>
  <c r="K354" i="2"/>
  <c r="I354" i="2"/>
  <c r="K353" i="2"/>
  <c r="I353" i="2"/>
  <c r="K352" i="2"/>
  <c r="I352" i="2"/>
  <c r="K351" i="2"/>
  <c r="I351" i="2"/>
  <c r="K350" i="2"/>
  <c r="I350" i="2"/>
  <c r="K349" i="2"/>
  <c r="I349" i="2"/>
  <c r="K348" i="2"/>
  <c r="I348" i="2"/>
  <c r="K347" i="2"/>
  <c r="I347" i="2"/>
  <c r="K346" i="2"/>
  <c r="I346" i="2"/>
  <c r="K345" i="2"/>
  <c r="I345" i="2"/>
  <c r="K344" i="2"/>
  <c r="I344" i="2"/>
  <c r="K343" i="2"/>
  <c r="I343" i="2"/>
  <c r="K342" i="2"/>
  <c r="I342" i="2"/>
  <c r="K341" i="2"/>
  <c r="I341" i="2"/>
  <c r="K340" i="2"/>
  <c r="I340" i="2"/>
  <c r="K339" i="2"/>
  <c r="I339" i="2"/>
  <c r="K338" i="2"/>
  <c r="I338" i="2"/>
  <c r="K337" i="2"/>
  <c r="I337" i="2"/>
  <c r="K336" i="2"/>
  <c r="I336" i="2"/>
  <c r="K335" i="2"/>
  <c r="I335" i="2"/>
  <c r="K334" i="2"/>
  <c r="I334" i="2"/>
  <c r="K333" i="2"/>
  <c r="I333" i="2"/>
  <c r="K332" i="2"/>
  <c r="I332" i="2"/>
  <c r="K331" i="2"/>
  <c r="I331" i="2"/>
  <c r="K330" i="2"/>
  <c r="I330" i="2"/>
  <c r="K329" i="2"/>
  <c r="I329" i="2"/>
  <c r="K328" i="2"/>
  <c r="I328" i="2"/>
  <c r="K327" i="2"/>
  <c r="I327" i="2"/>
  <c r="K326" i="2"/>
  <c r="I326" i="2"/>
  <c r="K325" i="2"/>
  <c r="I325" i="2"/>
  <c r="K324" i="2"/>
  <c r="I324" i="2"/>
  <c r="K323" i="2"/>
  <c r="I323" i="2"/>
  <c r="K322" i="2"/>
  <c r="I322" i="2"/>
  <c r="K321" i="2"/>
  <c r="I321" i="2"/>
  <c r="K320" i="2"/>
  <c r="I320" i="2"/>
  <c r="K319" i="2"/>
  <c r="I319" i="2"/>
  <c r="K318" i="2"/>
  <c r="I318" i="2"/>
  <c r="K317" i="2"/>
  <c r="I317" i="2"/>
  <c r="K316" i="2"/>
  <c r="I316" i="2"/>
  <c r="K315" i="2"/>
  <c r="I315" i="2"/>
  <c r="K314" i="2"/>
  <c r="I314" i="2"/>
  <c r="K313" i="2"/>
  <c r="I313" i="2"/>
  <c r="K312" i="2"/>
  <c r="I312" i="2"/>
  <c r="K311" i="2"/>
  <c r="I311" i="2"/>
  <c r="K310" i="2"/>
  <c r="I310" i="2"/>
  <c r="K309" i="2"/>
  <c r="I309" i="2"/>
  <c r="K308" i="2"/>
  <c r="I308" i="2"/>
  <c r="K307" i="2"/>
  <c r="I307" i="2"/>
  <c r="K306" i="2"/>
  <c r="I306" i="2"/>
  <c r="K305" i="2"/>
  <c r="I305" i="2"/>
  <c r="K304" i="2"/>
  <c r="I304" i="2"/>
  <c r="K303" i="2"/>
  <c r="I303" i="2"/>
  <c r="K302" i="2"/>
  <c r="I302" i="2"/>
  <c r="K301" i="2"/>
  <c r="I301" i="2"/>
  <c r="K300" i="2"/>
  <c r="I300" i="2"/>
  <c r="K299" i="2"/>
  <c r="I299" i="2"/>
  <c r="K298" i="2"/>
  <c r="I298" i="2"/>
  <c r="K297" i="2"/>
  <c r="I297" i="2"/>
  <c r="K296" i="2"/>
  <c r="I296" i="2"/>
  <c r="K295" i="2"/>
  <c r="I295" i="2"/>
  <c r="K294" i="2"/>
  <c r="I294" i="2"/>
  <c r="K293" i="2"/>
  <c r="I293" i="2"/>
  <c r="K292" i="2"/>
  <c r="I292" i="2"/>
  <c r="K291" i="2"/>
  <c r="I291" i="2"/>
  <c r="K290" i="2"/>
  <c r="I290" i="2"/>
  <c r="K289" i="2"/>
  <c r="I289" i="2"/>
  <c r="K288" i="2"/>
  <c r="I288" i="2"/>
  <c r="K287" i="2"/>
  <c r="I287" i="2"/>
  <c r="K286" i="2"/>
  <c r="I286" i="2"/>
  <c r="K285" i="2"/>
  <c r="I285" i="2"/>
  <c r="K284" i="2"/>
  <c r="I284" i="2"/>
  <c r="K283" i="2"/>
  <c r="I283" i="2"/>
  <c r="K282" i="2"/>
  <c r="I282" i="2"/>
  <c r="K281" i="2"/>
  <c r="I281" i="2"/>
  <c r="K280" i="2"/>
  <c r="I280" i="2"/>
  <c r="K279" i="2"/>
  <c r="I279" i="2"/>
  <c r="K278" i="2"/>
  <c r="I278" i="2"/>
  <c r="K277" i="2"/>
  <c r="I277" i="2"/>
  <c r="K276" i="2"/>
  <c r="I276" i="2"/>
  <c r="K275" i="2"/>
  <c r="I275" i="2"/>
  <c r="K274" i="2"/>
  <c r="I274" i="2"/>
  <c r="K273" i="2"/>
  <c r="I273" i="2"/>
  <c r="K272" i="2"/>
  <c r="I272" i="2"/>
  <c r="K271" i="2"/>
  <c r="I271" i="2"/>
  <c r="K270" i="2"/>
  <c r="I270" i="2"/>
  <c r="K269" i="2"/>
  <c r="I269" i="2"/>
  <c r="K268" i="2"/>
  <c r="I268" i="2"/>
  <c r="K267" i="2"/>
  <c r="I267" i="2"/>
  <c r="K266" i="2"/>
  <c r="I266" i="2"/>
  <c r="K265" i="2"/>
  <c r="I265" i="2"/>
  <c r="K264" i="2"/>
  <c r="I264" i="2"/>
  <c r="K263" i="2"/>
  <c r="I263" i="2"/>
  <c r="K262" i="2"/>
  <c r="I262" i="2"/>
  <c r="K261" i="2"/>
  <c r="I261" i="2"/>
  <c r="K260" i="2"/>
  <c r="I260" i="2"/>
  <c r="K259" i="2"/>
  <c r="I259" i="2"/>
  <c r="K258" i="2"/>
  <c r="I258" i="2"/>
  <c r="K257" i="2"/>
  <c r="I257" i="2"/>
  <c r="K256" i="2"/>
  <c r="I256" i="2"/>
  <c r="K255" i="2"/>
  <c r="I255" i="2"/>
  <c r="K254" i="2"/>
  <c r="I254" i="2"/>
  <c r="K253" i="2"/>
  <c r="I253" i="2"/>
  <c r="K252" i="2"/>
  <c r="I252" i="2"/>
  <c r="K251" i="2"/>
  <c r="I251" i="2"/>
  <c r="K250" i="2"/>
  <c r="I250" i="2"/>
  <c r="K249" i="2"/>
  <c r="I249" i="2"/>
  <c r="K248" i="2"/>
  <c r="K247" i="2"/>
  <c r="I247" i="2"/>
  <c r="K246" i="2"/>
  <c r="I246" i="2"/>
  <c r="K245" i="2"/>
  <c r="I245" i="2"/>
  <c r="K244" i="2"/>
  <c r="I244" i="2"/>
  <c r="K243" i="2"/>
  <c r="I243" i="2"/>
  <c r="K242" i="2"/>
  <c r="I242" i="2"/>
  <c r="K241" i="2"/>
  <c r="I241" i="2"/>
  <c r="K240" i="2"/>
  <c r="I240" i="2"/>
  <c r="K239" i="2"/>
  <c r="I239" i="2"/>
  <c r="K238" i="2"/>
  <c r="I238" i="2"/>
  <c r="K237" i="2"/>
  <c r="I237" i="2"/>
  <c r="K236" i="2"/>
  <c r="I236" i="2"/>
  <c r="K235" i="2"/>
  <c r="I235" i="2"/>
  <c r="K234" i="2"/>
  <c r="I234" i="2"/>
  <c r="K233" i="2"/>
  <c r="I233" i="2"/>
  <c r="K232" i="2"/>
  <c r="I232" i="2"/>
  <c r="K231" i="2"/>
  <c r="I231" i="2"/>
  <c r="K230" i="2"/>
  <c r="I230" i="2"/>
  <c r="K229" i="2"/>
  <c r="I229" i="2"/>
  <c r="K228" i="2"/>
  <c r="I228" i="2"/>
  <c r="K227" i="2"/>
  <c r="I227" i="2"/>
  <c r="K226" i="2"/>
  <c r="I226" i="2"/>
  <c r="K225" i="2"/>
  <c r="I225" i="2"/>
  <c r="K224" i="2"/>
  <c r="I224" i="2"/>
  <c r="K223" i="2"/>
  <c r="I223" i="2"/>
  <c r="K222" i="2"/>
  <c r="I222" i="2"/>
  <c r="K221" i="2"/>
  <c r="I221" i="2"/>
  <c r="K220" i="2"/>
  <c r="I220" i="2"/>
  <c r="K219" i="2"/>
  <c r="I219" i="2"/>
  <c r="K218" i="2"/>
  <c r="I218" i="2"/>
  <c r="K217" i="2"/>
  <c r="I217" i="2"/>
  <c r="K216" i="2"/>
  <c r="I216" i="2"/>
  <c r="K215" i="2"/>
  <c r="I215" i="2"/>
  <c r="K214" i="2"/>
  <c r="I214" i="2"/>
  <c r="K213" i="2"/>
  <c r="I213" i="2"/>
  <c r="K212" i="2"/>
  <c r="I212" i="2"/>
  <c r="K211" i="2"/>
  <c r="I211" i="2"/>
  <c r="K210" i="2"/>
  <c r="I210" i="2"/>
  <c r="K209" i="2"/>
  <c r="I209" i="2"/>
  <c r="K208" i="2"/>
  <c r="I208" i="2"/>
  <c r="K207" i="2"/>
  <c r="I207" i="2"/>
  <c r="K206" i="2"/>
  <c r="I206" i="2"/>
  <c r="K205" i="2"/>
  <c r="I205" i="2"/>
  <c r="K204" i="2"/>
  <c r="I204" i="2"/>
  <c r="K203" i="2"/>
  <c r="I203" i="2"/>
  <c r="K202" i="2"/>
  <c r="I202" i="2"/>
  <c r="K201" i="2"/>
  <c r="I201" i="2"/>
  <c r="K200" i="2"/>
  <c r="I200" i="2"/>
  <c r="K199" i="2"/>
  <c r="I199" i="2"/>
  <c r="K198" i="2"/>
  <c r="I198" i="2"/>
  <c r="K197" i="2"/>
  <c r="I197" i="2"/>
  <c r="K196" i="2"/>
  <c r="I196" i="2"/>
  <c r="K195" i="2"/>
  <c r="I195" i="2"/>
  <c r="K194" i="2"/>
  <c r="I194" i="2"/>
  <c r="K193" i="2"/>
  <c r="I193" i="2"/>
  <c r="K192" i="2"/>
  <c r="I192" i="2"/>
  <c r="K191" i="2"/>
  <c r="I191" i="2"/>
  <c r="K190" i="2"/>
  <c r="I190" i="2"/>
  <c r="K189" i="2"/>
  <c r="I189" i="2"/>
  <c r="K188" i="2"/>
  <c r="I188" i="2"/>
  <c r="K187" i="2"/>
  <c r="I187" i="2"/>
  <c r="K186" i="2"/>
  <c r="I186" i="2"/>
  <c r="K185" i="2"/>
  <c r="I185" i="2"/>
  <c r="K184" i="2"/>
  <c r="I184" i="2"/>
  <c r="K183" i="2"/>
  <c r="I183" i="2"/>
  <c r="K182" i="2"/>
  <c r="I182" i="2"/>
  <c r="K181" i="2"/>
  <c r="I181" i="2"/>
  <c r="K180" i="2"/>
  <c r="I180" i="2"/>
  <c r="K179" i="2"/>
  <c r="I179" i="2"/>
  <c r="K178" i="2"/>
  <c r="I178" i="2"/>
  <c r="K177" i="2"/>
  <c r="I177" i="2"/>
  <c r="K176" i="2"/>
  <c r="I176" i="2"/>
  <c r="K175" i="2"/>
  <c r="I175" i="2"/>
  <c r="K174" i="2"/>
  <c r="I174" i="2"/>
  <c r="K173" i="2"/>
  <c r="I173" i="2"/>
  <c r="K172" i="2"/>
  <c r="I172" i="2"/>
  <c r="K171" i="2"/>
  <c r="I171" i="2"/>
  <c r="K170" i="2"/>
  <c r="I170" i="2"/>
  <c r="K169" i="2"/>
  <c r="I169" i="2"/>
  <c r="K168" i="2"/>
  <c r="I168" i="2"/>
  <c r="K167" i="2"/>
  <c r="I167" i="2"/>
  <c r="K166" i="2"/>
  <c r="I166" i="2"/>
  <c r="K165" i="2"/>
  <c r="I165" i="2"/>
  <c r="K164" i="2"/>
  <c r="I164" i="2"/>
  <c r="K163" i="2"/>
  <c r="I163" i="2"/>
  <c r="K162" i="2"/>
  <c r="I162" i="2"/>
  <c r="K161" i="2"/>
  <c r="I161" i="2"/>
  <c r="K160" i="2"/>
  <c r="I160" i="2"/>
  <c r="K159" i="2"/>
  <c r="I159" i="2"/>
  <c r="K158" i="2"/>
  <c r="I158" i="2"/>
  <c r="K157" i="2"/>
  <c r="I157" i="2"/>
  <c r="K156" i="2"/>
  <c r="I156" i="2"/>
  <c r="K155" i="2"/>
  <c r="I155" i="2"/>
  <c r="K154" i="2"/>
  <c r="I154" i="2"/>
  <c r="K153" i="2"/>
  <c r="I153" i="2"/>
  <c r="K152" i="2"/>
  <c r="I152" i="2"/>
  <c r="K151" i="2"/>
  <c r="I151" i="2"/>
  <c r="K150" i="2"/>
  <c r="I150" i="2"/>
  <c r="K149" i="2"/>
  <c r="I149" i="2"/>
  <c r="K148" i="2"/>
  <c r="I148" i="2"/>
  <c r="K147" i="2"/>
  <c r="I147" i="2"/>
  <c r="K146" i="2"/>
  <c r="I146" i="2"/>
  <c r="K145" i="2"/>
  <c r="I145" i="2"/>
  <c r="K144" i="2"/>
  <c r="I144" i="2"/>
  <c r="K143" i="2"/>
  <c r="I143" i="2"/>
  <c r="K142" i="2"/>
  <c r="I142" i="2"/>
  <c r="K141" i="2"/>
  <c r="I141" i="2"/>
  <c r="K140" i="2"/>
  <c r="I140" i="2"/>
  <c r="K139" i="2"/>
  <c r="I139" i="2"/>
  <c r="K138" i="2"/>
  <c r="I138" i="2"/>
  <c r="K137" i="2"/>
  <c r="I137" i="2"/>
  <c r="K136" i="2"/>
  <c r="I136" i="2"/>
  <c r="K135" i="2"/>
  <c r="I135" i="2"/>
  <c r="K134" i="2"/>
  <c r="I134" i="2"/>
  <c r="K133" i="2"/>
  <c r="I133" i="2"/>
  <c r="K132" i="2"/>
  <c r="I132" i="2"/>
  <c r="K131" i="2"/>
  <c r="I131" i="2"/>
  <c r="K130" i="2"/>
  <c r="I130" i="2"/>
  <c r="K129" i="2"/>
  <c r="I129" i="2"/>
  <c r="K128" i="2"/>
  <c r="I128" i="2"/>
  <c r="K127" i="2"/>
  <c r="I127" i="2"/>
  <c r="K126" i="2"/>
  <c r="I126" i="2"/>
  <c r="K125" i="2"/>
  <c r="I125" i="2"/>
  <c r="K124" i="2"/>
  <c r="I124" i="2"/>
  <c r="K123" i="2"/>
  <c r="I123" i="2"/>
  <c r="K122" i="2"/>
  <c r="I122" i="2"/>
  <c r="K121" i="2"/>
  <c r="I121" i="2"/>
  <c r="K120" i="2"/>
  <c r="I120" i="2"/>
  <c r="K119" i="2"/>
  <c r="I119" i="2"/>
  <c r="K118" i="2"/>
  <c r="I118" i="2"/>
  <c r="K117" i="2"/>
  <c r="I117" i="2"/>
  <c r="K116" i="2"/>
  <c r="I116" i="2"/>
  <c r="K115" i="2"/>
  <c r="I115" i="2"/>
  <c r="K114" i="2"/>
  <c r="I114" i="2"/>
  <c r="K113" i="2"/>
  <c r="I113" i="2"/>
  <c r="K112" i="2"/>
  <c r="I112" i="2"/>
  <c r="K111" i="2"/>
  <c r="I111" i="2"/>
  <c r="K110" i="2"/>
  <c r="I110" i="2"/>
  <c r="K109" i="2"/>
  <c r="I109" i="2"/>
  <c r="K108" i="2"/>
  <c r="I108" i="2"/>
  <c r="K107" i="2"/>
  <c r="I107" i="2"/>
  <c r="K106" i="2"/>
  <c r="I106" i="2"/>
  <c r="K105" i="2"/>
  <c r="I105" i="2"/>
  <c r="K104" i="2"/>
  <c r="I104" i="2"/>
  <c r="K103" i="2"/>
  <c r="I103" i="2"/>
  <c r="K102" i="2"/>
  <c r="I102" i="2"/>
  <c r="K101" i="2"/>
  <c r="I101" i="2"/>
  <c r="K100" i="2"/>
  <c r="I100" i="2"/>
  <c r="K99" i="2"/>
  <c r="I99" i="2"/>
  <c r="K98" i="2"/>
  <c r="I98" i="2"/>
  <c r="K97" i="2"/>
  <c r="I97" i="2"/>
  <c r="K96" i="2"/>
  <c r="I96" i="2"/>
  <c r="K95" i="2"/>
  <c r="I95" i="2"/>
  <c r="K94" i="2"/>
  <c r="I94" i="2"/>
  <c r="K93" i="2"/>
  <c r="I93" i="2"/>
  <c r="K92" i="2"/>
  <c r="I92" i="2"/>
  <c r="K91" i="2"/>
  <c r="I91" i="2"/>
  <c r="K90" i="2"/>
  <c r="I90" i="2"/>
  <c r="K89" i="2"/>
  <c r="I89" i="2"/>
  <c r="K88" i="2"/>
  <c r="I88" i="2"/>
  <c r="K87" i="2"/>
  <c r="I87" i="2"/>
  <c r="K86" i="2"/>
  <c r="I86" i="2"/>
  <c r="K85" i="2"/>
  <c r="I85" i="2"/>
  <c r="K84" i="2"/>
  <c r="I84" i="2"/>
  <c r="K83" i="2"/>
  <c r="I83" i="2"/>
  <c r="K82" i="2"/>
  <c r="I82" i="2"/>
  <c r="K81" i="2"/>
  <c r="I81" i="2"/>
  <c r="K80" i="2"/>
  <c r="I80" i="2"/>
  <c r="K79" i="2"/>
  <c r="I79" i="2"/>
  <c r="K78" i="2"/>
  <c r="I78" i="2"/>
  <c r="K77" i="2"/>
  <c r="I77" i="2"/>
  <c r="K76" i="2"/>
  <c r="I76" i="2"/>
  <c r="K75" i="2"/>
  <c r="I75" i="2"/>
  <c r="K74" i="2"/>
  <c r="I74" i="2"/>
  <c r="K73" i="2"/>
  <c r="I73" i="2"/>
  <c r="K72" i="2"/>
  <c r="I72" i="2"/>
  <c r="K71" i="2"/>
  <c r="I71" i="2"/>
  <c r="K70" i="2"/>
  <c r="I70" i="2"/>
  <c r="K69" i="2"/>
  <c r="I69" i="2"/>
  <c r="K68" i="2"/>
  <c r="I68" i="2"/>
  <c r="K67" i="2"/>
  <c r="I67" i="2"/>
  <c r="K66" i="2"/>
  <c r="I66" i="2"/>
  <c r="K65" i="2"/>
  <c r="I65" i="2"/>
  <c r="K64" i="2"/>
  <c r="I64" i="2"/>
  <c r="K63" i="2"/>
  <c r="I63" i="2"/>
  <c r="K62" i="2"/>
  <c r="I62" i="2"/>
  <c r="K61" i="2"/>
  <c r="I61" i="2"/>
  <c r="K60" i="2"/>
  <c r="I60" i="2"/>
  <c r="K59" i="2"/>
  <c r="I59" i="2"/>
  <c r="K58" i="2"/>
  <c r="I58" i="2"/>
  <c r="K57" i="2"/>
  <c r="I57" i="2"/>
  <c r="K56" i="2"/>
  <c r="I56" i="2"/>
  <c r="K55" i="2"/>
  <c r="I55" i="2"/>
  <c r="K54" i="2"/>
  <c r="I54" i="2"/>
  <c r="K53" i="2"/>
  <c r="I53" i="2"/>
  <c r="K52" i="2"/>
  <c r="I52" i="2"/>
  <c r="K51" i="2"/>
  <c r="I51" i="2"/>
  <c r="K50" i="2"/>
  <c r="I50" i="2"/>
  <c r="K49" i="2"/>
  <c r="I49" i="2"/>
  <c r="K48" i="2"/>
  <c r="I48" i="2"/>
  <c r="K47" i="2"/>
  <c r="I47" i="2"/>
  <c r="K46" i="2"/>
  <c r="I46" i="2"/>
  <c r="K45" i="2"/>
  <c r="I45" i="2"/>
  <c r="K44" i="2"/>
  <c r="I44" i="2"/>
  <c r="K43" i="2"/>
  <c r="I43" i="2"/>
  <c r="K42" i="2"/>
  <c r="I42" i="2"/>
  <c r="K41" i="2"/>
  <c r="I41" i="2"/>
  <c r="K40" i="2"/>
  <c r="I40" i="2"/>
  <c r="K39" i="2"/>
  <c r="I39" i="2"/>
  <c r="K38" i="2"/>
  <c r="I38" i="2"/>
  <c r="K37" i="2"/>
  <c r="I37" i="2"/>
  <c r="K36" i="2"/>
  <c r="I36" i="2"/>
  <c r="K35" i="2"/>
  <c r="I35" i="2"/>
  <c r="K34" i="2"/>
  <c r="I34" i="2"/>
  <c r="K33" i="2"/>
  <c r="I33" i="2"/>
  <c r="K32" i="2"/>
  <c r="I32" i="2"/>
  <c r="K31" i="2"/>
  <c r="I31" i="2"/>
  <c r="K30" i="2"/>
  <c r="I30" i="2"/>
  <c r="K29" i="2"/>
  <c r="I29" i="2"/>
  <c r="K28" i="2"/>
  <c r="I28" i="2"/>
  <c r="K27" i="2"/>
  <c r="I27" i="2"/>
  <c r="K26" i="2"/>
  <c r="I26" i="2"/>
  <c r="K25" i="2"/>
  <c r="I25" i="2"/>
  <c r="K24" i="2"/>
  <c r="I24" i="2"/>
  <c r="K23" i="2"/>
  <c r="I23" i="2"/>
  <c r="K22" i="2"/>
  <c r="I22" i="2"/>
  <c r="K21" i="2"/>
  <c r="I21" i="2"/>
  <c r="K20" i="2"/>
  <c r="I20" i="2"/>
  <c r="K19" i="2"/>
  <c r="I19" i="2"/>
  <c r="K18" i="2"/>
  <c r="I18" i="2"/>
  <c r="K17" i="2"/>
  <c r="I17" i="2"/>
  <c r="K16" i="2"/>
  <c r="I16" i="2"/>
  <c r="K15" i="2"/>
  <c r="I15" i="2"/>
  <c r="K14" i="2"/>
  <c r="I14" i="2"/>
  <c r="K13" i="2"/>
  <c r="I13" i="2"/>
  <c r="K12" i="2"/>
  <c r="I12" i="2"/>
  <c r="K11" i="2"/>
  <c r="I11" i="2"/>
  <c r="K10" i="2"/>
  <c r="I10" i="2"/>
  <c r="K9" i="2"/>
  <c r="I9" i="2"/>
  <c r="K8" i="2"/>
  <c r="I8" i="2"/>
  <c r="K7" i="2"/>
  <c r="I7" i="2"/>
  <c r="K6" i="2"/>
  <c r="I6" i="2"/>
  <c r="K5" i="2"/>
  <c r="I5" i="2"/>
  <c r="K4" i="2"/>
  <c r="I4" i="2"/>
  <c r="K3" i="2"/>
  <c r="I3" i="2"/>
  <c r="K2" i="2"/>
  <c r="I2" i="2"/>
</calcChain>
</file>

<file path=xl/sharedStrings.xml><?xml version="1.0" encoding="utf-8"?>
<sst xmlns="http://schemas.openxmlformats.org/spreadsheetml/2006/main" count="35307" uniqueCount="2718">
  <si>
    <t>№</t>
  </si>
  <si>
    <t>Категория</t>
  </si>
  <si>
    <t>Фамилия</t>
  </si>
  <si>
    <t>Имя</t>
  </si>
  <si>
    <t>Отчество</t>
  </si>
  <si>
    <t>Тренер</t>
  </si>
  <si>
    <t>Регион</t>
  </si>
  <si>
    <t>общее количество участников личные</t>
  </si>
  <si>
    <t>Итоговая сумма</t>
  </si>
  <si>
    <t>общее количество участников командные</t>
  </si>
  <si>
    <t>Полный контакт -35 кг мальчики 10-11 лет №147</t>
  </si>
  <si>
    <t>Агабалаев</t>
  </si>
  <si>
    <t>Мухаммад</t>
  </si>
  <si>
    <t>Али</t>
  </si>
  <si>
    <t>Абдрахманов Д.И.</t>
  </si>
  <si>
    <t>Астраханская область</t>
  </si>
  <si>
    <t>Полный контакт +35 кг девочки 10-11 лет №152</t>
  </si>
  <si>
    <t>Злата</t>
  </si>
  <si>
    <t>Алексеевна</t>
  </si>
  <si>
    <t>FC- weight category 65 kg men</t>
  </si>
  <si>
    <t>Топилин</t>
  </si>
  <si>
    <t>Павел</t>
  </si>
  <si>
    <t>Петрович</t>
  </si>
  <si>
    <t>FC- weight category 90+ kg men</t>
  </si>
  <si>
    <t>Нурлан</t>
  </si>
  <si>
    <t>Физулиевич</t>
  </si>
  <si>
    <t>ПК - 55 кг</t>
  </si>
  <si>
    <t>Абдрахманов</t>
  </si>
  <si>
    <t>Артур</t>
  </si>
  <si>
    <t>Рамильевич</t>
  </si>
  <si>
    <t>Аляйский</t>
  </si>
  <si>
    <t>Богдан</t>
  </si>
  <si>
    <t>Дмитриевич</t>
  </si>
  <si>
    <t>ПК - 70 кг</t>
  </si>
  <si>
    <t>Амраев</t>
  </si>
  <si>
    <t>Камиль</t>
  </si>
  <si>
    <t>Эльдарович</t>
  </si>
  <si>
    <t>ПК - 40 кг</t>
  </si>
  <si>
    <t>Афанасьев</t>
  </si>
  <si>
    <t>Егор</t>
  </si>
  <si>
    <t>Александрович</t>
  </si>
  <si>
    <t>ПК - 50 кг</t>
  </si>
  <si>
    <t>Бетиева</t>
  </si>
  <si>
    <t>Белита</t>
  </si>
  <si>
    <t>Бислановна</t>
  </si>
  <si>
    <t>СЗ - ката соло</t>
  </si>
  <si>
    <t>ПК - 65 кг</t>
  </si>
  <si>
    <t>Гаджибеков</t>
  </si>
  <si>
    <t>Решад</t>
  </si>
  <si>
    <t>Амирович</t>
  </si>
  <si>
    <t>Джанбеков</t>
  </si>
  <si>
    <t>Данис</t>
  </si>
  <si>
    <t>Дамирович</t>
  </si>
  <si>
    <t>Зарипова</t>
  </si>
  <si>
    <t>Зарина</t>
  </si>
  <si>
    <t>Сухробовна</t>
  </si>
  <si>
    <t>Мадина</t>
  </si>
  <si>
    <t>Иванов</t>
  </si>
  <si>
    <t>Александр</t>
  </si>
  <si>
    <t>Изатулаев</t>
  </si>
  <si>
    <t>Расул</t>
  </si>
  <si>
    <t>Зиннатович</t>
  </si>
  <si>
    <t>Рунис</t>
  </si>
  <si>
    <t>Кузнецов</t>
  </si>
  <si>
    <t>Олег</t>
  </si>
  <si>
    <t>Артемович</t>
  </si>
  <si>
    <t>Намазбаев</t>
  </si>
  <si>
    <t>Даниял</t>
  </si>
  <si>
    <t>Нурмаков</t>
  </si>
  <si>
    <t>Муслим</t>
  </si>
  <si>
    <t>Артурович</t>
  </si>
  <si>
    <t>ПК - 45 кг</t>
  </si>
  <si>
    <t>Рыбаков</t>
  </si>
  <si>
    <t>Степан</t>
  </si>
  <si>
    <t>Самарин</t>
  </si>
  <si>
    <t>Матвей</t>
  </si>
  <si>
    <t>Глебович</t>
  </si>
  <si>
    <t>Солодков</t>
  </si>
  <si>
    <t>Максим</t>
  </si>
  <si>
    <t>Андреевич</t>
  </si>
  <si>
    <t>ПК - 60 кг</t>
  </si>
  <si>
    <t>Сычёва</t>
  </si>
  <si>
    <t>Асият</t>
  </si>
  <si>
    <t>Тимуровна</t>
  </si>
  <si>
    <t>ПК - 35 кг</t>
  </si>
  <si>
    <t>Черняев</t>
  </si>
  <si>
    <t>Артем</t>
  </si>
  <si>
    <t>Алексеевич</t>
  </si>
  <si>
    <t>ОК - ката вадо-рю</t>
  </si>
  <si>
    <t>Шатоба</t>
  </si>
  <si>
    <t>Алёна</t>
  </si>
  <si>
    <t>Евгеньевна</t>
  </si>
  <si>
    <t>Сидорюгин А.С.</t>
  </si>
  <si>
    <t>Брянская область</t>
  </si>
  <si>
    <t>ОК - ката ренгокай</t>
  </si>
  <si>
    <t>LC-kata-vado-ryu women</t>
  </si>
  <si>
    <t>Shatoba</t>
  </si>
  <si>
    <t>Alena</t>
  </si>
  <si>
    <t>Evgenevna</t>
  </si>
  <si>
    <t>Sidoryugin A.S.</t>
  </si>
  <si>
    <t>LC-kata-rengokai women</t>
  </si>
  <si>
    <t>LC-biathlon women</t>
  </si>
  <si>
    <t>ОК - 60 кг</t>
  </si>
  <si>
    <t>Курышова</t>
  </si>
  <si>
    <t>Арина</t>
  </si>
  <si>
    <t>Михайловна</t>
  </si>
  <si>
    <t>Амелин С. А.</t>
  </si>
  <si>
    <t>Владимирская область</t>
  </si>
  <si>
    <t>ОК - АБС</t>
  </si>
  <si>
    <t>ОК - 90 кг</t>
  </si>
  <si>
    <t>Буров</t>
  </si>
  <si>
    <t>Тихон</t>
  </si>
  <si>
    <t>Максимович</t>
  </si>
  <si>
    <t>Асадуллаев Э.Э.</t>
  </si>
  <si>
    <t>ОК - 70 кг</t>
  </si>
  <si>
    <t>Кожевников</t>
  </si>
  <si>
    <t>Илья</t>
  </si>
  <si>
    <t>ОК - 73 кг</t>
  </si>
  <si>
    <t>ОК - 45 кг</t>
  </si>
  <si>
    <t>Присталов</t>
  </si>
  <si>
    <t>Андрей</t>
  </si>
  <si>
    <t>ОК - 47 кг</t>
  </si>
  <si>
    <t>ОК - 38 кг</t>
  </si>
  <si>
    <t>Соколов</t>
  </si>
  <si>
    <t>Роман</t>
  </si>
  <si>
    <t>Юрьевич</t>
  </si>
  <si>
    <t>ОК - 40 кг</t>
  </si>
  <si>
    <t>Грехов</t>
  </si>
  <si>
    <t>Денис</t>
  </si>
  <si>
    <t>Евгеньевич</t>
  </si>
  <si>
    <t>Ощепков О.Л.</t>
  </si>
  <si>
    <t>ОК - 42 кг</t>
  </si>
  <si>
    <t>Кряхова</t>
  </si>
  <si>
    <t>Милана</t>
  </si>
  <si>
    <t>Владимировна</t>
  </si>
  <si>
    <t>Ткачук Г.Б.</t>
  </si>
  <si>
    <t>Воронежская область</t>
  </si>
  <si>
    <t>Полный контакт -30 кг мальчики 8-9 лет №142</t>
  </si>
  <si>
    <t>Потехин</t>
  </si>
  <si>
    <t>Кирилл</t>
  </si>
  <si>
    <t>Басов С.А</t>
  </si>
  <si>
    <t>г. Уральск, Республика Казахстан</t>
  </si>
  <si>
    <t>Полный контакт -35 кг мальчики 8-9 лет №143</t>
  </si>
  <si>
    <t>Зинали</t>
  </si>
  <si>
    <t>Нурислам</t>
  </si>
  <si>
    <t>Аманжолович</t>
  </si>
  <si>
    <t>Жолданов С.С</t>
  </si>
  <si>
    <t>Гайса</t>
  </si>
  <si>
    <t>Хамза</t>
  </si>
  <si>
    <t>Саясатович</t>
  </si>
  <si>
    <t>Полный контакт все веса девочки 8-9 лет №145</t>
  </si>
  <si>
    <t>Сарибаева</t>
  </si>
  <si>
    <t>Айлина</t>
  </si>
  <si>
    <t>Анваровна</t>
  </si>
  <si>
    <t>Полный контакт -31 кг мальчики 10-11 лет №146</t>
  </si>
  <si>
    <t>Темирболатулы</t>
  </si>
  <si>
    <t>Арнур</t>
  </si>
  <si>
    <t>Темирболатович</t>
  </si>
  <si>
    <t>Болат</t>
  </si>
  <si>
    <t>Канат</t>
  </si>
  <si>
    <t>Саматович</t>
  </si>
  <si>
    <t>Полный контакт -45 кг мальчики 10-11 лет №149</t>
  </si>
  <si>
    <t>Алтай</t>
  </si>
  <si>
    <t>Алан</t>
  </si>
  <si>
    <t>Арманович</t>
  </si>
  <si>
    <t>Полный контакт +45 кг мальчики 10-11 лет №150</t>
  </si>
  <si>
    <t>Сайн</t>
  </si>
  <si>
    <t>Саитамир</t>
  </si>
  <si>
    <t>Сунгатович</t>
  </si>
  <si>
    <t>Полный контакт -35 кг девочки 10-11 лет №151</t>
  </si>
  <si>
    <t>Мясникова</t>
  </si>
  <si>
    <t>Таисия</t>
  </si>
  <si>
    <t>Махсот</t>
  </si>
  <si>
    <t>Айдана</t>
  </si>
  <si>
    <t>Абзаловна</t>
  </si>
  <si>
    <t>Bauyrzhan</t>
  </si>
  <si>
    <t>Alisher</t>
  </si>
  <si>
    <t>Salauatovich</t>
  </si>
  <si>
    <t>FC- weight category 75 kg men</t>
  </si>
  <si>
    <t>Bassov</t>
  </si>
  <si>
    <t>Stepan</t>
  </si>
  <si>
    <t>Aleksandrovich</t>
  </si>
  <si>
    <t>Пудовкин</t>
  </si>
  <si>
    <t>Дмитрий</t>
  </si>
  <si>
    <t>Жомартов И.С</t>
  </si>
  <si>
    <t>Карнаухов</t>
  </si>
  <si>
    <t>Вадим</t>
  </si>
  <si>
    <t>Васильевич</t>
  </si>
  <si>
    <t>Мадениетов</t>
  </si>
  <si>
    <t>Амирхан</t>
  </si>
  <si>
    <t>Бейбитович</t>
  </si>
  <si>
    <t>Галиуллин</t>
  </si>
  <si>
    <t>Архан</t>
  </si>
  <si>
    <t>Азаматович</t>
  </si>
  <si>
    <t>Исхан С.У</t>
  </si>
  <si>
    <t>Полный контакт -41 кг мальчики 8-9 лет №144</t>
  </si>
  <si>
    <t>Бауыржан</t>
  </si>
  <si>
    <t>Бек</t>
  </si>
  <si>
    <t>Алиханов</t>
  </si>
  <si>
    <t>Кайсар</t>
  </si>
  <si>
    <t>Нурбулатович</t>
  </si>
  <si>
    <t>Полный контакт -40 кг мальчики 10-11 лет №148</t>
  </si>
  <si>
    <t>Исимбетов</t>
  </si>
  <si>
    <t>Бахтияр</t>
  </si>
  <si>
    <t>Батыргалиевич</t>
  </si>
  <si>
    <t>Джумагельдиев</t>
  </si>
  <si>
    <t>Диас</t>
  </si>
  <si>
    <t>Дауренович</t>
  </si>
  <si>
    <t>Tyulemessov</t>
  </si>
  <si>
    <t>Arzu</t>
  </si>
  <si>
    <t>Telegenovich</t>
  </si>
  <si>
    <t>FC- weight category 60 kg women</t>
  </si>
  <si>
    <t>Mashenova</t>
  </si>
  <si>
    <t>Ainaz</t>
  </si>
  <si>
    <t>Tasbulatovna</t>
  </si>
  <si>
    <t>Ергенбай</t>
  </si>
  <si>
    <t>Маулен</t>
  </si>
  <si>
    <t>Абзалович</t>
  </si>
  <si>
    <t>Машенова А.Т</t>
  </si>
  <si>
    <t>Ерболатова</t>
  </si>
  <si>
    <t>Еркеназ</t>
  </si>
  <si>
    <t>Ерлановна</t>
  </si>
  <si>
    <t>Умирзакова Г.Д</t>
  </si>
  <si>
    <t>Жубангалиева</t>
  </si>
  <si>
    <t>Шугула</t>
  </si>
  <si>
    <t>Казыбековна</t>
  </si>
  <si>
    <t>LC-kata-rengokai-ryu men</t>
  </si>
  <si>
    <t>Chernikov</t>
  </si>
  <si>
    <t>Vsevolod</t>
  </si>
  <si>
    <t>Dmitrievich</t>
  </si>
  <si>
    <t>Азаров А.К.</t>
  </si>
  <si>
    <t>ДНР</t>
  </si>
  <si>
    <t>ОК - 67 кг</t>
  </si>
  <si>
    <t>Данияль</t>
  </si>
  <si>
    <t>ОК - 80 кг</t>
  </si>
  <si>
    <t>Ратников</t>
  </si>
  <si>
    <t>Константин</t>
  </si>
  <si>
    <t>Константинович</t>
  </si>
  <si>
    <t>ОК - 83 кг</t>
  </si>
  <si>
    <t>Черников</t>
  </si>
  <si>
    <t>Всеволод</t>
  </si>
  <si>
    <t>Зайцев</t>
  </si>
  <si>
    <t>Лукашёва А.А.</t>
  </si>
  <si>
    <t>Ката шотокан мальчики 9 лет 7-6 кю (оранжевые и зеленые пояса )№11</t>
  </si>
  <si>
    <t>Черкасов</t>
  </si>
  <si>
    <t>Сергунина Е.А.</t>
  </si>
  <si>
    <t>Ката шотокан мальчики 10 лет 5 кю+ (синие пояса и выше)№16</t>
  </si>
  <si>
    <t>Гуляев</t>
  </si>
  <si>
    <t>Ката шотокан девочки 10 лет 5 кю+ (синие пояса и выше) №27</t>
  </si>
  <si>
    <t>Барсукова</t>
  </si>
  <si>
    <t>Владислава</t>
  </si>
  <si>
    <t>Руслановна</t>
  </si>
  <si>
    <t>Ката шотокан девочки 11 лет 5 кю+ (синие пояса и выше) №28</t>
  </si>
  <si>
    <t>Титова</t>
  </si>
  <si>
    <t>Лидия</t>
  </si>
  <si>
    <t>Максимовна</t>
  </si>
  <si>
    <t>Нихон кумитэ +32 кг девочки 8-9 лет №88</t>
  </si>
  <si>
    <t>Андреева</t>
  </si>
  <si>
    <t>Мила</t>
  </si>
  <si>
    <t>Александровна</t>
  </si>
  <si>
    <t>Нихон кумитэ +38 кг мальчики 9 лет №93</t>
  </si>
  <si>
    <t>Нихон кумитэ -40 кг мальчики 10 лет №96</t>
  </si>
  <si>
    <t>Нихон кумитэ -32 кг девочки 10-11 лет №98</t>
  </si>
  <si>
    <t>Нихон кумитэ -38 кг девочки 11 лет №99</t>
  </si>
  <si>
    <t>Нихон кумитэ -35 кг мальчики 11 лет №102</t>
  </si>
  <si>
    <t>Севрюк</t>
  </si>
  <si>
    <t>Тимур</t>
  </si>
  <si>
    <t>Нихон кумитэ -40 кг мальчики 11 лет №103</t>
  </si>
  <si>
    <t>Самолюк</t>
  </si>
  <si>
    <t>Гордей</t>
  </si>
  <si>
    <t>Нихон кумитэ +45 кг мальчики 11 лет №105</t>
  </si>
  <si>
    <t>Ищенко</t>
  </si>
  <si>
    <t>Алексей</t>
  </si>
  <si>
    <t>Павлович</t>
  </si>
  <si>
    <t>Семёнов</t>
  </si>
  <si>
    <t>Герман</t>
  </si>
  <si>
    <t>Дзю кумитэ +34 кг мальчики 8-9 лет №110</t>
  </si>
  <si>
    <t>Дзю кумитэ -38 кг мальчик 10 лет №115</t>
  </si>
  <si>
    <t>Дзю кумитэ +38 кг мальчик 10-11 лет №116</t>
  </si>
  <si>
    <t>Дзю кумитэ -34 кг девочки 10-11 лет №118</t>
  </si>
  <si>
    <t>Иппон кумитэ мальчики 9 лет №122</t>
  </si>
  <si>
    <t>Иппон кумитэ мальчики 10 лет №123</t>
  </si>
  <si>
    <t xml:space="preserve">Иппон кумитэ мальчики 11 лет №124 </t>
  </si>
  <si>
    <t>Иппон кумитэ девочки 9 лет №127</t>
  </si>
  <si>
    <t>Иппон кумитэ девочки 10 лет №128</t>
  </si>
  <si>
    <t>Иппон кумитэ девочки 11 лет №129</t>
  </si>
  <si>
    <t>Дзю кумитэ девочки 8-9 лет +30 кг №157</t>
  </si>
  <si>
    <t>Дзю кумитэ девочки 10-11 лет +33 кг №158</t>
  </si>
  <si>
    <t>Дзю кумитэ -38 кг мальчик 11 лет №165</t>
  </si>
  <si>
    <t>Ката шотокан девочки 9 лет 7-6 кю (оранжевые и зеленые пояса ) №176</t>
  </si>
  <si>
    <t>Ката шотокан мальчики 11 лет 4-5 кю (синие пояса )№ 177</t>
  </si>
  <si>
    <t>Астафьев</t>
  </si>
  <si>
    <t>Михаил</t>
  </si>
  <si>
    <t>Бредихин</t>
  </si>
  <si>
    <t>Гуляева</t>
  </si>
  <si>
    <t>Виктория</t>
  </si>
  <si>
    <t>ОК - 75 кг</t>
  </si>
  <si>
    <t>ОК - 55 кг</t>
  </si>
  <si>
    <t>Карпович</t>
  </si>
  <si>
    <t>Назар</t>
  </si>
  <si>
    <t>ОК - 58 кг</t>
  </si>
  <si>
    <t>Киселев</t>
  </si>
  <si>
    <t>Русланович</t>
  </si>
  <si>
    <t>ОК - двоеборье</t>
  </si>
  <si>
    <t>Киселева</t>
  </si>
  <si>
    <t>Курченко</t>
  </si>
  <si>
    <t>Сергеевич</t>
  </si>
  <si>
    <t>ОК - 65 кг</t>
  </si>
  <si>
    <t>Малышко</t>
  </si>
  <si>
    <t>Артём</t>
  </si>
  <si>
    <t>Игоревич</t>
  </si>
  <si>
    <t>ОК - 68 кг</t>
  </si>
  <si>
    <t>Оноприенко</t>
  </si>
  <si>
    <t>Яна</t>
  </si>
  <si>
    <t>Николаевна</t>
  </si>
  <si>
    <t>ОК - 50 кг</t>
  </si>
  <si>
    <t>ОК - 57 кг</t>
  </si>
  <si>
    <t>Попова</t>
  </si>
  <si>
    <t>Анжелика</t>
  </si>
  <si>
    <t>Андреевна</t>
  </si>
  <si>
    <t>Тен</t>
  </si>
  <si>
    <t>Христин</t>
  </si>
  <si>
    <t>Анатольевич</t>
  </si>
  <si>
    <t>ОК - 52 кг</t>
  </si>
  <si>
    <t>Шевченко</t>
  </si>
  <si>
    <t>Ярослав</t>
  </si>
  <si>
    <t>Олегович</t>
  </si>
  <si>
    <t>Lazarev</t>
  </si>
  <si>
    <t>Ilia</t>
  </si>
  <si>
    <t>Alekseevich</t>
  </si>
  <si>
    <t>Гришанов Е.В</t>
  </si>
  <si>
    <t>Ивановская область</t>
  </si>
  <si>
    <t>Ельников</t>
  </si>
  <si>
    <t>Сергей</t>
  </si>
  <si>
    <t>Романович</t>
  </si>
  <si>
    <t xml:space="preserve">Палкин А. Н. </t>
  </si>
  <si>
    <t>ПК - 75 кг</t>
  </si>
  <si>
    <t>Михайлович</t>
  </si>
  <si>
    <t>Куканов</t>
  </si>
  <si>
    <t>Даниил</t>
  </si>
  <si>
    <t>Nedvizenko</t>
  </si>
  <si>
    <t>Irina</t>
  </si>
  <si>
    <t>Sergeevna</t>
  </si>
  <si>
    <t>Расторгуев В.В</t>
  </si>
  <si>
    <t>Ефремова</t>
  </si>
  <si>
    <t>Вероника</t>
  </si>
  <si>
    <t>Недвиженко</t>
  </si>
  <si>
    <t>Ирина</t>
  </si>
  <si>
    <t>Сергеевна</t>
  </si>
  <si>
    <t>Белоус</t>
  </si>
  <si>
    <t>Юлия</t>
  </si>
  <si>
    <t>Соловьев М. А.</t>
  </si>
  <si>
    <t>Воробьева</t>
  </si>
  <si>
    <t>Анна</t>
  </si>
  <si>
    <t>Дулова</t>
  </si>
  <si>
    <t>Алена</t>
  </si>
  <si>
    <t>Кушникова</t>
  </si>
  <si>
    <t>Дмитриевна</t>
  </si>
  <si>
    <t>Лисенков</t>
  </si>
  <si>
    <t>Щепалов</t>
  </si>
  <si>
    <t>LC-  weight category  60  kg women</t>
  </si>
  <si>
    <t>Vorobyeva</t>
  </si>
  <si>
    <t>Anna</t>
  </si>
  <si>
    <t>Alekseevna</t>
  </si>
  <si>
    <t xml:space="preserve">Соловьев М. А. </t>
  </si>
  <si>
    <t>Ката шотокан мальчики 11 лет 7-6 кю (оранжевые и зеленые пояса)№14</t>
  </si>
  <si>
    <t>Фролов</t>
  </si>
  <si>
    <t>Цыганков С.А.</t>
  </si>
  <si>
    <t>Ката шотокан девочки 10-11 лет 9-8 кю (белые и желтые пояса) №25</t>
  </si>
  <si>
    <t>Каширина</t>
  </si>
  <si>
    <t>Дарина</t>
  </si>
  <si>
    <t>Игоревна</t>
  </si>
  <si>
    <t>Сивенкова</t>
  </si>
  <si>
    <t>Карина</t>
  </si>
  <si>
    <t>Денисовна</t>
  </si>
  <si>
    <t>Манакова</t>
  </si>
  <si>
    <t>Алиса</t>
  </si>
  <si>
    <t>Нихон кумитэ -44 кг девочки 10-11 лет №100</t>
  </si>
  <si>
    <t>Нихон кумитэ +50 кг девочки 10-11 лет №170</t>
  </si>
  <si>
    <t>Лосев</t>
  </si>
  <si>
    <t>Васюков Д.А.</t>
  </si>
  <si>
    <t>Иркутская область</t>
  </si>
  <si>
    <t>Усов</t>
  </si>
  <si>
    <t>Данил</t>
  </si>
  <si>
    <t>Егорович</t>
  </si>
  <si>
    <t>Трусов А.Ю.</t>
  </si>
  <si>
    <t>Нихон кумитэ -35 кг мальчики 10 лет №95</t>
  </si>
  <si>
    <t>Григоровская</t>
  </si>
  <si>
    <t>Полина</t>
  </si>
  <si>
    <t>Анатольевна</t>
  </si>
  <si>
    <t>Задорожный</t>
  </si>
  <si>
    <t>Сизых</t>
  </si>
  <si>
    <t>Тетерин</t>
  </si>
  <si>
    <t>Денисович</t>
  </si>
  <si>
    <t>Томанов</t>
  </si>
  <si>
    <t>Фунтиков</t>
  </si>
  <si>
    <t>Марсель</t>
  </si>
  <si>
    <t>Викторович</t>
  </si>
  <si>
    <t>Часовитина</t>
  </si>
  <si>
    <t>Валерия</t>
  </si>
  <si>
    <t>Якунин</t>
  </si>
  <si>
    <t>Losev</t>
  </si>
  <si>
    <t>Yaroslav</t>
  </si>
  <si>
    <t>Andreevich</t>
  </si>
  <si>
    <t>Vasuykov D.A.</t>
  </si>
  <si>
    <t>Ката ветераны мужчины 50 лет и старше №49</t>
  </si>
  <si>
    <t>Гончаренко</t>
  </si>
  <si>
    <t>Евгений</t>
  </si>
  <si>
    <t>Георгиевич</t>
  </si>
  <si>
    <t>Гендриксон А.А.</t>
  </si>
  <si>
    <t>Калининградская область</t>
  </si>
  <si>
    <t>LC-kata-goju-ryu men</t>
  </si>
  <si>
    <t>Оркин</t>
  </si>
  <si>
    <t>Валерьевич</t>
  </si>
  <si>
    <t>Гончаренко Е.Г.</t>
  </si>
  <si>
    <t>LC-biathlon men</t>
  </si>
  <si>
    <t>Исакова</t>
  </si>
  <si>
    <t>Герасимов</t>
  </si>
  <si>
    <t>Пономарев В.А.</t>
  </si>
  <si>
    <t>Кемеровская область</t>
  </si>
  <si>
    <t>Илющенко</t>
  </si>
  <si>
    <t>ОК - 63 кг</t>
  </si>
  <si>
    <t>Кубарев</t>
  </si>
  <si>
    <t>Павлов</t>
  </si>
  <si>
    <t>Антонович</t>
  </si>
  <si>
    <t>Рябцева</t>
  </si>
  <si>
    <t>Елизавета</t>
  </si>
  <si>
    <t>Федотов</t>
  </si>
  <si>
    <t>Ката шотокан девочки 10 лет 7-6 кю (оранжевые и зеленые пояса) №26</t>
  </si>
  <si>
    <t>Дербилова</t>
  </si>
  <si>
    <t>Алина</t>
  </si>
  <si>
    <t xml:space="preserve"> Мухаметзянова Г.Г.</t>
  </si>
  <si>
    <t>Кировская область</t>
  </si>
  <si>
    <t>Нихон кумитэ -32 кг девочки 8-9 лет №87</t>
  </si>
  <si>
    <t>Кумитэ нихон девочки 8-9 лет (1 год обучения) №154</t>
  </si>
  <si>
    <t>Нихон кумитэ -45 кг мальчики 11 лет №104</t>
  </si>
  <si>
    <t>Катаев</t>
  </si>
  <si>
    <t>Глеб</t>
  </si>
  <si>
    <t>Куршина</t>
  </si>
  <si>
    <t>Дзю кумитэ -30 кг девочки 8-9 лет №112</t>
  </si>
  <si>
    <t>Леонтьев</t>
  </si>
  <si>
    <t>Владислав</t>
  </si>
  <si>
    <t>Дзю кумитэ -34 кг мальчики 8-9 лет №109</t>
  </si>
  <si>
    <t>Морозов</t>
  </si>
  <si>
    <t>Кумитэ нихон мальчики 8-9 лет +31 кг (1 год обучения) №153</t>
  </si>
  <si>
    <t>Ката шотокан девочки 8 лет 7 кю+ (оранжевые пояса и выше) №21</t>
  </si>
  <si>
    <t>Мухаметзянова</t>
  </si>
  <si>
    <t>Илария</t>
  </si>
  <si>
    <t>Ильнаровна</t>
  </si>
  <si>
    <t>Нихон кумитэ -27 кг девочки 8-9 лет №86</t>
  </si>
  <si>
    <t>Сафин</t>
  </si>
  <si>
    <t>Реналь</t>
  </si>
  <si>
    <t>Рустамович</t>
  </si>
  <si>
    <t>Нихон кумитэ -32 кг мальчики 9 лет №91</t>
  </si>
  <si>
    <t>Нихон кумитэ -19 кг мальчики 6-7 лет №74</t>
  </si>
  <si>
    <t>Чванов</t>
  </si>
  <si>
    <t>Савелий</t>
  </si>
  <si>
    <t>Никитич</t>
  </si>
  <si>
    <t>Нихон кумитэ -31 кг мальчики 8 лет №82</t>
  </si>
  <si>
    <t>Дзю кумитэ -30 кг мальчики 8 лет №108</t>
  </si>
  <si>
    <t>Ката шотокан мальчики 8 лет 7-6 кю (оранжевые и зеленые пояса)№7</t>
  </si>
  <si>
    <t>Юзмухаметов</t>
  </si>
  <si>
    <t>Булат</t>
  </si>
  <si>
    <t>Ильгизарович</t>
  </si>
  <si>
    <t>Нихон кумитэ -27 кг мальчики 8 лет №81</t>
  </si>
  <si>
    <t>Дзю кумитэ -26 кг мальчики 8-9 лет №107</t>
  </si>
  <si>
    <t>Ката ветераны Женщины 45 лет и старше</t>
  </si>
  <si>
    <t xml:space="preserve">Пестерникова </t>
  </si>
  <si>
    <t>Елена</t>
  </si>
  <si>
    <t>Губанищев А.О.</t>
  </si>
  <si>
    <t>Ворошилова</t>
  </si>
  <si>
    <t>Диана</t>
  </si>
  <si>
    <t>Мухаметзянова Г.Г.</t>
  </si>
  <si>
    <t>Евдокимова</t>
  </si>
  <si>
    <t>Мария</t>
  </si>
  <si>
    <t>Зиннатов</t>
  </si>
  <si>
    <t>Рамиль</t>
  </si>
  <si>
    <t>Минемуллин</t>
  </si>
  <si>
    <t>Рустемович</t>
  </si>
  <si>
    <t>Шуплецов</t>
  </si>
  <si>
    <t>Якупова</t>
  </si>
  <si>
    <t>Азалия</t>
  </si>
  <si>
    <t>Ильфатовна</t>
  </si>
  <si>
    <t>Алексеева</t>
  </si>
  <si>
    <t>Евгения</t>
  </si>
  <si>
    <t>Ухванисов О.В.</t>
  </si>
  <si>
    <t>Костромская область</t>
  </si>
  <si>
    <t xml:space="preserve">3100 должны сдать </t>
  </si>
  <si>
    <t>Аширбаева</t>
  </si>
  <si>
    <t>Басов</t>
  </si>
  <si>
    <t>Жилкин</t>
  </si>
  <si>
    <t>Тимофей</t>
  </si>
  <si>
    <t>Кайзер</t>
  </si>
  <si>
    <t>Кудряшов</t>
  </si>
  <si>
    <t>Захар</t>
  </si>
  <si>
    <t>Рахимов</t>
  </si>
  <si>
    <t>Рамзиль</t>
  </si>
  <si>
    <t>Хамидуллин</t>
  </si>
  <si>
    <t>Загирович</t>
  </si>
  <si>
    <t>Харитонов</t>
  </si>
  <si>
    <t>Хусаинова</t>
  </si>
  <si>
    <t>Аделина</t>
  </si>
  <si>
    <t>Ильдаровна</t>
  </si>
  <si>
    <t>Юдин</t>
  </si>
  <si>
    <t>Ката шотокан мальчики 8 лет 8 кю (желтые пояса)№6</t>
  </si>
  <si>
    <t>Федоров</t>
  </si>
  <si>
    <t>Владимир</t>
  </si>
  <si>
    <t>Веракса А.М.</t>
  </si>
  <si>
    <t>Красноярский край</t>
  </si>
  <si>
    <t>Ката шотокан девочки 9 лет 8 кю (желтые пояса) №23</t>
  </si>
  <si>
    <t>Запольская</t>
  </si>
  <si>
    <t>Юлиана</t>
  </si>
  <si>
    <t>Семухина</t>
  </si>
  <si>
    <t>София</t>
  </si>
  <si>
    <t>Романова</t>
  </si>
  <si>
    <t>Блумберг</t>
  </si>
  <si>
    <t>Никита</t>
  </si>
  <si>
    <t>Иппон кумитэ девочки 8 лет №126</t>
  </si>
  <si>
    <t>Ката шотокан девочки 8 лет  8 кю (желтые пояса) №167</t>
  </si>
  <si>
    <t>Нихон кумитэ -38 кг девочки 10 лет №169</t>
  </si>
  <si>
    <t>Наследов</t>
  </si>
  <si>
    <t>Партолин</t>
  </si>
  <si>
    <t>Николай</t>
  </si>
  <si>
    <t>СЗ - 64 кг</t>
  </si>
  <si>
    <t>Фельбрин</t>
  </si>
  <si>
    <t>Шмер</t>
  </si>
  <si>
    <t>Анастасия</t>
  </si>
  <si>
    <t>БЕСПЛАТНО</t>
  </si>
  <si>
    <t>Черникова</t>
  </si>
  <si>
    <t>Софья</t>
  </si>
  <si>
    <t>Романовна</t>
  </si>
  <si>
    <t>Горохов В.С</t>
  </si>
  <si>
    <t>Курская область</t>
  </si>
  <si>
    <t>Аникушина</t>
  </si>
  <si>
    <t>Дарья</t>
  </si>
  <si>
    <t>Векшин</t>
  </si>
  <si>
    <t>Ишунина</t>
  </si>
  <si>
    <t>Васильева</t>
  </si>
  <si>
    <t>Ариана</t>
  </si>
  <si>
    <t>Вячеславовна</t>
  </si>
  <si>
    <t>Ахмелетдинова
 А.В.</t>
  </si>
  <si>
    <t>Москва</t>
  </si>
  <si>
    <t>Котлов</t>
  </si>
  <si>
    <t>Дородный</t>
  </si>
  <si>
    <t>Ахмелетдинова
 А.В./Васильева Е.Н.</t>
  </si>
  <si>
    <t>Васильев</t>
  </si>
  <si>
    <t>Вячеславович</t>
  </si>
  <si>
    <t>Ахмелетдинова
 А.В./Орлова М.С.</t>
  </si>
  <si>
    <t>ОК - ката годзю-рю</t>
  </si>
  <si>
    <t>Ката шотокан мальчики 9 лет 9 кю (белый пояса )№9</t>
  </si>
  <si>
    <t>Гамаюнов</t>
  </si>
  <si>
    <t>Ахмелетдинова А.В, Васильева Е.Н.</t>
  </si>
  <si>
    <t>Ката шотокан мальчики 10 лет 9 кю (белые пояса)№13</t>
  </si>
  <si>
    <t>Колосов</t>
  </si>
  <si>
    <t>Иван</t>
  </si>
  <si>
    <t>Ахмелетдинова А.В.</t>
  </si>
  <si>
    <t>Козырев</t>
  </si>
  <si>
    <t>Арсений</t>
  </si>
  <si>
    <t>Ахмелетдинова А.В., Демьяненко В.В</t>
  </si>
  <si>
    <t>Процкая</t>
  </si>
  <si>
    <t>Ахмелетдинова А.В./Васильева Е.Н.</t>
  </si>
  <si>
    <t>Кемайкин</t>
  </si>
  <si>
    <t>Семён</t>
  </si>
  <si>
    <t>Григорьевич</t>
  </si>
  <si>
    <t>Воронцова М.В./ Ахмелетдинова А.В.</t>
  </si>
  <si>
    <t>Ашряфетдинов</t>
  </si>
  <si>
    <t>Даниель</t>
  </si>
  <si>
    <t>Ринатович</t>
  </si>
  <si>
    <t>Галицына Н.А.</t>
  </si>
  <si>
    <t>Варлахин</t>
  </si>
  <si>
    <t>Зинкевич</t>
  </si>
  <si>
    <t>Иванович</t>
  </si>
  <si>
    <t>Месропов</t>
  </si>
  <si>
    <t>Чиженкова</t>
  </si>
  <si>
    <t>Варвара</t>
  </si>
  <si>
    <t>Олеговна</t>
  </si>
  <si>
    <t>Корчашкин</t>
  </si>
  <si>
    <t>Гудков Д.А</t>
  </si>
  <si>
    <t>Лисютенко</t>
  </si>
  <si>
    <t>Демьяненко В.В.</t>
  </si>
  <si>
    <t>Маклакова</t>
  </si>
  <si>
    <t>Любовь</t>
  </si>
  <si>
    <t>Рогов</t>
  </si>
  <si>
    <t>Савина</t>
  </si>
  <si>
    <t>Тарасов</t>
  </si>
  <si>
    <t>Нихон кумитэ -50 кг девочки 10-11 лет №101</t>
  </si>
  <si>
    <t>Герцова</t>
  </si>
  <si>
    <t>Яковлевна</t>
  </si>
  <si>
    <t>Краплин А.А</t>
  </si>
  <si>
    <t>Беляев</t>
  </si>
  <si>
    <t>Краплин А.А.</t>
  </si>
  <si>
    <t>Вергасов</t>
  </si>
  <si>
    <t>Кириченко</t>
  </si>
  <si>
    <t>Екатерина</t>
  </si>
  <si>
    <t>Кутуев Р.М.</t>
  </si>
  <si>
    <t>Гаража</t>
  </si>
  <si>
    <t>Юрьевна</t>
  </si>
  <si>
    <t>Лебедкин А.Ю</t>
  </si>
  <si>
    <t>Краснов</t>
  </si>
  <si>
    <t>Куликова</t>
  </si>
  <si>
    <t>Ксения</t>
  </si>
  <si>
    <t>Нихон кумитэ -30 кг мальчики 10 лет №94</t>
  </si>
  <si>
    <t>Маршин</t>
  </si>
  <si>
    <t>Лука</t>
  </si>
  <si>
    <t>Дзю кумитэ -28 кг мальчик 10-11 лет №113</t>
  </si>
  <si>
    <t>Василиса</t>
  </si>
  <si>
    <t>Лебедкин А.Ю, Демьяненко В.В</t>
  </si>
  <si>
    <t>Лопухов В.А.
/Ахмелетдинова А.В.</t>
  </si>
  <si>
    <t>Федорова</t>
  </si>
  <si>
    <t>Мотрич А.А.</t>
  </si>
  <si>
    <t>Ката ветераны женщины 45 лет и старше №51</t>
  </si>
  <si>
    <t>Черкашина</t>
  </si>
  <si>
    <t>Васильевна</t>
  </si>
  <si>
    <t>MP-kata-solo women</t>
  </si>
  <si>
    <t>Cherkashina</t>
  </si>
  <si>
    <t>Alina</t>
  </si>
  <si>
    <t>Vasilievna</t>
  </si>
  <si>
    <t>Азизян</t>
  </si>
  <si>
    <t>Татулович</t>
  </si>
  <si>
    <t>Строкань Е.С.</t>
  </si>
  <si>
    <t>Балахонцева</t>
  </si>
  <si>
    <t>Дубовской</t>
  </si>
  <si>
    <t>Валентинович</t>
  </si>
  <si>
    <t>Дзю кумитэ -33 кг мальчик 11 лет №164</t>
  </si>
  <si>
    <t>Нихон кумитэ +22 кг девочки 6-7 лет №79</t>
  </si>
  <si>
    <t>Клюева</t>
  </si>
  <si>
    <t>Вадимовна</t>
  </si>
  <si>
    <t>Иппон кумитэ девочки 6-7 лет №125</t>
  </si>
  <si>
    <t>Ката шотокан мальчики 8-9 лет 5 кю+ (синие пояса и выше)№12</t>
  </si>
  <si>
    <t>Пищенков</t>
  </si>
  <si>
    <t>Николаевич</t>
  </si>
  <si>
    <t>Левченко О.А</t>
  </si>
  <si>
    <t>Нижегородская область</t>
  </si>
  <si>
    <t>Сбитнев</t>
  </si>
  <si>
    <t>Нихон кумитэ -21 кг мальчики 6-7 лет №75</t>
  </si>
  <si>
    <t>Степанов</t>
  </si>
  <si>
    <t>Мирон</t>
  </si>
  <si>
    <t>Витальевич</t>
  </si>
  <si>
    <t>Шалашова</t>
  </si>
  <si>
    <t>Артемовна</t>
  </si>
  <si>
    <t>Катков</t>
  </si>
  <si>
    <t>Нихон кумитэ +35 кг мальчики 8 лет №84</t>
  </si>
  <si>
    <t>Шерстнев</t>
  </si>
  <si>
    <t>Марк</t>
  </si>
  <si>
    <t>Кустова</t>
  </si>
  <si>
    <t>Станиславовна</t>
  </si>
  <si>
    <t>Шилыганова</t>
  </si>
  <si>
    <t>Кира</t>
  </si>
  <si>
    <t>Шувалов</t>
  </si>
  <si>
    <t>Кузин</t>
  </si>
  <si>
    <t>Владимирович</t>
  </si>
  <si>
    <t>Оганисян</t>
  </si>
  <si>
    <t>Иппон кумитэ мальчики 6 лет №119</t>
  </si>
  <si>
    <t>Иппон кумитэ мальчики 8 лет №121</t>
  </si>
  <si>
    <t>Ката шотокан мальчики 6 лет 8 кю+ №168</t>
  </si>
  <si>
    <t>Агапова</t>
  </si>
  <si>
    <t>Ульяна</t>
  </si>
  <si>
    <t>Вершинина</t>
  </si>
  <si>
    <t>Глухов</t>
  </si>
  <si>
    <t>Денисов</t>
  </si>
  <si>
    <t>Жучков</t>
  </si>
  <si>
    <t>Золотарев</t>
  </si>
  <si>
    <t>Колосунин</t>
  </si>
  <si>
    <t>Ляпин</t>
  </si>
  <si>
    <t>Табашин</t>
  </si>
  <si>
    <t>Тюкин</t>
  </si>
  <si>
    <t>Худин</t>
  </si>
  <si>
    <t>Малышев</t>
  </si>
  <si>
    <t>Малышев М.А</t>
  </si>
  <si>
    <t>Печкин</t>
  </si>
  <si>
    <t>Трофим</t>
  </si>
  <si>
    <t>Малышев М.А.</t>
  </si>
  <si>
    <t>Ката шотокан девочки 6 лет все пояса №18</t>
  </si>
  <si>
    <t>Марушкина</t>
  </si>
  <si>
    <t>Ката шотокан девочки 7 лет 8 кю+  №19</t>
  </si>
  <si>
    <t>Дуняхина</t>
  </si>
  <si>
    <t>Ивановна</t>
  </si>
  <si>
    <t>Матвеева</t>
  </si>
  <si>
    <t>Ката шотокан девочки 9 лет 5 кю+ (оранжевые пояса и выше) №24</t>
  </si>
  <si>
    <t>Быбина</t>
  </si>
  <si>
    <t>Мирослава</t>
  </si>
  <si>
    <t>Писаревская</t>
  </si>
  <si>
    <t>Косякина</t>
  </si>
  <si>
    <t>Борисовна</t>
  </si>
  <si>
    <t>Ката другие стили мальчики 8-9 лет все пояса  №34</t>
  </si>
  <si>
    <t>Ката другие стили девочки 8-9 лет все пояса  №41</t>
  </si>
  <si>
    <t>Ката другие стили девочки 10-11 лет все пояса (вадо-рю,сито-рю) №44</t>
  </si>
  <si>
    <t>Ката другие стили девочки 10-11 лет до 7 кю №45</t>
  </si>
  <si>
    <t>Волкова</t>
  </si>
  <si>
    <t>Далекина</t>
  </si>
  <si>
    <t>Павловна</t>
  </si>
  <si>
    <t>Ката ветераны женщины 35-45 лет №50</t>
  </si>
  <si>
    <t>Кристина</t>
  </si>
  <si>
    <t>Геннадьевна</t>
  </si>
  <si>
    <t>Нихон кумитэ -26 кг мальчики 6-7 лет №76</t>
  </si>
  <si>
    <t>Федорченко</t>
  </si>
  <si>
    <t>Черемухин</t>
  </si>
  <si>
    <t>Георгий</t>
  </si>
  <si>
    <t>Нихон кумитэ -22 кг девочки 6-7 лет №78</t>
  </si>
  <si>
    <t>Нихон кумитэ -28 кг мальчики 9 лет №90</t>
  </si>
  <si>
    <t>Александров</t>
  </si>
  <si>
    <t>Иппон кумитэ мальчики 7 лет №120</t>
  </si>
  <si>
    <t>Ката шотокан мальчики 7 лет до 8 кю (желтые пояса) №159</t>
  </si>
  <si>
    <t>Ката шотокан девочки 11 лет 7-6 кю (оранжевые и зеленые пояса) №162</t>
  </si>
  <si>
    <t>Ката шотокан 4-5 лет все пояса (микс) №1</t>
  </si>
  <si>
    <t>Шкаев</t>
  </si>
  <si>
    <t>Мартынов А.В.</t>
  </si>
  <si>
    <t>Ката шотокан мальчики 7 лет 7 кю+ (оранжевые пояса и выше)№4</t>
  </si>
  <si>
    <t>Баташев</t>
  </si>
  <si>
    <t>Нихон кумитэ +26 кг мальчики 6-7 лет №77</t>
  </si>
  <si>
    <t>Нихон кумитэ -35 кг мальчики 8 лет №83</t>
  </si>
  <si>
    <t>Дзю кумитэ -33 кг мальчик 10 лет №114</t>
  </si>
  <si>
    <t>Кузьмина</t>
  </si>
  <si>
    <t>Ольга</t>
  </si>
  <si>
    <t>Кирилловна</t>
  </si>
  <si>
    <t>Мартынов Д.В.</t>
  </si>
  <si>
    <t>Дикий</t>
  </si>
  <si>
    <t>Шмелёв</t>
  </si>
  <si>
    <t>Кожевникова</t>
  </si>
  <si>
    <t>Лариса</t>
  </si>
  <si>
    <t>Валерьевна</t>
  </si>
  <si>
    <t>Дзю кумитэ -31 кг девочки 10-11 лет №117</t>
  </si>
  <si>
    <t>Дзю кумитэ -30 кг мальчики 9 лет №172</t>
  </si>
  <si>
    <t>Ростков</t>
  </si>
  <si>
    <t>Митрофанов А.А. мл</t>
  </si>
  <si>
    <t>Новгородская область</t>
  </si>
  <si>
    <t>MP-kata-solo  with object men</t>
  </si>
  <si>
    <t>Борзыкин</t>
  </si>
  <si>
    <t>СЗ - ката соло с предметом</t>
  </si>
  <si>
    <t>Митрофанов</t>
  </si>
  <si>
    <t>Анатолий</t>
  </si>
  <si>
    <t>Митрофанов Ан. Ал.</t>
  </si>
  <si>
    <t>Придатко</t>
  </si>
  <si>
    <t>Алексевич</t>
  </si>
  <si>
    <t>Барбашин С В</t>
  </si>
  <si>
    <t>Оренбургская область</t>
  </si>
  <si>
    <t>СЗ - 72 кг</t>
  </si>
  <si>
    <t>Ушаков</t>
  </si>
  <si>
    <t>Дусупова</t>
  </si>
  <si>
    <t>Эльвира</t>
  </si>
  <si>
    <t>Беридзе Л Л</t>
  </si>
  <si>
    <t>Тугаева</t>
  </si>
  <si>
    <t>Регина</t>
  </si>
  <si>
    <t>Рустамовна</t>
  </si>
  <si>
    <t>Мурзакаев</t>
  </si>
  <si>
    <t>Дубцов А А</t>
  </si>
  <si>
    <t>Балтабай</t>
  </si>
  <si>
    <t>Даниал</t>
  </si>
  <si>
    <t>Берикович</t>
  </si>
  <si>
    <t>Жолданов С.С.</t>
  </si>
  <si>
    <t>Барлыбай</t>
  </si>
  <si>
    <t>Азат</t>
  </si>
  <si>
    <t>Казбекович</t>
  </si>
  <si>
    <t>Алишер</t>
  </si>
  <si>
    <t>Салауатович</t>
  </si>
  <si>
    <t>Бериков</t>
  </si>
  <si>
    <t>Алинур</t>
  </si>
  <si>
    <t>Наурызович</t>
  </si>
  <si>
    <t>Бисембай</t>
  </si>
  <si>
    <t>Мансур</t>
  </si>
  <si>
    <t>Гаближалелов</t>
  </si>
  <si>
    <t>Нурбол</t>
  </si>
  <si>
    <t>Саян</t>
  </si>
  <si>
    <t>Гайсаев</t>
  </si>
  <si>
    <t>Инсар</t>
  </si>
  <si>
    <t>Дисен</t>
  </si>
  <si>
    <t>Айткалиевич</t>
  </si>
  <si>
    <t>Жомарт</t>
  </si>
  <si>
    <t>Азиз</t>
  </si>
  <si>
    <t>Асхатович</t>
  </si>
  <si>
    <t>Жомартов</t>
  </si>
  <si>
    <t>Искандер</t>
  </si>
  <si>
    <t>Сагитович</t>
  </si>
  <si>
    <t>Масот</t>
  </si>
  <si>
    <t>Болатович</t>
  </si>
  <si>
    <t>Нурадин</t>
  </si>
  <si>
    <t>Ердаулет</t>
  </si>
  <si>
    <t>Ренатович</t>
  </si>
  <si>
    <t>Тажгулов</t>
  </si>
  <si>
    <t>Мурат</t>
  </si>
  <si>
    <t>Рахат</t>
  </si>
  <si>
    <t>Сакенович</t>
  </si>
  <si>
    <t>Жомартов И.С.</t>
  </si>
  <si>
    <t>Сансызбай</t>
  </si>
  <si>
    <t>Бекзат</t>
  </si>
  <si>
    <t>Иванов А Г</t>
  </si>
  <si>
    <t>Студенская</t>
  </si>
  <si>
    <t>Константиновна</t>
  </si>
  <si>
    <t>Батыргалиева</t>
  </si>
  <si>
    <t>Лунара</t>
  </si>
  <si>
    <t>Кайрекеновна</t>
  </si>
  <si>
    <t>Исхан С.У.</t>
  </si>
  <si>
    <t>Макаркызы</t>
  </si>
  <si>
    <t>Дильназ</t>
  </si>
  <si>
    <t>Мамбетов</t>
  </si>
  <si>
    <t>Кыдыр</t>
  </si>
  <si>
    <t>Канатович</t>
  </si>
  <si>
    <t>Машенова</t>
  </si>
  <si>
    <t>Айназ</t>
  </si>
  <si>
    <t>Тасбулатовна</t>
  </si>
  <si>
    <t>Тынышкалиева</t>
  </si>
  <si>
    <t>Маржан</t>
  </si>
  <si>
    <t>Алибековна</t>
  </si>
  <si>
    <t>Бескопыльная</t>
  </si>
  <si>
    <t>Ким И Н</t>
  </si>
  <si>
    <t>Брюхов</t>
  </si>
  <si>
    <t>Никитович</t>
  </si>
  <si>
    <t>СЗ - 68 кг</t>
  </si>
  <si>
    <t>Вернер</t>
  </si>
  <si>
    <t>Кирил</t>
  </si>
  <si>
    <t>Демидов</t>
  </si>
  <si>
    <t>Дмитриев</t>
  </si>
  <si>
    <t>Ракужевский</t>
  </si>
  <si>
    <t>Сергеев</t>
  </si>
  <si>
    <t>Скамьина</t>
  </si>
  <si>
    <t>СЗ - 57 кг</t>
  </si>
  <si>
    <t>Антипов</t>
  </si>
  <si>
    <t>Кох А А  Кабаков Е С</t>
  </si>
  <si>
    <t>СЗ - 51 кг</t>
  </si>
  <si>
    <t>Асташов</t>
  </si>
  <si>
    <t>Герингер</t>
  </si>
  <si>
    <t>Иконников</t>
  </si>
  <si>
    <t>Макар</t>
  </si>
  <si>
    <t>СЗ - 39 кг</t>
  </si>
  <si>
    <t>Исмухамбетов</t>
  </si>
  <si>
    <t>Таймас</t>
  </si>
  <si>
    <t>Савитканович</t>
  </si>
  <si>
    <t>Кашафутдинов</t>
  </si>
  <si>
    <t>СЗ - 45 кг</t>
  </si>
  <si>
    <t>Кох А.А. / Кабаков Е.С</t>
  </si>
  <si>
    <t>СЗ - 54 кг</t>
  </si>
  <si>
    <t>Кунжариков</t>
  </si>
  <si>
    <t>Рузов</t>
  </si>
  <si>
    <t>Мишина</t>
  </si>
  <si>
    <t>Курганов В И</t>
  </si>
  <si>
    <t>Максютова</t>
  </si>
  <si>
    <t>Ринатовна</t>
  </si>
  <si>
    <t>Максютов Р</t>
  </si>
  <si>
    <t>Ержан</t>
  </si>
  <si>
    <t>Эльназ</t>
  </si>
  <si>
    <t>Сабитовна</t>
  </si>
  <si>
    <t>Машенова А.Т.</t>
  </si>
  <si>
    <t>Жирова</t>
  </si>
  <si>
    <t>Нагаев И Ф</t>
  </si>
  <si>
    <t>Забиров</t>
  </si>
  <si>
    <t>Динис</t>
  </si>
  <si>
    <t>Рафисович</t>
  </si>
  <si>
    <t>Гуртиков</t>
  </si>
  <si>
    <t>Пашенец Д</t>
  </si>
  <si>
    <t>Лаптева</t>
  </si>
  <si>
    <t>Ярослава</t>
  </si>
  <si>
    <t>Мусаева</t>
  </si>
  <si>
    <t>Самира</t>
  </si>
  <si>
    <t>Мурадовна</t>
  </si>
  <si>
    <t>Новиков</t>
  </si>
  <si>
    <t>Виталий</t>
  </si>
  <si>
    <t>Проскурин</t>
  </si>
  <si>
    <t>Тимофеева</t>
  </si>
  <si>
    <t>Ибрагимов</t>
  </si>
  <si>
    <t>Пешков С С Ибрагимов А С</t>
  </si>
  <si>
    <t>Климиова</t>
  </si>
  <si>
    <t>Дамир</t>
  </si>
  <si>
    <t>Сорокин</t>
  </si>
  <si>
    <t>Терешев</t>
  </si>
  <si>
    <t>Аитов</t>
  </si>
  <si>
    <t>Ранильевич</t>
  </si>
  <si>
    <t>Реймер В В</t>
  </si>
  <si>
    <t>Акопян</t>
  </si>
  <si>
    <t>Эдгардович</t>
  </si>
  <si>
    <t>Нарек</t>
  </si>
  <si>
    <t>Андреев</t>
  </si>
  <si>
    <t>Семен</t>
  </si>
  <si>
    <t>Жабин</t>
  </si>
  <si>
    <t>Коновалова</t>
  </si>
  <si>
    <t>Кряжев</t>
  </si>
  <si>
    <t>Полич</t>
  </si>
  <si>
    <t>Эдуардович</t>
  </si>
  <si>
    <t>Пчелинцев</t>
  </si>
  <si>
    <t>Третьяков</t>
  </si>
  <si>
    <t>Ягофарова</t>
  </si>
  <si>
    <t>Янбулатов</t>
  </si>
  <si>
    <t>Иффатович</t>
  </si>
  <si>
    <t>Брякова</t>
  </si>
  <si>
    <t>Сухомлинов А. В.</t>
  </si>
  <si>
    <t>Лев</t>
  </si>
  <si>
    <t>Григорьев</t>
  </si>
  <si>
    <t>Давыдова</t>
  </si>
  <si>
    <t>Зуев</t>
  </si>
  <si>
    <t>Карабанов</t>
  </si>
  <si>
    <t>Лукъянчикова</t>
  </si>
  <si>
    <t>Мордвинцев</t>
  </si>
  <si>
    <t>Уразалиев</t>
  </si>
  <si>
    <t>Бекжанович</t>
  </si>
  <si>
    <t>Халитова</t>
  </si>
  <si>
    <t>Рафаиловна</t>
  </si>
  <si>
    <t>Халиуллина</t>
  </si>
  <si>
    <t>MP-kata-solo men</t>
  </si>
  <si>
    <t>Лещёв</t>
  </si>
  <si>
    <t>Игорь</t>
  </si>
  <si>
    <t>Сухомлинов А.В.</t>
  </si>
  <si>
    <t>Даультаев</t>
  </si>
  <si>
    <t>Арсен</t>
  </si>
  <si>
    <t>Булатович</t>
  </si>
  <si>
    <t>Чернов А А</t>
  </si>
  <si>
    <t>Зинченко</t>
  </si>
  <si>
    <t>Нурулин</t>
  </si>
  <si>
    <t>Самат</t>
  </si>
  <si>
    <t>Долганов</t>
  </si>
  <si>
    <t>Шитов В В</t>
  </si>
  <si>
    <t>Дуйсенбаев</t>
  </si>
  <si>
    <t>Аян</t>
  </si>
  <si>
    <t>Жангельдыевич</t>
  </si>
  <si>
    <t>Искандеров</t>
  </si>
  <si>
    <t>денис</t>
  </si>
  <si>
    <t>Красов</t>
  </si>
  <si>
    <t>Сагандыков</t>
  </si>
  <si>
    <t>Шагигалин</t>
  </si>
  <si>
    <t>Аскар</t>
  </si>
  <si>
    <t>Альбертович</t>
  </si>
  <si>
    <t>Эмих</t>
  </si>
  <si>
    <t>СЗ - 76 кг</t>
  </si>
  <si>
    <t>Мирошник</t>
  </si>
  <si>
    <t>Яковенко С В</t>
  </si>
  <si>
    <t>Зулхузин</t>
  </si>
  <si>
    <t>Зуфарович</t>
  </si>
  <si>
    <t>Дубцова Д А</t>
  </si>
  <si>
    <t xml:space="preserve">Оренбургская область </t>
  </si>
  <si>
    <t>Каримов</t>
  </si>
  <si>
    <t>Абдухолик</t>
  </si>
  <si>
    <t>Иброхимиджонович</t>
  </si>
  <si>
    <t>Палагин</t>
  </si>
  <si>
    <t>Рябых</t>
  </si>
  <si>
    <t>Шмелев</t>
  </si>
  <si>
    <t>Клещуков</t>
  </si>
  <si>
    <t>Агата</t>
  </si>
  <si>
    <t>Филип</t>
  </si>
  <si>
    <t>Нихон кумитэ -38 кг мальчики 9 лет №92</t>
  </si>
  <si>
    <t>Доскенов</t>
  </si>
  <si>
    <t>Самарканович</t>
  </si>
  <si>
    <t>Ката шотокан мальчики 6 лет 9 кю №2</t>
  </si>
  <si>
    <t>Матвеев</t>
  </si>
  <si>
    <t>Сарбинтович</t>
  </si>
  <si>
    <t>Тихонов</t>
  </si>
  <si>
    <t>Туркин</t>
  </si>
  <si>
    <t>Нихон кумитэ -24 кг мальчики 6-7 лет №163</t>
  </si>
  <si>
    <t>Шепелев</t>
  </si>
  <si>
    <t>Ката шотокан мальчики 9 лет 8 кю (желтые пояса )№10</t>
  </si>
  <si>
    <t>Шляхов</t>
  </si>
  <si>
    <t>Исенгулов</t>
  </si>
  <si>
    <t>Эмир</t>
  </si>
  <si>
    <t>задвоение</t>
  </si>
  <si>
    <t>MP-weight category 64  kg men</t>
  </si>
  <si>
    <t>Кабаков</t>
  </si>
  <si>
    <t>Хакимов</t>
  </si>
  <si>
    <t>Ансар</t>
  </si>
  <si>
    <t>Кизнер</t>
  </si>
  <si>
    <t>Анатонович</t>
  </si>
  <si>
    <t>Нихон кумитэ +40 кг мальчики 10 лет №97</t>
  </si>
  <si>
    <t>Еняшин</t>
  </si>
  <si>
    <t>Нагаев</t>
  </si>
  <si>
    <t>Феликсович</t>
  </si>
  <si>
    <t>Трунов</t>
  </si>
  <si>
    <t>Потехина</t>
  </si>
  <si>
    <t>Бажена</t>
  </si>
  <si>
    <t>Скопинцева</t>
  </si>
  <si>
    <t>Щукина</t>
  </si>
  <si>
    <t>Кабулов</t>
  </si>
  <si>
    <t>Айдар</t>
  </si>
  <si>
    <t>Нурланович</t>
  </si>
  <si>
    <t>Кожевнников</t>
  </si>
  <si>
    <t>Мачин</t>
  </si>
  <si>
    <t>Ката соло мальчики 10-11 лет №57</t>
  </si>
  <si>
    <t>Аюпов</t>
  </si>
  <si>
    <t>Даниэль</t>
  </si>
  <si>
    <t>Мидхатович</t>
  </si>
  <si>
    <t>Ката соло девочки 10-11 лет №59</t>
  </si>
  <si>
    <t>Комаревцева</t>
  </si>
  <si>
    <t>Ката ветераны мужчины 35-40 лет №47</t>
  </si>
  <si>
    <t>Болгарев</t>
  </si>
  <si>
    <t>Чуриков С А</t>
  </si>
  <si>
    <t>Ката соло девочки 8-9 лет №58</t>
  </si>
  <si>
    <t>Кулизнева</t>
  </si>
  <si>
    <t>Шейда Е  В</t>
  </si>
  <si>
    <t>Алдебергенова</t>
  </si>
  <si>
    <t>Даяна</t>
  </si>
  <si>
    <t>Тулегеновна</t>
  </si>
  <si>
    <t>Мамонова</t>
  </si>
  <si>
    <t>Сафия</t>
  </si>
  <si>
    <t>Попович</t>
  </si>
  <si>
    <t>Давид</t>
  </si>
  <si>
    <t>Сошкин</t>
  </si>
  <si>
    <t>Таранов</t>
  </si>
  <si>
    <t>Виктор</t>
  </si>
  <si>
    <t>Узаков</t>
  </si>
  <si>
    <t>Kabakov</t>
  </si>
  <si>
    <t>Egor</t>
  </si>
  <si>
    <t>Sergeevich</t>
  </si>
  <si>
    <t>Koch A.A. / Kabakov E.S.</t>
  </si>
  <si>
    <t>Дмитричева</t>
  </si>
  <si>
    <t>Дмитричев М.А.</t>
  </si>
  <si>
    <t>Орловская область</t>
  </si>
  <si>
    <t>Марушкин</t>
  </si>
  <si>
    <t>Бондарев</t>
  </si>
  <si>
    <t>Кузнецов А.С.</t>
  </si>
  <si>
    <t>Пясецкий</t>
  </si>
  <si>
    <t>Чадаев</t>
  </si>
  <si>
    <t>Ризван</t>
  </si>
  <si>
    <t>Хусеинович</t>
  </si>
  <si>
    <t>LC-weight category 80 kg men</t>
  </si>
  <si>
    <t>Бурментьев А.Н.</t>
  </si>
  <si>
    <t>Пензенская область</t>
  </si>
  <si>
    <t>Анчихров</t>
  </si>
  <si>
    <t>Донсков</t>
  </si>
  <si>
    <t>Миллер</t>
  </si>
  <si>
    <t>Плаксин</t>
  </si>
  <si>
    <t>Терин</t>
  </si>
  <si>
    <t>Валиуллов Р.А.</t>
  </si>
  <si>
    <t>Авдеев</t>
  </si>
  <si>
    <t>Ката шотокан девочки 8 лет 9 кю (белые пояса) №20</t>
  </si>
  <si>
    <t>Пономарева</t>
  </si>
  <si>
    <t>Амина</t>
  </si>
  <si>
    <t>Наилевна</t>
  </si>
  <si>
    <t>Пилипенко В.С.</t>
  </si>
  <si>
    <t>Абрамов</t>
  </si>
  <si>
    <t>Камила</t>
  </si>
  <si>
    <t>Мурукин</t>
  </si>
  <si>
    <t>Хачатрян В.Х</t>
  </si>
  <si>
    <t>Хачатрян</t>
  </si>
  <si>
    <t>Арам</t>
  </si>
  <si>
    <t>Вагинакович</t>
  </si>
  <si>
    <t>Аксёнова</t>
  </si>
  <si>
    <t>Ангелина</t>
  </si>
  <si>
    <t>Громова О.П.</t>
  </si>
  <si>
    <t>Пермский край</t>
  </si>
  <si>
    <t>Ахтямова</t>
  </si>
  <si>
    <t>Ачаев</t>
  </si>
  <si>
    <t>Бердникова</t>
  </si>
  <si>
    <t>Галина</t>
  </si>
  <si>
    <t>Эдуардовна</t>
  </si>
  <si>
    <t>Бутаков</t>
  </si>
  <si>
    <t>Вершинин</t>
  </si>
  <si>
    <t>Артемий</t>
  </si>
  <si>
    <t>Арсеньевич</t>
  </si>
  <si>
    <t>Воронова</t>
  </si>
  <si>
    <t>Вяткин</t>
  </si>
  <si>
    <t>Городилова</t>
  </si>
  <si>
    <t>Громова</t>
  </si>
  <si>
    <t>Груздев</t>
  </si>
  <si>
    <t>Станиславович</t>
  </si>
  <si>
    <t>Оскар</t>
  </si>
  <si>
    <t>Зобачев</t>
  </si>
  <si>
    <t>Кимвалова</t>
  </si>
  <si>
    <t>Кичева</t>
  </si>
  <si>
    <t>Елисавета</t>
  </si>
  <si>
    <t>Стефания</t>
  </si>
  <si>
    <t>Ката шотокан мальчики 10 лет 8 кю (желтые пояса) №160</t>
  </si>
  <si>
    <t>Копысов</t>
  </si>
  <si>
    <t>Коряков</t>
  </si>
  <si>
    <t>Кириллович</t>
  </si>
  <si>
    <t>Кухарев</t>
  </si>
  <si>
    <t>Мациевский</t>
  </si>
  <si>
    <t>Мякшин</t>
  </si>
  <si>
    <t>Мякшина</t>
  </si>
  <si>
    <t>Никонов</t>
  </si>
  <si>
    <t>Погодаева</t>
  </si>
  <si>
    <t>Петровна</t>
  </si>
  <si>
    <t>Попов</t>
  </si>
  <si>
    <t>Сырбачева</t>
  </si>
  <si>
    <t>Александра</t>
  </si>
  <si>
    <t>Татаринов</t>
  </si>
  <si>
    <t>Демид</t>
  </si>
  <si>
    <t>Трубицин</t>
  </si>
  <si>
    <t>Шаймухаметов</t>
  </si>
  <si>
    <t>GRUZDEV</t>
  </si>
  <si>
    <t>OSKAR</t>
  </si>
  <si>
    <t>STANISLAVOVICH</t>
  </si>
  <si>
    <t>Нихон кумитэ -23 кг мальчики 8 лет №80</t>
  </si>
  <si>
    <t>Ахметов</t>
  </si>
  <si>
    <t>Альфредович</t>
  </si>
  <si>
    <t>Еманов М.О</t>
  </si>
  <si>
    <t>Байдина</t>
  </si>
  <si>
    <t>Даниловна</t>
  </si>
  <si>
    <t>Бочкарева</t>
  </si>
  <si>
    <t>Антоновна</t>
  </si>
  <si>
    <t>Гладков</t>
  </si>
  <si>
    <t>Дёмин</t>
  </si>
  <si>
    <t>Игошев</t>
  </si>
  <si>
    <t>Кузнецова</t>
  </si>
  <si>
    <t>Оборин</t>
  </si>
  <si>
    <t>Онорин</t>
  </si>
  <si>
    <t>Тимофеевич</t>
  </si>
  <si>
    <t>Рыжков</t>
  </si>
  <si>
    <t>Собянина</t>
  </si>
  <si>
    <t>Антипин</t>
  </si>
  <si>
    <t>Ищенко С.В.</t>
  </si>
  <si>
    <t>Антипина</t>
  </si>
  <si>
    <t>Брикман</t>
  </si>
  <si>
    <t>Владиславович</t>
  </si>
  <si>
    <t>Ката шотокан мальчики 10 лет 7-6 кю (оранжевые и зеленые пояса) №161</t>
  </si>
  <si>
    <t>Зейналов</t>
  </si>
  <si>
    <t>Эльмаддин</t>
  </si>
  <si>
    <t>Зейналова</t>
  </si>
  <si>
    <t>Рамила</t>
  </si>
  <si>
    <t>Ката с предметом девочки 8-9 лет №54</t>
  </si>
  <si>
    <t>Ката с предметом девочки 10-11 лет №55</t>
  </si>
  <si>
    <t>Котельников</t>
  </si>
  <si>
    <t>Кощеева</t>
  </si>
  <si>
    <t>Ева</t>
  </si>
  <si>
    <t>Михалев</t>
  </si>
  <si>
    <t>Насальская</t>
  </si>
  <si>
    <t>Остапчук</t>
  </si>
  <si>
    <t>Симонов</t>
  </si>
  <si>
    <t>Ката ветераны мужчины 41-50 лет №48</t>
  </si>
  <si>
    <t>Токарев</t>
  </si>
  <si>
    <t>Фролова</t>
  </si>
  <si>
    <t>Хаданович</t>
  </si>
  <si>
    <t>Хохлова</t>
  </si>
  <si>
    <t>Василина</t>
  </si>
  <si>
    <t>Ischenko</t>
  </si>
  <si>
    <t>Sergey</t>
  </si>
  <si>
    <t>Vasilyevich</t>
  </si>
  <si>
    <t>LC-weight category 70 kg  men</t>
  </si>
  <si>
    <t>Khadanovich</t>
  </si>
  <si>
    <t>Pavel</t>
  </si>
  <si>
    <t>Mikhailovich</t>
  </si>
  <si>
    <t>LC-weight category 73 kg  men</t>
  </si>
  <si>
    <t>MP-kata-solo  with object women</t>
  </si>
  <si>
    <t>Ostapchuk</t>
  </si>
  <si>
    <t>Maria</t>
  </si>
  <si>
    <t>Alexandrovna</t>
  </si>
  <si>
    <t>Волк</t>
  </si>
  <si>
    <t>Козлов Е.А.</t>
  </si>
  <si>
    <t>Калыпин</t>
  </si>
  <si>
    <t>Нихон кумитэ -30 кг мальчики 11 лет №171</t>
  </si>
  <si>
    <t>Копылова</t>
  </si>
  <si>
    <t>Марокин</t>
  </si>
  <si>
    <t>Мехрякова</t>
  </si>
  <si>
    <t>Старовойтов</t>
  </si>
  <si>
    <t>Кумитэ нихон мальчики 8-9 лет -31 кг (1 год обучения) №175</t>
  </si>
  <si>
    <t>Тиунова</t>
  </si>
  <si>
    <t>Гоголев</t>
  </si>
  <si>
    <t>Колыванова В.В.</t>
  </si>
  <si>
    <t>Желудков</t>
  </si>
  <si>
    <t>Каменщиков</t>
  </si>
  <si>
    <t>Комаров</t>
  </si>
  <si>
    <t>Литвинова</t>
  </si>
  <si>
    <t>Меньшиков</t>
  </si>
  <si>
    <t>Павликов</t>
  </si>
  <si>
    <t>Снигирева</t>
  </si>
  <si>
    <t>Алиева</t>
  </si>
  <si>
    <t>Эвелина</t>
  </si>
  <si>
    <t>Рамилевна</t>
  </si>
  <si>
    <t>Кондратьев И. В.</t>
  </si>
  <si>
    <t>Асоев</t>
  </si>
  <si>
    <t>Абубакр</t>
  </si>
  <si>
    <t>Шодихонович</t>
  </si>
  <si>
    <t>Бессагонова</t>
  </si>
  <si>
    <t>Каролина</t>
  </si>
  <si>
    <t>Власова</t>
  </si>
  <si>
    <t>Дударев</t>
  </si>
  <si>
    <t>Икрамов</t>
  </si>
  <si>
    <t>Акрамжанович</t>
  </si>
  <si>
    <t>Ката шотокан мальчики 11 лет 9-8 кю (белые и желтые пояса)№15</t>
  </si>
  <si>
    <t>Казаков</t>
  </si>
  <si>
    <t>Каменских</t>
  </si>
  <si>
    <t>Корольков</t>
  </si>
  <si>
    <t>Косолапов</t>
  </si>
  <si>
    <t>Красносельских</t>
  </si>
  <si>
    <t>Мороз</t>
  </si>
  <si>
    <t>Леонидович</t>
  </si>
  <si>
    <t>Мунирова</t>
  </si>
  <si>
    <t>Милена</t>
  </si>
  <si>
    <t>Ильназовна</t>
  </si>
  <si>
    <t>Никитина</t>
  </si>
  <si>
    <t>Инга</t>
  </si>
  <si>
    <t>Патракова</t>
  </si>
  <si>
    <t>Пегушина</t>
  </si>
  <si>
    <t>Рисдавлятов</t>
  </si>
  <si>
    <t>Бехруз</t>
  </si>
  <si>
    <t>Азизович</t>
  </si>
  <si>
    <t>Табанаков</t>
  </si>
  <si>
    <t>Яковлева</t>
  </si>
  <si>
    <t>Пантелеев</t>
  </si>
  <si>
    <t>Краснов Е.В.</t>
  </si>
  <si>
    <t>Семакин</t>
  </si>
  <si>
    <t>Пегушин</t>
  </si>
  <si>
    <t>Музырев А.Н.</t>
  </si>
  <si>
    <t>Вавилин</t>
  </si>
  <si>
    <t>Остапчук М.А.</t>
  </si>
  <si>
    <t>Сулейманова</t>
  </si>
  <si>
    <t>Рафиговна</t>
  </si>
  <si>
    <t>Джуманиязов</t>
  </si>
  <si>
    <t>Абдула</t>
  </si>
  <si>
    <t>Отабекович</t>
  </si>
  <si>
    <t>Симонов А.В.</t>
  </si>
  <si>
    <t>Джуманиязова</t>
  </si>
  <si>
    <t>Фатима</t>
  </si>
  <si>
    <t>Отабековна</t>
  </si>
  <si>
    <t>Перминова</t>
  </si>
  <si>
    <t>Белкина</t>
  </si>
  <si>
    <t>Викторовна</t>
  </si>
  <si>
    <t>Хаданович П.М.</t>
  </si>
  <si>
    <t>Ермаков</t>
  </si>
  <si>
    <t>Екубджонов</t>
  </si>
  <si>
    <t>Джахонгир</t>
  </si>
  <si>
    <t>Екубджонович</t>
  </si>
  <si>
    <t>Абулханов И.А.</t>
  </si>
  <si>
    <t>Республика Башкортостан</t>
  </si>
  <si>
    <t>MP-weight category 72  kg men</t>
  </si>
  <si>
    <t>Кальянов</t>
  </si>
  <si>
    <t>Афризунов</t>
  </si>
  <si>
    <t>Эльмир</t>
  </si>
  <si>
    <t>Вадимович</t>
  </si>
  <si>
    <t>Исамбетов</t>
  </si>
  <si>
    <t>Эльнар</t>
  </si>
  <si>
    <t>Эльвирович</t>
  </si>
  <si>
    <t>Садыков</t>
  </si>
  <si>
    <t>Маратович</t>
  </si>
  <si>
    <t>Стрекалов</t>
  </si>
  <si>
    <t>Тухбатуллин</t>
  </si>
  <si>
    <t>Радифович</t>
  </si>
  <si>
    <t>Яубасаров</t>
  </si>
  <si>
    <t>Марат</t>
  </si>
  <si>
    <t>Ришатович</t>
  </si>
  <si>
    <t>Микаелян</t>
  </si>
  <si>
    <t>Володиевич</t>
  </si>
  <si>
    <t>Анисифоров Э.С.</t>
  </si>
  <si>
    <t>Насыров</t>
  </si>
  <si>
    <t>Вилевич</t>
  </si>
  <si>
    <t>Тарасюк</t>
  </si>
  <si>
    <t>БАКИРОВ</t>
  </si>
  <si>
    <t>АЛЬБЕРТ</t>
  </si>
  <si>
    <t>ВЛАДИСЛАВОВИЧ</t>
  </si>
  <si>
    <t>Архипов Ю.В.</t>
  </si>
  <si>
    <t>Даян</t>
  </si>
  <si>
    <t>Ильнурович</t>
  </si>
  <si>
    <t>Газин</t>
  </si>
  <si>
    <t>Эмиль</t>
  </si>
  <si>
    <t>Маухтдинов</t>
  </si>
  <si>
    <t>Ильяс</t>
  </si>
  <si>
    <t>Ранисович</t>
  </si>
  <si>
    <t>Торосян</t>
  </si>
  <si>
    <t>Варужан</t>
  </si>
  <si>
    <t>Баласанович</t>
  </si>
  <si>
    <t>Хайруллин</t>
  </si>
  <si>
    <t>Аюпов М.Ф.</t>
  </si>
  <si>
    <t xml:space="preserve">убрать </t>
  </si>
  <si>
    <t>Кумитэ нихон мальчики 10-11 лет (1 год обучения) №156</t>
  </si>
  <si>
    <t>Алтынбаев</t>
  </si>
  <si>
    <t>Ильяр</t>
  </si>
  <si>
    <t>Радмирович</t>
  </si>
  <si>
    <t>Архипова</t>
  </si>
  <si>
    <t>Дементьевна</t>
  </si>
  <si>
    <t>Бикмухаметов</t>
  </si>
  <si>
    <t>Салават</t>
  </si>
  <si>
    <t>Юлаевич</t>
  </si>
  <si>
    <t>Возжаев</t>
  </si>
  <si>
    <t>Воробьев</t>
  </si>
  <si>
    <t>Гайнетдинов</t>
  </si>
  <si>
    <t>Радикович</t>
  </si>
  <si>
    <t>Гильманов</t>
  </si>
  <si>
    <t>Динислам</t>
  </si>
  <si>
    <t>Ката шотокан мальчики 8 лет 9 кю (белые пояса)№5</t>
  </si>
  <si>
    <t>Горелов</t>
  </si>
  <si>
    <t>Гусев</t>
  </si>
  <si>
    <t>Девяткин</t>
  </si>
  <si>
    <t>Платон</t>
  </si>
  <si>
    <t>Жембровсикй</t>
  </si>
  <si>
    <t>Журавлев</t>
  </si>
  <si>
    <t>Инкин</t>
  </si>
  <si>
    <t>Кумитэ нихон мальчики 8-9 лет -28 кг  (1 год обучения) №174</t>
  </si>
  <si>
    <t>Капитонова</t>
  </si>
  <si>
    <t>Ковальчук</t>
  </si>
  <si>
    <t>Рафиков</t>
  </si>
  <si>
    <t>Рамилевич</t>
  </si>
  <si>
    <t>Ряжапов</t>
  </si>
  <si>
    <t>Садиков</t>
  </si>
  <si>
    <t>Вильдан</t>
  </si>
  <si>
    <t>Фанилевич</t>
  </si>
  <si>
    <t>Салимов</t>
  </si>
  <si>
    <t>Ильнар</t>
  </si>
  <si>
    <t>Фаилевич</t>
  </si>
  <si>
    <t>Сахаутдинов</t>
  </si>
  <si>
    <t>Арслан</t>
  </si>
  <si>
    <t>Айнурович</t>
  </si>
  <si>
    <t>Синельников</t>
  </si>
  <si>
    <t>Справидохин</t>
  </si>
  <si>
    <t>Субботкин</t>
  </si>
  <si>
    <t>Талаев</t>
  </si>
  <si>
    <t>Родион</t>
  </si>
  <si>
    <t>Фахреева</t>
  </si>
  <si>
    <t>Фидановна</t>
  </si>
  <si>
    <t>Федькин</t>
  </si>
  <si>
    <t>Хаматова</t>
  </si>
  <si>
    <t>Шарипов</t>
  </si>
  <si>
    <t>Ильсаф</t>
  </si>
  <si>
    <t>Рафикович</t>
  </si>
  <si>
    <t>Аюпов Марат Фаррахетдинович</t>
  </si>
  <si>
    <t>Говорюткин</t>
  </si>
  <si>
    <t>Ката шотокан мальчики 11 лет 3 кю+ (коричневые пояса)№17</t>
  </si>
  <si>
    <t>Тимерлан</t>
  </si>
  <si>
    <t>Ката шотокан мальчики 7 лет до 9 кю (белые пояса)№3</t>
  </si>
  <si>
    <t>Федор</t>
  </si>
  <si>
    <t>Зиннуров</t>
  </si>
  <si>
    <t>Динисович</t>
  </si>
  <si>
    <t>Валиев Я. А.</t>
  </si>
  <si>
    <t>Ганиева</t>
  </si>
  <si>
    <t>Лилия</t>
  </si>
  <si>
    <t>Амировна</t>
  </si>
  <si>
    <t>Войнова</t>
  </si>
  <si>
    <t>Эданна-София</t>
  </si>
  <si>
    <t>Войнов Э.</t>
  </si>
  <si>
    <t>Землянскова</t>
  </si>
  <si>
    <t>Витальевна</t>
  </si>
  <si>
    <t>Дятлов</t>
  </si>
  <si>
    <t>Лебедев</t>
  </si>
  <si>
    <t>Халуева</t>
  </si>
  <si>
    <t>Командиров</t>
  </si>
  <si>
    <t>Салихова</t>
  </si>
  <si>
    <t>Алсу</t>
  </si>
  <si>
    <t>Эльвировна</t>
  </si>
  <si>
    <t>Равиль</t>
  </si>
  <si>
    <t>Газизов Р.Р.</t>
  </si>
  <si>
    <t>Янбаев</t>
  </si>
  <si>
    <t>Калякин</t>
  </si>
  <si>
    <t>Хамитов</t>
  </si>
  <si>
    <t>Каюмов</t>
  </si>
  <si>
    <t>Ролан</t>
  </si>
  <si>
    <t>Гилязетдинов</t>
  </si>
  <si>
    <t>Самир</t>
  </si>
  <si>
    <t>Ильгизович</t>
  </si>
  <si>
    <t>Мирхашимов</t>
  </si>
  <si>
    <t>Эмин</t>
  </si>
  <si>
    <t>Ризванович</t>
  </si>
  <si>
    <t>Мавлютов</t>
  </si>
  <si>
    <t>Малофеев</t>
  </si>
  <si>
    <t>Валиев</t>
  </si>
  <si>
    <t>Ислам</t>
  </si>
  <si>
    <t>Дария</t>
  </si>
  <si>
    <t>Ката шотокан девочки 9 лет 9 кю (белые пояса) №22</t>
  </si>
  <si>
    <t>Макогон</t>
  </si>
  <si>
    <t>Емельянова</t>
  </si>
  <si>
    <t>Басареева</t>
  </si>
  <si>
    <t>Ибрагимова</t>
  </si>
  <si>
    <t>Нихон кумитэ -24 кг девочки 8-9 лет №85</t>
  </si>
  <si>
    <t>Дзю кумитэ -22 кг мальчики 8-9 лет №106</t>
  </si>
  <si>
    <t>Панаев</t>
  </si>
  <si>
    <t>Петров</t>
  </si>
  <si>
    <t>Ката шотокан девочки 7 лет до 9 кю №166</t>
  </si>
  <si>
    <t>Гладких</t>
  </si>
  <si>
    <t>Фанис</t>
  </si>
  <si>
    <t>Гладких Ф.П.</t>
  </si>
  <si>
    <t>Фанисович</t>
  </si>
  <si>
    <t>Николаев</t>
  </si>
  <si>
    <t>Узков</t>
  </si>
  <si>
    <t>Уразлов</t>
  </si>
  <si>
    <t>Двоеглазов К.М</t>
  </si>
  <si>
    <t>Арсланов</t>
  </si>
  <si>
    <t>Линарович</t>
  </si>
  <si>
    <t>Звягинцева</t>
  </si>
  <si>
    <t>Зимина</t>
  </si>
  <si>
    <t>Мазитова</t>
  </si>
  <si>
    <t>Ильдусовна</t>
  </si>
  <si>
    <t>Снежана</t>
  </si>
  <si>
    <t>Нихон кумитэ -24 кг мальчики 9 лет №89</t>
  </si>
  <si>
    <t>Шахмаев</t>
  </si>
  <si>
    <t>Тагир</t>
  </si>
  <si>
    <t>Азатович</t>
  </si>
  <si>
    <t>Михайлов</t>
  </si>
  <si>
    <t>Станислав</t>
  </si>
  <si>
    <t>Байгильдина</t>
  </si>
  <si>
    <t>Аделя</t>
  </si>
  <si>
    <t>Салаватовна</t>
  </si>
  <si>
    <t>Кабиров</t>
  </si>
  <si>
    <t>Мирхайдаров</t>
  </si>
  <si>
    <t>Эдгар</t>
  </si>
  <si>
    <t>Ильшатович</t>
  </si>
  <si>
    <t>Наумова</t>
  </si>
  <si>
    <t>Ралина</t>
  </si>
  <si>
    <t>Михайлова</t>
  </si>
  <si>
    <t>Аралбаева</t>
  </si>
  <si>
    <t>Радисовна</t>
  </si>
  <si>
    <t>Ахмерова</t>
  </si>
  <si>
    <t>Тансулпан</t>
  </si>
  <si>
    <t>Азатовна</t>
  </si>
  <si>
    <t>Руслан</t>
  </si>
  <si>
    <t>Кагарманова</t>
  </si>
  <si>
    <t>Ильшатовна</t>
  </si>
  <si>
    <t>Мазитов</t>
  </si>
  <si>
    <t>Сулейман</t>
  </si>
  <si>
    <t>Ильдусович</t>
  </si>
  <si>
    <t>Файзитдинов</t>
  </si>
  <si>
    <t>Файзуллин</t>
  </si>
  <si>
    <t>Хабиров</t>
  </si>
  <si>
    <t>Ринат</t>
  </si>
  <si>
    <t>Рамисович</t>
  </si>
  <si>
    <t>Шахмаева</t>
  </si>
  <si>
    <t>Лиана</t>
  </si>
  <si>
    <t>Недельченко</t>
  </si>
  <si>
    <t>Емелин А. Ж.</t>
  </si>
  <si>
    <t>Емелин</t>
  </si>
  <si>
    <t>Антон</t>
  </si>
  <si>
    <t>Жанович</t>
  </si>
  <si>
    <t>Мартынова</t>
  </si>
  <si>
    <t>Шамратова</t>
  </si>
  <si>
    <t>Тимербулатов</t>
  </si>
  <si>
    <t>Иванов И.В.</t>
  </si>
  <si>
    <t>Ката другие стили девочки 8-9 лет до 7 кю №42</t>
  </si>
  <si>
    <t>Леонидовна</t>
  </si>
  <si>
    <t>Усманова</t>
  </si>
  <si>
    <t>Амалия</t>
  </si>
  <si>
    <t>Артуровна</t>
  </si>
  <si>
    <t>Потеряев</t>
  </si>
  <si>
    <t>Устименко</t>
  </si>
  <si>
    <t>Маскаров</t>
  </si>
  <si>
    <t>Мирьян</t>
  </si>
  <si>
    <t>Муритович</t>
  </si>
  <si>
    <t>Фатхуллин</t>
  </si>
  <si>
    <t>Роберт</t>
  </si>
  <si>
    <t>Наилевич</t>
  </si>
  <si>
    <t>Ката другие стили мальчики 6-7 лет №30</t>
  </si>
  <si>
    <t>Латыпов</t>
  </si>
  <si>
    <t>Филенко</t>
  </si>
  <si>
    <t>Гайнутдинов</t>
  </si>
  <si>
    <t>Ралиф</t>
  </si>
  <si>
    <t>Филюсович</t>
  </si>
  <si>
    <t>Эрик</t>
  </si>
  <si>
    <t>Антонов</t>
  </si>
  <si>
    <t>Кирилов Р. А</t>
  </si>
  <si>
    <t>Бурдасов</t>
  </si>
  <si>
    <t>Ильназ</t>
  </si>
  <si>
    <t>Ильдарович</t>
  </si>
  <si>
    <t>Вахитов</t>
  </si>
  <si>
    <t>Марселевич</t>
  </si>
  <si>
    <t>Викторов</t>
  </si>
  <si>
    <t>Гайфуллин</t>
  </si>
  <si>
    <t>Султан</t>
  </si>
  <si>
    <t>Финатович</t>
  </si>
  <si>
    <t>Гильязов</t>
  </si>
  <si>
    <t>Карим</t>
  </si>
  <si>
    <t>Губайдуллина</t>
  </si>
  <si>
    <t>Ильнуровна</t>
  </si>
  <si>
    <t>Даутов</t>
  </si>
  <si>
    <t>Еремеев</t>
  </si>
  <si>
    <t>Иванова</t>
  </si>
  <si>
    <t>Владиславовна</t>
  </si>
  <si>
    <t>Имамутдинов</t>
  </si>
  <si>
    <t>Искужина</t>
  </si>
  <si>
    <t>Кадыргулов</t>
  </si>
  <si>
    <t>Камалов</t>
  </si>
  <si>
    <t>Ирикович</t>
  </si>
  <si>
    <t>Кашапов</t>
  </si>
  <si>
    <t>Кинзябаев</t>
  </si>
  <si>
    <t>Данияр</t>
  </si>
  <si>
    <t>Динарович</t>
  </si>
  <si>
    <t>Кирилов</t>
  </si>
  <si>
    <t>Колесникова</t>
  </si>
  <si>
    <t>Златослава</t>
  </si>
  <si>
    <t>Масхатов</t>
  </si>
  <si>
    <t>Минигалеев</t>
  </si>
  <si>
    <t>Мурзагильдин</t>
  </si>
  <si>
    <t>Рамазан</t>
  </si>
  <si>
    <t>Нагретдинов</t>
  </si>
  <si>
    <t>Синикиди</t>
  </si>
  <si>
    <t>Ситдиков</t>
  </si>
  <si>
    <t>Альберт</t>
  </si>
  <si>
    <t>Фиданович</t>
  </si>
  <si>
    <t>Сулейманов</t>
  </si>
  <si>
    <t>Нурсултан</t>
  </si>
  <si>
    <t>Тлявкаев</t>
  </si>
  <si>
    <t>Нияз</t>
  </si>
  <si>
    <t>Хабибуллин</t>
  </si>
  <si>
    <t>Альфирович</t>
  </si>
  <si>
    <t>Хузиев</t>
  </si>
  <si>
    <t>Ридан</t>
  </si>
  <si>
    <t>Флюрович</t>
  </si>
  <si>
    <t>Шакиров</t>
  </si>
  <si>
    <t>Шишко</t>
  </si>
  <si>
    <t>Яковлев</t>
  </si>
  <si>
    <t>Маврин</t>
  </si>
  <si>
    <t>Коршунов Д.С.</t>
  </si>
  <si>
    <t>Ясовиева</t>
  </si>
  <si>
    <t>Радмила</t>
  </si>
  <si>
    <t>Равильевна</t>
  </si>
  <si>
    <t>Фадеев</t>
  </si>
  <si>
    <t>Ярославович</t>
  </si>
  <si>
    <t>Кудрявцев А.А.</t>
  </si>
  <si>
    <t>Шапкин</t>
  </si>
  <si>
    <t>Кудрявцев</t>
  </si>
  <si>
    <t>Лаврентьев</t>
  </si>
  <si>
    <t>Ильич</t>
  </si>
  <si>
    <t>Зеленов</t>
  </si>
  <si>
    <t>Ильинична</t>
  </si>
  <si>
    <t>Кислякова</t>
  </si>
  <si>
    <t>Вагапова</t>
  </si>
  <si>
    <t>Алеся</t>
  </si>
  <si>
    <t>Сагалаева</t>
  </si>
  <si>
    <t>Виолетта</t>
  </si>
  <si>
    <t>Мухаметова</t>
  </si>
  <si>
    <t>Фанилевна</t>
  </si>
  <si>
    <t>Павлова</t>
  </si>
  <si>
    <t>Козлицкая</t>
  </si>
  <si>
    <t>Костылева</t>
  </si>
  <si>
    <t>Мамбеткулов</t>
  </si>
  <si>
    <t>Фаритович</t>
  </si>
  <si>
    <t>Валиева</t>
  </si>
  <si>
    <t>Кузьмин А. О.</t>
  </si>
  <si>
    <t>Кузьмин</t>
  </si>
  <si>
    <t>Ката другие стили мальчики 8-9 лет все пояса (вадо-рю,сито-рю) №32</t>
  </si>
  <si>
    <t>Ахматгареев</t>
  </si>
  <si>
    <t>Кемран</t>
  </si>
  <si>
    <t>Кузьмин Артем Олегович</t>
  </si>
  <si>
    <t>Ката другие стили девочки 6-7 лет №39</t>
  </si>
  <si>
    <t>Давлетьярова</t>
  </si>
  <si>
    <t>Ильмина</t>
  </si>
  <si>
    <t>Радиковна</t>
  </si>
  <si>
    <t>Деркин</t>
  </si>
  <si>
    <t>Иргалина</t>
  </si>
  <si>
    <t>Ильвина</t>
  </si>
  <si>
    <t>Байрасовна</t>
  </si>
  <si>
    <t>Ишмухаметов</t>
  </si>
  <si>
    <t>Малюкова</t>
  </si>
  <si>
    <t>Амелия</t>
  </si>
  <si>
    <t>Халиков</t>
  </si>
  <si>
    <t>Чекулаева</t>
  </si>
  <si>
    <t>Волков</t>
  </si>
  <si>
    <t>Максютов Д.И</t>
  </si>
  <si>
    <t>Асфандияров</t>
  </si>
  <si>
    <t>Руденко </t>
  </si>
  <si>
    <t>Саниев</t>
  </si>
  <si>
    <t>Фархадович</t>
  </si>
  <si>
    <t>Колобовников</t>
  </si>
  <si>
    <t>Галеев</t>
  </si>
  <si>
    <t>Валерьевич </t>
  </si>
  <si>
    <t>Мамаев</t>
  </si>
  <si>
    <t>Мальцев Н.В.</t>
  </si>
  <si>
    <t>Байрамов</t>
  </si>
  <si>
    <t>Хаматов</t>
  </si>
  <si>
    <t>Ханов</t>
  </si>
  <si>
    <t>Ирекович</t>
  </si>
  <si>
    <t>Леонид</t>
  </si>
  <si>
    <t>Бикташев</t>
  </si>
  <si>
    <t>Махновский А.В.</t>
  </si>
  <si>
    <t>Шишкин</t>
  </si>
  <si>
    <t>Никитин</t>
  </si>
  <si>
    <t>Махновский</t>
  </si>
  <si>
    <t>Юсупов</t>
  </si>
  <si>
    <t>Киреев</t>
  </si>
  <si>
    <t>Корнейчук</t>
  </si>
  <si>
    <t>Виденеев</t>
  </si>
  <si>
    <t>Гулынин</t>
  </si>
  <si>
    <t>Данир</t>
  </si>
  <si>
    <t>Поляков</t>
  </si>
  <si>
    <t>Хорохорин</t>
  </si>
  <si>
    <t>Рябов</t>
  </si>
  <si>
    <t>Буляккулов</t>
  </si>
  <si>
    <t>Динар</t>
  </si>
  <si>
    <t>Карпов</t>
  </si>
  <si>
    <t>Газизов</t>
  </si>
  <si>
    <t>Нургалиев</t>
  </si>
  <si>
    <t>Данисович</t>
  </si>
  <si>
    <t>Галаев</t>
  </si>
  <si>
    <t>Юлианна</t>
  </si>
  <si>
    <t>Бобырь</t>
  </si>
  <si>
    <t>Николаева</t>
  </si>
  <si>
    <t>Антонина</t>
  </si>
  <si>
    <t>Артёмовна</t>
  </si>
  <si>
    <t>Тихонова</t>
  </si>
  <si>
    <t>Ишбулдин</t>
  </si>
  <si>
    <t>Ката другие стили мальчики 10-11 лет все пояса (вадо-рю,сито-рю) №35</t>
  </si>
  <si>
    <t>Фаткуллин</t>
  </si>
  <si>
    <t>Альгисович</t>
  </si>
  <si>
    <t>Надеева</t>
  </si>
  <si>
    <t>Татьяна</t>
  </si>
  <si>
    <t>Шарипова</t>
  </si>
  <si>
    <t>Родионовна</t>
  </si>
  <si>
    <t>Бейльман</t>
  </si>
  <si>
    <t>Кутинов</t>
  </si>
  <si>
    <t>Труба</t>
  </si>
  <si>
    <t>Султанов</t>
  </si>
  <si>
    <t>Кагарманов</t>
  </si>
  <si>
    <t>Алмаз</t>
  </si>
  <si>
    <t>Кучин</t>
  </si>
  <si>
    <t>Парфенова</t>
  </si>
  <si>
    <t>Алёшин</t>
  </si>
  <si>
    <t>Салихов</t>
  </si>
  <si>
    <t>Илгамович</t>
  </si>
  <si>
    <t>Кумитэ нихон девочки 10-11 лет (1 год обучения) №155</t>
  </si>
  <si>
    <t>Ярмеева</t>
  </si>
  <si>
    <t>Барабаш</t>
  </si>
  <si>
    <t>Музафаров</t>
  </si>
  <si>
    <t>Бикмухаметова</t>
  </si>
  <si>
    <t>Дана</t>
  </si>
  <si>
    <t>Адильевна</t>
  </si>
  <si>
    <t>Валитова</t>
  </si>
  <si>
    <t>Сабина</t>
  </si>
  <si>
    <t>Азаматовна</t>
  </si>
  <si>
    <t>Бакуркин</t>
  </si>
  <si>
    <t>Данила</t>
  </si>
  <si>
    <t>Бирюкова</t>
  </si>
  <si>
    <t>Габидуллин</t>
  </si>
  <si>
    <t>Рафаилович</t>
  </si>
  <si>
    <t>Расулович</t>
  </si>
  <si>
    <t>Газизуллина</t>
  </si>
  <si>
    <t>Рузильевна</t>
  </si>
  <si>
    <t>Галиева</t>
  </si>
  <si>
    <t>Илина</t>
  </si>
  <si>
    <t>Галимханова</t>
  </si>
  <si>
    <t>Демчук</t>
  </si>
  <si>
    <t>Артёмович</t>
  </si>
  <si>
    <t>Живаева</t>
  </si>
  <si>
    <t>Маргарита</t>
  </si>
  <si>
    <t>Збарский</t>
  </si>
  <si>
    <t>Мирослав</t>
  </si>
  <si>
    <t>Каримова</t>
  </si>
  <si>
    <t>Эмилия</t>
  </si>
  <si>
    <t>Кравченко</t>
  </si>
  <si>
    <t>Максютов</t>
  </si>
  <si>
    <t>Маннанова</t>
  </si>
  <si>
    <t>Маратовна</t>
  </si>
  <si>
    <t>Медников</t>
  </si>
  <si>
    <t>Мордовин</t>
  </si>
  <si>
    <t>Мурзабулатова</t>
  </si>
  <si>
    <t>Овчинников</t>
  </si>
  <si>
    <t>Смирнова</t>
  </si>
  <si>
    <t>Толкушенкова</t>
  </si>
  <si>
    <t>Халитов</t>
  </si>
  <si>
    <t>Амир</t>
  </si>
  <si>
    <t>Ягафарова</t>
  </si>
  <si>
    <t>Лейла</t>
  </si>
  <si>
    <t>Рустемовна</t>
  </si>
  <si>
    <t>LC-weight category 75 kg  men</t>
  </si>
  <si>
    <t>Miroshnikov</t>
  </si>
  <si>
    <t>Ivan</t>
  </si>
  <si>
    <t>Yurievich</t>
  </si>
  <si>
    <t>Мирошников Иван Юрьевич</t>
  </si>
  <si>
    <t>LC-weight category 83 kg men</t>
  </si>
  <si>
    <t>Гималетдинова</t>
  </si>
  <si>
    <t>Рахмангулов С.С.</t>
  </si>
  <si>
    <t>Давлетшин</t>
  </si>
  <si>
    <t>Ильнур</t>
  </si>
  <si>
    <t>Дзюба</t>
  </si>
  <si>
    <t>Кунафина</t>
  </si>
  <si>
    <t>Наргиза</t>
  </si>
  <si>
    <t>Мальцева</t>
  </si>
  <si>
    <t>Доминика</t>
  </si>
  <si>
    <t>Михаиловна</t>
  </si>
  <si>
    <t>Спиридонова</t>
  </si>
  <si>
    <t>DAVLETSHIN</t>
  </si>
  <si>
    <t>ARTUR</t>
  </si>
  <si>
    <t>VADIMOVICH</t>
  </si>
  <si>
    <t>Ягафаров</t>
  </si>
  <si>
    <t xml:space="preserve">Саламатина В. Ю. </t>
  </si>
  <si>
    <t>Тимашева</t>
  </si>
  <si>
    <t>Сабрина</t>
  </si>
  <si>
    <t>Санина</t>
  </si>
  <si>
    <t>Санин П.А.</t>
  </si>
  <si>
    <t>Сапунов С.А.</t>
  </si>
  <si>
    <t>Абдуллин</t>
  </si>
  <si>
    <t>Риф</t>
  </si>
  <si>
    <t>Зотова</t>
  </si>
  <si>
    <t>Эльза</t>
  </si>
  <si>
    <t>Флоритовна</t>
  </si>
  <si>
    <t>Руденко</t>
  </si>
  <si>
    <t>Буланкин</t>
  </si>
  <si>
    <t>Бордынюк</t>
  </si>
  <si>
    <t>Валеев</t>
  </si>
  <si>
    <t>Дрыгин</t>
  </si>
  <si>
    <t>Зарипов</t>
  </si>
  <si>
    <t>Галимова</t>
  </si>
  <si>
    <t>Раилевна</t>
  </si>
  <si>
    <t>Шакирова</t>
  </si>
  <si>
    <t>Перевозчикова</t>
  </si>
  <si>
    <t>Скопин</t>
  </si>
  <si>
    <t>Азелгариев</t>
  </si>
  <si>
    <t>Багир</t>
  </si>
  <si>
    <t>Залилов</t>
  </si>
  <si>
    <t>Шамилевич</t>
  </si>
  <si>
    <t>Коваленко</t>
  </si>
  <si>
    <t>Горбунов</t>
  </si>
  <si>
    <t>Рахматуллина</t>
  </si>
  <si>
    <t>Эльвина</t>
  </si>
  <si>
    <t>Рустямовна</t>
  </si>
  <si>
    <t>Магадиев</t>
  </si>
  <si>
    <t>Анзорович</t>
  </si>
  <si>
    <t>Григорий</t>
  </si>
  <si>
    <t>Асянов</t>
  </si>
  <si>
    <t>Азамат</t>
  </si>
  <si>
    <t>Зенфирович</t>
  </si>
  <si>
    <t>Белецкий</t>
  </si>
  <si>
    <t>Ходаков</t>
  </si>
  <si>
    <t>Баязитов</t>
  </si>
  <si>
    <t>Джамиль</t>
  </si>
  <si>
    <t>Нафиков</t>
  </si>
  <si>
    <t>Куликов</t>
  </si>
  <si>
    <t>Рахматуллин</t>
  </si>
  <si>
    <t>Надир</t>
  </si>
  <si>
    <t>Рустямович</t>
  </si>
  <si>
    <t>Байтимеров</t>
  </si>
  <si>
    <t>Раянович</t>
  </si>
  <si>
    <t>Кумитэ ветераны мужчины 36-49 лет №139</t>
  </si>
  <si>
    <t>Шариев</t>
  </si>
  <si>
    <t>Эрнест</t>
  </si>
  <si>
    <t>Зайнутдинова</t>
  </si>
  <si>
    <t>Ясмина</t>
  </si>
  <si>
    <t>Дамировна</t>
  </si>
  <si>
    <t>Садретдинова</t>
  </si>
  <si>
    <t>Амуровна</t>
  </si>
  <si>
    <t>Загидуллин</t>
  </si>
  <si>
    <t>Садретдинов</t>
  </si>
  <si>
    <t>Амурович</t>
  </si>
  <si>
    <t>Абсалямов</t>
  </si>
  <si>
    <t>Шамилович</t>
  </si>
  <si>
    <t>Назаров</t>
  </si>
  <si>
    <t>Гайсин</t>
  </si>
  <si>
    <t>Ильмирович</t>
  </si>
  <si>
    <t>Галимзян</t>
  </si>
  <si>
    <t>Рифович</t>
  </si>
  <si>
    <t>Валишин</t>
  </si>
  <si>
    <t>Гудкова</t>
  </si>
  <si>
    <t>Имангулов</t>
  </si>
  <si>
    <t>Искакова</t>
  </si>
  <si>
    <t>Рианна</t>
  </si>
  <si>
    <t>Обезьянов</t>
  </si>
  <si>
    <t>Вячеслав</t>
  </si>
  <si>
    <t>Пашкина</t>
  </si>
  <si>
    <t>Раисович</t>
  </si>
  <si>
    <t>Ахмадуллин</t>
  </si>
  <si>
    <t>Алмазович</t>
  </si>
  <si>
    <t>Сахибгареев И. Ф</t>
  </si>
  <si>
    <t>Бугвин</t>
  </si>
  <si>
    <t>Янис</t>
  </si>
  <si>
    <t>Габдулхакимов</t>
  </si>
  <si>
    <t>Рашид</t>
  </si>
  <si>
    <t>Радмир</t>
  </si>
  <si>
    <t>Дульченко</t>
  </si>
  <si>
    <t>Елкибаев</t>
  </si>
  <si>
    <t>Данилович</t>
  </si>
  <si>
    <t>Кадиров</t>
  </si>
  <si>
    <t>Георгиевна</t>
  </si>
  <si>
    <t>Кутьин</t>
  </si>
  <si>
    <t>Лобастова</t>
  </si>
  <si>
    <t>Малков</t>
  </si>
  <si>
    <t>Маннанов</t>
  </si>
  <si>
    <t>LC-weight category 90 kg men</t>
  </si>
  <si>
    <t>Новокшонов</t>
  </si>
  <si>
    <t>Пивоваров</t>
  </si>
  <si>
    <t>Пышкин</t>
  </si>
  <si>
    <t>Элина</t>
  </si>
  <si>
    <t>Альбертовна</t>
  </si>
  <si>
    <t>Робертович</t>
  </si>
  <si>
    <t>Сибагатуллин</t>
  </si>
  <si>
    <t>Теплова</t>
  </si>
  <si>
    <t>Тугузбаева</t>
  </si>
  <si>
    <t>Айдаровна</t>
  </si>
  <si>
    <t>Фаррахов</t>
  </si>
  <si>
    <t>Хамзин</t>
  </si>
  <si>
    <t>Рафаэлевич</t>
  </si>
  <si>
    <t>Хиляев</t>
  </si>
  <si>
    <t>Айдарович</t>
  </si>
  <si>
    <t>Хисамов</t>
  </si>
  <si>
    <t>Швайковский</t>
  </si>
  <si>
    <t>Шигапов</t>
  </si>
  <si>
    <t>Юрикович</t>
  </si>
  <si>
    <t>Яшкузин</t>
  </si>
  <si>
    <t>Есаулова</t>
  </si>
  <si>
    <t>Наталья</t>
  </si>
  <si>
    <t>Семёновна</t>
  </si>
  <si>
    <t>Стручалин А. Ю.</t>
  </si>
  <si>
    <t>Гагилева</t>
  </si>
  <si>
    <t>Халикова</t>
  </si>
  <si>
    <t>Закреев</t>
  </si>
  <si>
    <t>Семеновна</t>
  </si>
  <si>
    <t>Тазеев.Р.М.</t>
  </si>
  <si>
    <t>Герасичкин</t>
  </si>
  <si>
    <t>Толкушенкова А.А</t>
  </si>
  <si>
    <t>Маершина</t>
  </si>
  <si>
    <t>Баймуратова</t>
  </si>
  <si>
    <t>Камилла</t>
  </si>
  <si>
    <t>Нургалиева</t>
  </si>
  <si>
    <t>Евангелина</t>
  </si>
  <si>
    <t>Ишмуратова</t>
  </si>
  <si>
    <t>Аида</t>
  </si>
  <si>
    <t>Гатауллин</t>
  </si>
  <si>
    <t>Халиков Р.М.</t>
  </si>
  <si>
    <t>Мирошкин</t>
  </si>
  <si>
    <t>Мишин</t>
  </si>
  <si>
    <t>Сайфутдинов</t>
  </si>
  <si>
    <t>Самигуллин</t>
  </si>
  <si>
    <t>Лактионов</t>
  </si>
  <si>
    <t>Сикунов</t>
  </si>
  <si>
    <t>Сайфуллин</t>
  </si>
  <si>
    <t>Комилович</t>
  </si>
  <si>
    <t>Нургалеев</t>
  </si>
  <si>
    <t>Пичурина</t>
  </si>
  <si>
    <t>Игизова</t>
  </si>
  <si>
    <t>Айдыновна</t>
  </si>
  <si>
    <t>Каюпова</t>
  </si>
  <si>
    <t>Алиана</t>
  </si>
  <si>
    <t>Пищулин</t>
  </si>
  <si>
    <t>Грубов</t>
  </si>
  <si>
    <t>Багаутдинов</t>
  </si>
  <si>
    <t>Биктимеров</t>
  </si>
  <si>
    <t>Самохвалов</t>
  </si>
  <si>
    <t>Ильясов</t>
  </si>
  <si>
    <t>Байбородов</t>
  </si>
  <si>
    <t>Эрикович</t>
  </si>
  <si>
    <t>Эриклвич</t>
  </si>
  <si>
    <t>Алпеев</t>
  </si>
  <si>
    <t>Ахмадеев</t>
  </si>
  <si>
    <t>Ранэль</t>
  </si>
  <si>
    <t>Салаватович</t>
  </si>
  <si>
    <t>Хазиев</t>
  </si>
  <si>
    <t>Ильшат</t>
  </si>
  <si>
    <t>Ранис</t>
  </si>
  <si>
    <t>Марсович</t>
  </si>
  <si>
    <t>Хисматуллин Т.Р</t>
  </si>
  <si>
    <t>Азнаев</t>
  </si>
  <si>
    <t>Ямасипова К.Ф</t>
  </si>
  <si>
    <t>Алексеев</t>
  </si>
  <si>
    <t>Андрусенко</t>
  </si>
  <si>
    <t>Арсентий</t>
  </si>
  <si>
    <t>Ахтямов</t>
  </si>
  <si>
    <t>Вахитова</t>
  </si>
  <si>
    <t>Видинеев</t>
  </si>
  <si>
    <t>Вычужин</t>
  </si>
  <si>
    <t>Геронин</t>
  </si>
  <si>
    <t>Дорошенко</t>
  </si>
  <si>
    <t>Жеребцова</t>
  </si>
  <si>
    <t>Игликов</t>
  </si>
  <si>
    <t>Ильтинбаева</t>
  </si>
  <si>
    <t>Ильгиза</t>
  </si>
  <si>
    <t>Кирьянова</t>
  </si>
  <si>
    <t>Крымчурин</t>
  </si>
  <si>
    <t>Исмагил</t>
  </si>
  <si>
    <t>Куватов</t>
  </si>
  <si>
    <t>Разифович</t>
  </si>
  <si>
    <t>Кулдавлетов</t>
  </si>
  <si>
    <t>Куницкая</t>
  </si>
  <si>
    <t>Курбанов</t>
  </si>
  <si>
    <t>Ларин</t>
  </si>
  <si>
    <t>Магадеев</t>
  </si>
  <si>
    <t>Зинур</t>
  </si>
  <si>
    <t>Рушанович</t>
  </si>
  <si>
    <t>Ириковна</t>
  </si>
  <si>
    <t>Махмутов</t>
  </si>
  <si>
    <t>Минигулова</t>
  </si>
  <si>
    <t>Митаров</t>
  </si>
  <si>
    <t>Мордовина</t>
  </si>
  <si>
    <t>Милада</t>
  </si>
  <si>
    <t>Мухаметшин</t>
  </si>
  <si>
    <t>Насретдинова</t>
  </si>
  <si>
    <t>Сулпан</t>
  </si>
  <si>
    <t>Нурмухаметов</t>
  </si>
  <si>
    <t>Сафина</t>
  </si>
  <si>
    <t>Саитгареева</t>
  </si>
  <si>
    <t>Вера</t>
  </si>
  <si>
    <t>Соляник</t>
  </si>
  <si>
    <t>Елисей</t>
  </si>
  <si>
    <t>Степанова</t>
  </si>
  <si>
    <t>Торопцев</t>
  </si>
  <si>
    <t>Туйчурин</t>
  </si>
  <si>
    <t>Рафаэль</t>
  </si>
  <si>
    <t>Хадыева</t>
  </si>
  <si>
    <t>Есения</t>
  </si>
  <si>
    <t>Эдгаровна</t>
  </si>
  <si>
    <t>Халимов</t>
  </si>
  <si>
    <t>Доминик</t>
  </si>
  <si>
    <t>Ханафина</t>
  </si>
  <si>
    <t>Айратовна</t>
  </si>
  <si>
    <t>Юнусова</t>
  </si>
  <si>
    <t>Рамина</t>
  </si>
  <si>
    <t>Ямасипова К.Ф.</t>
  </si>
  <si>
    <t>Gladkikh</t>
  </si>
  <si>
    <t>Fanis</t>
  </si>
  <si>
    <t>Petrovich</t>
  </si>
  <si>
    <t>Gladkikh F.P.</t>
  </si>
  <si>
    <t>Maksim</t>
  </si>
  <si>
    <t>Fanisovich</t>
  </si>
  <si>
    <t>Gimaev</t>
  </si>
  <si>
    <t>Timur</t>
  </si>
  <si>
    <t>Гимаева Наталия Николаевна</t>
  </si>
  <si>
    <t>Республика Крым</t>
  </si>
  <si>
    <t>MP-weight category 60 kg women</t>
  </si>
  <si>
    <t>Gerasimchuk</t>
  </si>
  <si>
    <t>Marta</t>
  </si>
  <si>
    <t>Литвинов В.В.</t>
  </si>
  <si>
    <t>Герасимчук</t>
  </si>
  <si>
    <t>Валериевич</t>
  </si>
  <si>
    <t>Марта</t>
  </si>
  <si>
    <t>Валериевна</t>
  </si>
  <si>
    <t>Корнилова</t>
  </si>
  <si>
    <t>Белоусов О.Г.</t>
  </si>
  <si>
    <t>Республика Марий Эл</t>
  </si>
  <si>
    <t>Бурков</t>
  </si>
  <si>
    <t>Васинов М.В.</t>
  </si>
  <si>
    <t>Заньков</t>
  </si>
  <si>
    <t>Филипп</t>
  </si>
  <si>
    <t>Заньков С.И.</t>
  </si>
  <si>
    <t>Соловьёв</t>
  </si>
  <si>
    <t>Курамшин Р.Ш.</t>
  </si>
  <si>
    <t>Голдырев</t>
  </si>
  <si>
    <t>Шокин С.М.</t>
  </si>
  <si>
    <t>Skvortsov</t>
  </si>
  <si>
    <t>Konstantin</t>
  </si>
  <si>
    <t>Fedorovich</t>
  </si>
  <si>
    <t>Shokin S.M.</t>
  </si>
  <si>
    <t>Максимов</t>
  </si>
  <si>
    <t>Абдулвалиев И.И.</t>
  </si>
  <si>
    <t>Республика Татарстан</t>
  </si>
  <si>
    <t>Хайрутдинов</t>
  </si>
  <si>
    <t>Альфатович</t>
  </si>
  <si>
    <t>Яруллин</t>
  </si>
  <si>
    <t>Нафисович</t>
  </si>
  <si>
    <t>Сахибуллин</t>
  </si>
  <si>
    <t>Харматуллин</t>
  </si>
  <si>
    <t>Раиль</t>
  </si>
  <si>
    <t>Артемьев</t>
  </si>
  <si>
    <t>Вафина И.Р.</t>
  </si>
  <si>
    <t>Артемьева</t>
  </si>
  <si>
    <t>Билалова</t>
  </si>
  <si>
    <t>Вафин</t>
  </si>
  <si>
    <t>убрать</t>
  </si>
  <si>
    <t>Галеева</t>
  </si>
  <si>
    <t>Далия</t>
  </si>
  <si>
    <t>Равилевна</t>
  </si>
  <si>
    <t>Гюнкер</t>
  </si>
  <si>
    <t>Ферхатовна</t>
  </si>
  <si>
    <t>Камалиев</t>
  </si>
  <si>
    <t>Карамов</t>
  </si>
  <si>
    <t>Нурутдинова</t>
  </si>
  <si>
    <t>Даниэлла</t>
  </si>
  <si>
    <t>Салунина</t>
  </si>
  <si>
    <t>Киара</t>
  </si>
  <si>
    <t>Сибгатов</t>
  </si>
  <si>
    <t>Айратович</t>
  </si>
  <si>
    <t>Смоленцева</t>
  </si>
  <si>
    <t>Агния</t>
  </si>
  <si>
    <t>Филиппова</t>
  </si>
  <si>
    <t>Арсентьев</t>
  </si>
  <si>
    <t>Марсельевич</t>
  </si>
  <si>
    <t>Герц О.Г.</t>
  </si>
  <si>
    <t>Беспалов</t>
  </si>
  <si>
    <t>Зиганшин</t>
  </si>
  <si>
    <t>Зинатуллин</t>
  </si>
  <si>
    <t>Лобанов</t>
  </si>
  <si>
    <t>Малматин</t>
  </si>
  <si>
    <t>Москвина</t>
  </si>
  <si>
    <t>Элизавета</t>
  </si>
  <si>
    <t>Низовцев</t>
  </si>
  <si>
    <t>Низовцева</t>
  </si>
  <si>
    <t>Дмитринвна</t>
  </si>
  <si>
    <t>Шамиль</t>
  </si>
  <si>
    <t>Тищенко</t>
  </si>
  <si>
    <t>Хазеев</t>
  </si>
  <si>
    <t>Игнат</t>
  </si>
  <si>
    <t>Гильфанов Д.Н.</t>
  </si>
  <si>
    <t>Галинур</t>
  </si>
  <si>
    <t>Тазиев</t>
  </si>
  <si>
    <t>Анвар</t>
  </si>
  <si>
    <t>Зиннатова</t>
  </si>
  <si>
    <t>Ирековна</t>
  </si>
  <si>
    <t>Сапегин</t>
  </si>
  <si>
    <t>Вараксин</t>
  </si>
  <si>
    <t>Курамшин Рамиль Шамилевич</t>
  </si>
  <si>
    <t>Кошаев</t>
  </si>
  <si>
    <t>Курамшина</t>
  </si>
  <si>
    <t>Раяна</t>
  </si>
  <si>
    <t>Магницкий</t>
  </si>
  <si>
    <t>Сабитов</t>
  </si>
  <si>
    <t>Скворцов</t>
  </si>
  <si>
    <t>Цыганов</t>
  </si>
  <si>
    <t>Губайдулина</t>
  </si>
  <si>
    <t>Платцев И.П.</t>
  </si>
  <si>
    <t>Елдашев</t>
  </si>
  <si>
    <t>СЗ - 85 кг</t>
  </si>
  <si>
    <t>Емикеев</t>
  </si>
  <si>
    <t>СЗ - 60 кг</t>
  </si>
  <si>
    <t>Платцев</t>
  </si>
  <si>
    <t>Сахапов</t>
  </si>
  <si>
    <t>Райхан</t>
  </si>
  <si>
    <t>Ленарович</t>
  </si>
  <si>
    <t>Сибгатуллин</t>
  </si>
  <si>
    <t>Сударкин</t>
  </si>
  <si>
    <t>Наиля</t>
  </si>
  <si>
    <t>Муслимовна</t>
  </si>
  <si>
    <t>Сабитова Р.З.</t>
  </si>
  <si>
    <t>Валиаметов</t>
  </si>
  <si>
    <t>Клопов</t>
  </si>
  <si>
    <t>Михалович</t>
  </si>
  <si>
    <t>Мухутдинов</t>
  </si>
  <si>
    <t>Набиуллина</t>
  </si>
  <si>
    <t>Русанов</t>
  </si>
  <si>
    <t>Эльдаровна</t>
  </si>
  <si>
    <t>Черёмухин</t>
  </si>
  <si>
    <t>Шайхутдинов</t>
  </si>
  <si>
    <t>Саргсян Г.К.</t>
  </si>
  <si>
    <t>Авхадиева</t>
  </si>
  <si>
    <t>Лира</t>
  </si>
  <si>
    <t>Чепанов Н.В.</t>
  </si>
  <si>
    <t>Мадагов</t>
  </si>
  <si>
    <t>Рамзан</t>
  </si>
  <si>
    <t>Адланович</t>
  </si>
  <si>
    <t>Рустам</t>
  </si>
  <si>
    <t>Хисамиев</t>
  </si>
  <si>
    <t>Ранель</t>
  </si>
  <si>
    <t>Раифович</t>
  </si>
  <si>
    <t>Амочаев</t>
  </si>
  <si>
    <t>Сулейманова Э. М.</t>
  </si>
  <si>
    <t>Ростовская область</t>
  </si>
  <si>
    <t>Петер</t>
  </si>
  <si>
    <t>Мелина</t>
  </si>
  <si>
    <t>Петросян</t>
  </si>
  <si>
    <t>Степанычев</t>
  </si>
  <si>
    <t>Рокунова</t>
  </si>
  <si>
    <t>Сакаев Э. Р.</t>
  </si>
  <si>
    <t>Рязанская область</t>
  </si>
  <si>
    <t>Кузовников</t>
  </si>
  <si>
    <t>Сакаева Е. А.</t>
  </si>
  <si>
    <t>Кирьянов</t>
  </si>
  <si>
    <t>Сакаева Е.А.</t>
  </si>
  <si>
    <t>Нащенко</t>
  </si>
  <si>
    <t>Сакаева Э. Р.</t>
  </si>
  <si>
    <t>Холопова</t>
  </si>
  <si>
    <t>Баранова</t>
  </si>
  <si>
    <t>Ника</t>
  </si>
  <si>
    <t>Сакаева Э.Р.</t>
  </si>
  <si>
    <t>Кондрашина</t>
  </si>
  <si>
    <t>Афанасьев Е.А.</t>
  </si>
  <si>
    <t>Самарская область</t>
  </si>
  <si>
    <t>Прохоров</t>
  </si>
  <si>
    <t>Деревянко</t>
  </si>
  <si>
    <t>Яценко</t>
  </si>
  <si>
    <t>Милосердова</t>
  </si>
  <si>
    <t>Бегутов П.А.</t>
  </si>
  <si>
    <t>Петрова</t>
  </si>
  <si>
    <t>Садыкова</t>
  </si>
  <si>
    <t>Дегтярев</t>
  </si>
  <si>
    <t>Киреева</t>
  </si>
  <si>
    <t>Лопатин</t>
  </si>
  <si>
    <t>Разумов</t>
  </si>
  <si>
    <t>Нестеров</t>
  </si>
  <si>
    <t>Гульбасов Е.С.</t>
  </si>
  <si>
    <t>Карелина</t>
  </si>
  <si>
    <t>Лукьянова</t>
  </si>
  <si>
    <t>Сабаев</t>
  </si>
  <si>
    <t>Чибизова</t>
  </si>
  <si>
    <t>Яшин</t>
  </si>
  <si>
    <t>Клим</t>
  </si>
  <si>
    <t>Гурьянова</t>
  </si>
  <si>
    <t>Гурьянова Е.Ю.</t>
  </si>
  <si>
    <t>Гераськина</t>
  </si>
  <si>
    <t>Денисов Н.А.</t>
  </si>
  <si>
    <t>Малов</t>
  </si>
  <si>
    <t>Леон</t>
  </si>
  <si>
    <t>Моляков</t>
  </si>
  <si>
    <t>Данислав</t>
  </si>
  <si>
    <t>Плешкова</t>
  </si>
  <si>
    <t>Оксана</t>
  </si>
  <si>
    <t>Рафиева</t>
  </si>
  <si>
    <t>Эльвиновна</t>
  </si>
  <si>
    <t>Стреляева</t>
  </si>
  <si>
    <t>Тюрина</t>
  </si>
  <si>
    <t>Хлынова</t>
  </si>
  <si>
    <t>Золотухина</t>
  </si>
  <si>
    <t>Диянова Г.А.</t>
  </si>
  <si>
    <t>Сонин</t>
  </si>
  <si>
    <t>Габсамиков</t>
  </si>
  <si>
    <t>Епишин Е.Н.</t>
  </si>
  <si>
    <t>Нагуманов</t>
  </si>
  <si>
    <t>Пузанов</t>
  </si>
  <si>
    <t>Срурова</t>
  </si>
  <si>
    <t>Шустиков</t>
  </si>
  <si>
    <t>Белов</t>
  </si>
  <si>
    <t>Липунцов З.А.</t>
  </si>
  <si>
    <t>Бокарев</t>
  </si>
  <si>
    <t>Варламов</t>
  </si>
  <si>
    <t>Вартанян</t>
  </si>
  <si>
    <t>Арман</t>
  </si>
  <si>
    <t>Ашотович</t>
  </si>
  <si>
    <t>Гросс</t>
  </si>
  <si>
    <t>Крылова</t>
  </si>
  <si>
    <t>Марчук</t>
  </si>
  <si>
    <t>Насибова</t>
  </si>
  <si>
    <t>Тураловна</t>
  </si>
  <si>
    <t>Петрихин</t>
  </si>
  <si>
    <t>Сизенко</t>
  </si>
  <si>
    <t>Таймасов</t>
  </si>
  <si>
    <t>Тиховодова</t>
  </si>
  <si>
    <t>Шиптур</t>
  </si>
  <si>
    <t>Аблаев</t>
  </si>
  <si>
    <t>Липунцов Ф.А.</t>
  </si>
  <si>
    <t>Гусаров</t>
  </si>
  <si>
    <t>Епишкин</t>
  </si>
  <si>
    <t>Лазарев</t>
  </si>
  <si>
    <t>Липунцова</t>
  </si>
  <si>
    <t>Федоровна</t>
  </si>
  <si>
    <t>Нефедова</t>
  </si>
  <si>
    <t>Сюндюкова</t>
  </si>
  <si>
    <t>Шилинскене</t>
  </si>
  <si>
    <t>Шорников</t>
  </si>
  <si>
    <t>LC-absolute category men</t>
  </si>
  <si>
    <t>Vyatkin</t>
  </si>
  <si>
    <t>Nikita</t>
  </si>
  <si>
    <t>Белянский</t>
  </si>
  <si>
    <t>Макарова Н.А.</t>
  </si>
  <si>
    <t>Шилинскас</t>
  </si>
  <si>
    <t>Велиев</t>
  </si>
  <si>
    <t>Мельник А.В</t>
  </si>
  <si>
    <t>Мельник</t>
  </si>
  <si>
    <t>Акимов</t>
  </si>
  <si>
    <t>Паршин Т.С.</t>
  </si>
  <si>
    <t>Акулова</t>
  </si>
  <si>
    <t>Белогорцев</t>
  </si>
  <si>
    <t>Бокиев</t>
  </si>
  <si>
    <t>Азизбек</t>
  </si>
  <si>
    <t>Азамжонович</t>
  </si>
  <si>
    <t>Канцеров</t>
  </si>
  <si>
    <t>Сафонов</t>
  </si>
  <si>
    <t>Терентьев</t>
  </si>
  <si>
    <t>Parshin</t>
  </si>
  <si>
    <t>Timofey</t>
  </si>
  <si>
    <t>Поткина Е.Ю.</t>
  </si>
  <si>
    <t>Присяжный В.Д.</t>
  </si>
  <si>
    <t>Овечкина</t>
  </si>
  <si>
    <t>Антонова</t>
  </si>
  <si>
    <t>Борисенкова</t>
  </si>
  <si>
    <t>Гаврилов</t>
  </si>
  <si>
    <t>Захаров</t>
  </si>
  <si>
    <t>Константинов</t>
  </si>
  <si>
    <t>Лашин</t>
  </si>
  <si>
    <t>Мурадян</t>
  </si>
  <si>
    <t>Арменович</t>
  </si>
  <si>
    <t>Никульников</t>
  </si>
  <si>
    <t>Подсевалов</t>
  </si>
  <si>
    <t>Макарович</t>
  </si>
  <si>
    <t>Усков</t>
  </si>
  <si>
    <t>Храмцов</t>
  </si>
  <si>
    <t>Чирликова</t>
  </si>
  <si>
    <t>Шестак</t>
  </si>
  <si>
    <t>Бычков</t>
  </si>
  <si>
    <t>Хан М.В.</t>
  </si>
  <si>
    <t>Тарасович</t>
  </si>
  <si>
    <t>Сатвалов</t>
  </si>
  <si>
    <t>Шин</t>
  </si>
  <si>
    <t>Асирян</t>
  </si>
  <si>
    <t>Армановна</t>
  </si>
  <si>
    <t>Иванченко</t>
  </si>
  <si>
    <t>Сницеренко</t>
  </si>
  <si>
    <t>Умнова</t>
  </si>
  <si>
    <t>Богомолова</t>
  </si>
  <si>
    <t>Холопов С.П.</t>
  </si>
  <si>
    <t>Карачева</t>
  </si>
  <si>
    <t>Пучкова</t>
  </si>
  <si>
    <t>Валентиновна</t>
  </si>
  <si>
    <t>Шмачкова</t>
  </si>
  <si>
    <t>LC-kata-vado-ryu men</t>
  </si>
  <si>
    <t>Denisov</t>
  </si>
  <si>
    <t>Nikolay</t>
  </si>
  <si>
    <t>Хоменко Ю.В.</t>
  </si>
  <si>
    <t>Matveev</t>
  </si>
  <si>
    <t>Denis</t>
  </si>
  <si>
    <t>Бабошкин Р.И.</t>
  </si>
  <si>
    <t>Саратовская область</t>
  </si>
  <si>
    <t>Лопатина</t>
  </si>
  <si>
    <t>Ильдар</t>
  </si>
  <si>
    <t>Белова С.В.</t>
  </si>
  <si>
    <t>Бикташева</t>
  </si>
  <si>
    <t>Вилия</t>
  </si>
  <si>
    <t>Венера</t>
  </si>
  <si>
    <t>Везиницын</t>
  </si>
  <si>
    <t>Подукова</t>
  </si>
  <si>
    <t>Пылаев</t>
  </si>
  <si>
    <t>Nikonorova</t>
  </si>
  <si>
    <t>Daria</t>
  </si>
  <si>
    <t>Мажидов С.Э.</t>
  </si>
  <si>
    <t>Никонорова</t>
  </si>
  <si>
    <t>Аркадьевна</t>
  </si>
  <si>
    <t>Акчюрина</t>
  </si>
  <si>
    <t>Анатальевна</t>
  </si>
  <si>
    <t>Морозов Д.В.</t>
  </si>
  <si>
    <t>Башмакова</t>
  </si>
  <si>
    <t>Евстратова</t>
  </si>
  <si>
    <t>Еронина</t>
  </si>
  <si>
    <t>Журлова</t>
  </si>
  <si>
    <t>Латышев</t>
  </si>
  <si>
    <t>Латышева</t>
  </si>
  <si>
    <t>Матазова</t>
  </si>
  <si>
    <t>Рудавин</t>
  </si>
  <si>
    <t>Рудавина</t>
  </si>
  <si>
    <t>Турышев</t>
  </si>
  <si>
    <t>Сысоев</t>
  </si>
  <si>
    <t>Акопджанян А.Ю.</t>
  </si>
  <si>
    <t>Свердловская область</t>
  </si>
  <si>
    <t>Алесенко</t>
  </si>
  <si>
    <t>Пушкарёв</t>
  </si>
  <si>
    <t>Полушкин</t>
  </si>
  <si>
    <t>Галкин О.Ю.</t>
  </si>
  <si>
    <t>Блинова</t>
  </si>
  <si>
    <t>Казанцева А.А.</t>
  </si>
  <si>
    <t>Замахаев</t>
  </si>
  <si>
    <t>Кирьянова И.В.</t>
  </si>
  <si>
    <t>Берсенёва</t>
  </si>
  <si>
    <t>Марценкевич А.В.</t>
  </si>
  <si>
    <t>Игумнов</t>
  </si>
  <si>
    <t>Комухин</t>
  </si>
  <si>
    <t>Марценкевич</t>
  </si>
  <si>
    <t>Качанов</t>
  </si>
  <si>
    <t>Полушкин П.С.</t>
  </si>
  <si>
    <t>Дрофишина</t>
  </si>
  <si>
    <t>Куртюкова</t>
  </si>
  <si>
    <t>Дрофишин</t>
  </si>
  <si>
    <t>Ильякова</t>
  </si>
  <si>
    <t>Масалов</t>
  </si>
  <si>
    <t>Праздничных</t>
  </si>
  <si>
    <t>Журавлёв</t>
  </si>
  <si>
    <t>Прохоров Е.Ю.</t>
  </si>
  <si>
    <t>Казанцева</t>
  </si>
  <si>
    <t>Рязанкин А.И.</t>
  </si>
  <si>
    <t>Комин</t>
  </si>
  <si>
    <t>Костылев</t>
  </si>
  <si>
    <t>Пономарёв</t>
  </si>
  <si>
    <t>Валерий</t>
  </si>
  <si>
    <t>Змеев</t>
  </si>
  <si>
    <t>Халютин А.К.</t>
  </si>
  <si>
    <t>Микрюков</t>
  </si>
  <si>
    <t>Лысов</t>
  </si>
  <si>
    <t>Бутенко</t>
  </si>
  <si>
    <t>Жиряков</t>
  </si>
  <si>
    <t>Мезенцев</t>
  </si>
  <si>
    <t>Скрипилин</t>
  </si>
  <si>
    <t>Соболева</t>
  </si>
  <si>
    <t>Сурнин</t>
  </si>
  <si>
    <t>Хухарева</t>
  </si>
  <si>
    <t>Ката соло мальчики 8-9 лет №56</t>
  </si>
  <si>
    <t>Аксёнов</t>
  </si>
  <si>
    <t>Щербаков А.А.</t>
  </si>
  <si>
    <t>Яблоков</t>
  </si>
  <si>
    <t>Яблоков В.В.</t>
  </si>
  <si>
    <t>Гергарт</t>
  </si>
  <si>
    <t>Жуланова</t>
  </si>
  <si>
    <t>Зыкова</t>
  </si>
  <si>
    <t>Тягина</t>
  </si>
  <si>
    <t>Лапин</t>
  </si>
  <si>
    <t>Никишкин</t>
  </si>
  <si>
    <t>Пушкарев</t>
  </si>
  <si>
    <t>Шуматбаева</t>
  </si>
  <si>
    <t>Ковалев</t>
  </si>
  <si>
    <t>Байхаджиев А.Г.</t>
  </si>
  <si>
    <t>Смоленская область</t>
  </si>
  <si>
    <t>Евдокимов</t>
  </si>
  <si>
    <t>Комиссаров С.В.</t>
  </si>
  <si>
    <t>Тамбовская область</t>
  </si>
  <si>
    <t>Кочанов</t>
  </si>
  <si>
    <t>Нечаева</t>
  </si>
  <si>
    <t>Тверская область</t>
  </si>
  <si>
    <t>Чеботарева</t>
  </si>
  <si>
    <t>Рихмайер А.М.</t>
  </si>
  <si>
    <t>Ахмедов</t>
  </si>
  <si>
    <t>Вугарович</t>
  </si>
  <si>
    <t>Ахмедов В.Э.</t>
  </si>
  <si>
    <t>Тульская область</t>
  </si>
  <si>
    <t>Балакин</t>
  </si>
  <si>
    <t>Демичев</t>
  </si>
  <si>
    <t>ч</t>
  </si>
  <si>
    <t>Кирюхин</t>
  </si>
  <si>
    <t>Козлова</t>
  </si>
  <si>
    <t>Меммедли</t>
  </si>
  <si>
    <t>Полад</t>
  </si>
  <si>
    <t>Вели</t>
  </si>
  <si>
    <t>Савонова</t>
  </si>
  <si>
    <t>Горбачева</t>
  </si>
  <si>
    <t>Надежда</t>
  </si>
  <si>
    <t>Демичев М.А.</t>
  </si>
  <si>
    <t>Искужин</t>
  </si>
  <si>
    <t>Валинурович</t>
  </si>
  <si>
    <t>Карпачев</t>
  </si>
  <si>
    <t>Касьянова</t>
  </si>
  <si>
    <t>Онищенко</t>
  </si>
  <si>
    <t>Ситдикова</t>
  </si>
  <si>
    <t>Марсовна</t>
  </si>
  <si>
    <t>Толкунов</t>
  </si>
  <si>
    <t>Ким Г.В.</t>
  </si>
  <si>
    <t>Ивлиева</t>
  </si>
  <si>
    <t>Кобзев</t>
  </si>
  <si>
    <t>Модых</t>
  </si>
  <si>
    <t>Новосильцева</t>
  </si>
  <si>
    <t>Коткова</t>
  </si>
  <si>
    <t>Шевченко М.В.</t>
  </si>
  <si>
    <t>Базыко</t>
  </si>
  <si>
    <t>Гришин</t>
  </si>
  <si>
    <t>Звягинцев</t>
  </si>
  <si>
    <t>Кусакина</t>
  </si>
  <si>
    <t>Ладванов</t>
  </si>
  <si>
    <t>Божена</t>
  </si>
  <si>
    <t>Уткин</t>
  </si>
  <si>
    <t>Shevchenko</t>
  </si>
  <si>
    <t>Maxim</t>
  </si>
  <si>
    <t>Vasilievich</t>
  </si>
  <si>
    <t>Akhmedov V.E.</t>
  </si>
  <si>
    <t>Kobzev</t>
  </si>
  <si>
    <t>Dmitry</t>
  </si>
  <si>
    <t>Kim G.V.</t>
  </si>
  <si>
    <t>Каминский</t>
  </si>
  <si>
    <t>Зыков С.А.</t>
  </si>
  <si>
    <t>Тюменская область</t>
  </si>
  <si>
    <t>Светличный</t>
  </si>
  <si>
    <t>Хабибулин</t>
  </si>
  <si>
    <t>Газим</t>
  </si>
  <si>
    <t>Коток М.В.</t>
  </si>
  <si>
    <t>Мавлюкаев</t>
  </si>
  <si>
    <t>Назмутдинов</t>
  </si>
  <si>
    <t>Тамерлан</t>
  </si>
  <si>
    <t>Пимшин</t>
  </si>
  <si>
    <t>Зазаевич</t>
  </si>
  <si>
    <t>Рахмонов</t>
  </si>
  <si>
    <t>Бахтовар</t>
  </si>
  <si>
    <t>Бахронбоевич</t>
  </si>
  <si>
    <t>Урунов</t>
  </si>
  <si>
    <t>Мехрдод</t>
  </si>
  <si>
    <t>Диловарович</t>
  </si>
  <si>
    <t>MP-weight category 90+ kg men</t>
  </si>
  <si>
    <t>Karpov</t>
  </si>
  <si>
    <t>Artyom</t>
  </si>
  <si>
    <t>Kotok M.V.</t>
  </si>
  <si>
    <t>Венедиктов</t>
  </si>
  <si>
    <t>Власов А. Г.</t>
  </si>
  <si>
    <t>Удмуртская республика</t>
  </si>
  <si>
    <t>Власов</t>
  </si>
  <si>
    <t>ПК - 85 кг</t>
  </si>
  <si>
    <t>Ефремов</t>
  </si>
  <si>
    <t>Решетников</t>
  </si>
  <si>
    <t>Шведчиков</t>
  </si>
  <si>
    <t xml:space="preserve">Власов А. Г. </t>
  </si>
  <si>
    <t>Хлебников</t>
  </si>
  <si>
    <t>Лапина</t>
  </si>
  <si>
    <t>Веденков</t>
  </si>
  <si>
    <t>Косоев А. В.</t>
  </si>
  <si>
    <t>Клейн</t>
  </si>
  <si>
    <t>Косоев</t>
  </si>
  <si>
    <t>Сапожников</t>
  </si>
  <si>
    <t>Сундуков</t>
  </si>
  <si>
    <t>Широких</t>
  </si>
  <si>
    <t>Сергеев Н.М.</t>
  </si>
  <si>
    <t>Быков</t>
  </si>
  <si>
    <t>Доронин</t>
  </si>
  <si>
    <t>Фёдорович</t>
  </si>
  <si>
    <t>Коркина</t>
  </si>
  <si>
    <t>Соколова</t>
  </si>
  <si>
    <t>Хабибуллина</t>
  </si>
  <si>
    <t>Рашитовна</t>
  </si>
  <si>
    <t>Ходырева</t>
  </si>
  <si>
    <t>Кириловна</t>
  </si>
  <si>
    <t>Шадрина</t>
  </si>
  <si>
    <t>Севостьянов</t>
  </si>
  <si>
    <t>Бойко А.И.</t>
  </si>
  <si>
    <t>Челябинская область</t>
  </si>
  <si>
    <t>Славгородский</t>
  </si>
  <si>
    <t>Борковский</t>
  </si>
  <si>
    <t>Чистяков</t>
  </si>
  <si>
    <t>Рагнвиндр</t>
  </si>
  <si>
    <t>Балашов</t>
  </si>
  <si>
    <t>Братанов</t>
  </si>
  <si>
    <t>Веребчан</t>
  </si>
  <si>
    <t>Колесников</t>
  </si>
  <si>
    <t>Янович</t>
  </si>
  <si>
    <t>Семенович</t>
  </si>
  <si>
    <t>Кулакова</t>
  </si>
  <si>
    <t>Никулин</t>
  </si>
  <si>
    <t>Щербинин</t>
  </si>
  <si>
    <t>Григорьев М.В.</t>
  </si>
  <si>
    <t>Абденов</t>
  </si>
  <si>
    <t>Адиль</t>
  </si>
  <si>
    <t>Арстанович</t>
  </si>
  <si>
    <t>Иващенко А.В.</t>
  </si>
  <si>
    <t>Стаценко</t>
  </si>
  <si>
    <t>Конопенко</t>
  </si>
  <si>
    <t>Конопенко И.Н.</t>
  </si>
  <si>
    <t>Овчинниов</t>
  </si>
  <si>
    <t>Кулакова С.А.</t>
  </si>
  <si>
    <t>Лаптева Т.А.</t>
  </si>
  <si>
    <t>Макарова</t>
  </si>
  <si>
    <t>Лаптева Татьяна Анатольевна</t>
  </si>
  <si>
    <t>Кащук</t>
  </si>
  <si>
    <t>Фёдор</t>
  </si>
  <si>
    <t>Василевич</t>
  </si>
  <si>
    <t>Постолаке А.П.</t>
  </si>
  <si>
    <t>Московский</t>
  </si>
  <si>
    <t>Чернега</t>
  </si>
  <si>
    <t>Бакаева</t>
  </si>
  <si>
    <t>Рудяков В.В.</t>
  </si>
  <si>
    <t>Дунаев</t>
  </si>
  <si>
    <t>Немков</t>
  </si>
  <si>
    <t>Адамович</t>
  </si>
  <si>
    <t>Фёдоровна</t>
  </si>
  <si>
    <t>Рудяков Е.В.</t>
  </si>
  <si>
    <t>Везенкина</t>
  </si>
  <si>
    <t>Маркелов</t>
  </si>
  <si>
    <t>Теплухин</t>
  </si>
  <si>
    <t>Садов О.В.</t>
  </si>
  <si>
    <t>Водянников</t>
  </si>
  <si>
    <t>Закиров</t>
  </si>
  <si>
    <t>Черепанов</t>
  </si>
  <si>
    <t>Сасовский С.П.</t>
  </si>
  <si>
    <t>Аветисян</t>
  </si>
  <si>
    <t>Тигран</t>
  </si>
  <si>
    <t>Гегамович</t>
  </si>
  <si>
    <t>Балдин</t>
  </si>
  <si>
    <t>Косяков</t>
  </si>
  <si>
    <t>Миниахметов</t>
  </si>
  <si>
    <t>Осипова</t>
  </si>
  <si>
    <t>Сытник</t>
  </si>
  <si>
    <t>Богодухов</t>
  </si>
  <si>
    <t>Ходько С.В.</t>
  </si>
  <si>
    <t>Саблин</t>
  </si>
  <si>
    <t>Постолаке</t>
  </si>
  <si>
    <t>Котов</t>
  </si>
  <si>
    <t>Бецких</t>
  </si>
  <si>
    <t>Константинова</t>
  </si>
  <si>
    <t>Вотинцева</t>
  </si>
  <si>
    <t>Зайнуллина</t>
  </si>
  <si>
    <t>Фролочкин</t>
  </si>
  <si>
    <t>Фарходович</t>
  </si>
  <si>
    <t>Зограб</t>
  </si>
  <si>
    <t>Саргисович</t>
  </si>
  <si>
    <t>Черепанов П.А.</t>
  </si>
  <si>
    <t>Шайхисламов</t>
  </si>
  <si>
    <t>Саляхова</t>
  </si>
  <si>
    <t>Докучаев</t>
  </si>
  <si>
    <t>Миниахметова</t>
  </si>
  <si>
    <t>Санников</t>
  </si>
  <si>
    <t>Хусаинов</t>
  </si>
  <si>
    <t>Шайнуров</t>
  </si>
  <si>
    <t>Шерементьев</t>
  </si>
  <si>
    <t>Шереметьев</t>
  </si>
  <si>
    <t>Коленко</t>
  </si>
  <si>
    <t>Чугаев Н.В.</t>
  </si>
  <si>
    <t>Корнов</t>
  </si>
  <si>
    <t>Крапивка</t>
  </si>
  <si>
    <t>Ростислав</t>
  </si>
  <si>
    <t>Шелуха</t>
  </si>
  <si>
    <t>Михайленко</t>
  </si>
  <si>
    <t>Чугаев Николай Викторович</t>
  </si>
  <si>
    <t>Грибова</t>
  </si>
  <si>
    <t>Грибов</t>
  </si>
  <si>
    <t>Смольников</t>
  </si>
  <si>
    <t>Александров Н.Ю.</t>
  </si>
  <si>
    <t>Чувашская Республика</t>
  </si>
  <si>
    <t>Александрова</t>
  </si>
  <si>
    <t>Тольская</t>
  </si>
  <si>
    <t>Платонов</t>
  </si>
  <si>
    <t>Петр</t>
  </si>
  <si>
    <t>Пласкин</t>
  </si>
  <si>
    <t>Ясенцев</t>
  </si>
  <si>
    <t>Александров П.Ю.</t>
  </si>
  <si>
    <t>Гаврилова</t>
  </si>
  <si>
    <t>Кириллова</t>
  </si>
  <si>
    <t>Пагунов</t>
  </si>
  <si>
    <t>Гордеева А.В.</t>
  </si>
  <si>
    <t>Семенова</t>
  </si>
  <si>
    <t>не пришли нет данных</t>
  </si>
  <si>
    <t>Исай</t>
  </si>
  <si>
    <t>Анисимов</t>
  </si>
  <si>
    <t>Иванов М.Е.</t>
  </si>
  <si>
    <t>Гордеев</t>
  </si>
  <si>
    <t>Елдырев</t>
  </si>
  <si>
    <t>Игнатьев</t>
  </si>
  <si>
    <t>Пиготова</t>
  </si>
  <si>
    <t>Смирнов</t>
  </si>
  <si>
    <t>Вениамин</t>
  </si>
  <si>
    <t>Владиславовчи</t>
  </si>
  <si>
    <t>Белоцкий</t>
  </si>
  <si>
    <t>Егоров</t>
  </si>
  <si>
    <t>Иваницкий</t>
  </si>
  <si>
    <t>Камышев</t>
  </si>
  <si>
    <t>Родионович</t>
  </si>
  <si>
    <t>Карасева</t>
  </si>
  <si>
    <t>Катькова</t>
  </si>
  <si>
    <t>Мия</t>
  </si>
  <si>
    <t>Ковбасюк</t>
  </si>
  <si>
    <t>Кудашкин</t>
  </si>
  <si>
    <t>Куракина</t>
  </si>
  <si>
    <t>Влада</t>
  </si>
  <si>
    <t>Ландышев</t>
  </si>
  <si>
    <t>Матросова</t>
  </si>
  <si>
    <t>Пикина</t>
  </si>
  <si>
    <t>Рыжов</t>
  </si>
  <si>
    <t>Цветкова</t>
  </si>
  <si>
    <t>Шумилов</t>
  </si>
  <si>
    <t xml:space="preserve">Кумитэ иппон девочки 11 лет </t>
  </si>
  <si>
    <t xml:space="preserve">Капитонова </t>
  </si>
  <si>
    <t>Димитриевич</t>
  </si>
  <si>
    <t>Николаев Р.А.</t>
  </si>
  <si>
    <t>Неофитов</t>
  </si>
  <si>
    <t>Шурманов</t>
  </si>
  <si>
    <t>Шурманова</t>
  </si>
  <si>
    <t>Еньков</t>
  </si>
  <si>
    <t>Петров С. Л.</t>
  </si>
  <si>
    <t>Григорьевская</t>
  </si>
  <si>
    <t>Никифорова</t>
  </si>
  <si>
    <t>Мадебейкина</t>
  </si>
  <si>
    <t>Куприянова</t>
  </si>
  <si>
    <t>Белкин</t>
  </si>
  <si>
    <t>Щеголев</t>
  </si>
  <si>
    <t>Воронов</t>
  </si>
  <si>
    <t>Петров С.Л.</t>
  </si>
  <si>
    <t>Мартынец</t>
  </si>
  <si>
    <t>LC-  weight category 68  kg women</t>
  </si>
  <si>
    <t>Гордеева</t>
  </si>
  <si>
    <t>Сергеев С.Г.</t>
  </si>
  <si>
    <t>Григорьева</t>
  </si>
  <si>
    <t>Лычев</t>
  </si>
  <si>
    <t>Миронов</t>
  </si>
  <si>
    <t>Юсубов Г.А.</t>
  </si>
  <si>
    <t>Gabrielian</t>
  </si>
  <si>
    <t>Arsen</t>
  </si>
  <si>
    <t>Mikhaelovich</t>
  </si>
  <si>
    <t>Gabrielyan Arsen</t>
  </si>
  <si>
    <t>Armenia</t>
  </si>
  <si>
    <t>Sargsyan</t>
  </si>
  <si>
    <t>Edik</t>
  </si>
  <si>
    <t>Sargsyan Edik</t>
  </si>
  <si>
    <t>Lisovitski</t>
  </si>
  <si>
    <t>Stanislav</t>
  </si>
  <si>
    <t>Lisovitski Stanislav</t>
  </si>
  <si>
    <t>Greece</t>
  </si>
  <si>
    <t>Dussupova</t>
  </si>
  <si>
    <t>Elvira</t>
  </si>
  <si>
    <t>Sennov Nikolay</t>
  </si>
  <si>
    <t>Kazakhstan</t>
  </si>
  <si>
    <t>Tugayeva</t>
  </si>
  <si>
    <t>Regina</t>
  </si>
  <si>
    <t>Sennov</t>
  </si>
  <si>
    <t>LC-weight category 90+ kg men</t>
  </si>
  <si>
    <t>LC-absolute category women</t>
  </si>
  <si>
    <t>Mohammed</t>
  </si>
  <si>
    <t>Amine</t>
  </si>
  <si>
    <t>El</t>
  </si>
  <si>
    <t>Mohammed Amine El Arbaoui</t>
  </si>
  <si>
    <t>Marocco</t>
  </si>
  <si>
    <t>Toshmurodov</t>
  </si>
  <si>
    <t>Sardorbek</t>
  </si>
  <si>
    <t>Abdusattor</t>
  </si>
  <si>
    <t>Kutuyev Rinat</t>
  </si>
  <si>
    <t>O'zbekiston</t>
  </si>
  <si>
    <t>Krautsou</t>
  </si>
  <si>
    <t>Artsiom</t>
  </si>
  <si>
    <t>Krautsou Artsiom</t>
  </si>
  <si>
    <t>Republic of Belarus</t>
  </si>
  <si>
    <t>Lameka</t>
  </si>
  <si>
    <t>Uladzimir</t>
  </si>
  <si>
    <t>Lameka Uladzimir</t>
  </si>
  <si>
    <t>Mohd</t>
  </si>
  <si>
    <t>Saad</t>
  </si>
  <si>
    <t>Mohd Saad</t>
  </si>
  <si>
    <t>Republic of India</t>
  </si>
  <si>
    <t>FC- weight category 70 kg women</t>
  </si>
  <si>
    <t>Zaripova</t>
  </si>
  <si>
    <t>Zarina</t>
  </si>
  <si>
    <t>Sukhrobonovna</t>
  </si>
  <si>
    <t>Russian Federation</t>
  </si>
  <si>
    <t>Madina</t>
  </si>
  <si>
    <t>Sukhroevna</t>
  </si>
  <si>
    <t>Demichev</t>
  </si>
  <si>
    <t>Alexander</t>
  </si>
  <si>
    <t>Bakhmutov</t>
  </si>
  <si>
    <t>Alexandrovich</t>
  </si>
  <si>
    <t>Бахмутов Д.А.</t>
  </si>
  <si>
    <t>LC-kata-goju-ryu women</t>
  </si>
  <si>
    <t>Abramova</t>
  </si>
  <si>
    <t>Lada</t>
  </si>
  <si>
    <t>Anatolyevna</t>
  </si>
  <si>
    <t>Вишняков С.А.</t>
  </si>
  <si>
    <t>Marchenko</t>
  </si>
  <si>
    <t>Yana</t>
  </si>
  <si>
    <t>Pavlovna</t>
  </si>
  <si>
    <t>Горохов В.С.</t>
  </si>
  <si>
    <t>Rutskaya</t>
  </si>
  <si>
    <t>Kristina</t>
  </si>
  <si>
    <t>Denisovna</t>
  </si>
  <si>
    <t>Yulova</t>
  </si>
  <si>
    <t>Olga</t>
  </si>
  <si>
    <t>Гришанов Е.В.</t>
  </si>
  <si>
    <t>Gubanishchev</t>
  </si>
  <si>
    <t>Alexey</t>
  </si>
  <si>
    <t>Olegovich</t>
  </si>
  <si>
    <t xml:space="preserve">Губанищев А.О. </t>
  </si>
  <si>
    <t>Vadelov</t>
  </si>
  <si>
    <t>Gleb</t>
  </si>
  <si>
    <t>Stanislavovich</t>
  </si>
  <si>
    <t xml:space="preserve">Клопов П.Л. </t>
  </si>
  <si>
    <t>Dzhebovsky</t>
  </si>
  <si>
    <t>Левуков Н.Ю.</t>
  </si>
  <si>
    <t>Sorokin</t>
  </si>
  <si>
    <t>Vitalievich</t>
  </si>
  <si>
    <t>Kovalev</t>
  </si>
  <si>
    <t>Hibik</t>
  </si>
  <si>
    <t>Vladimirovna</t>
  </si>
  <si>
    <t>Kerdivar</t>
  </si>
  <si>
    <t>Nafikov</t>
  </si>
  <si>
    <t>Artem</t>
  </si>
  <si>
    <t>Denisovich</t>
  </si>
  <si>
    <t>Mednikov</t>
  </si>
  <si>
    <t>Roman</t>
  </si>
  <si>
    <t>Khalikov</t>
  </si>
  <si>
    <t>Midkhatovich</t>
  </si>
  <si>
    <t>Basareev</t>
  </si>
  <si>
    <t>Iskandar</t>
  </si>
  <si>
    <t>Ildarovich</t>
  </si>
  <si>
    <t>Zheltukhina</t>
  </si>
  <si>
    <t>Elena</t>
  </si>
  <si>
    <t>Eremina</t>
  </si>
  <si>
    <t>Anastasia</t>
  </si>
  <si>
    <t>Nikolaevna</t>
  </si>
  <si>
    <t>Shershnev</t>
  </si>
  <si>
    <t>FC- weight category 85 kg men</t>
  </si>
  <si>
    <t>Novoseltsev</t>
  </si>
  <si>
    <t>Borisovich</t>
  </si>
  <si>
    <t>Палкин А.Н.</t>
  </si>
  <si>
    <t>Grishanova</t>
  </si>
  <si>
    <t>Inna</t>
  </si>
  <si>
    <t>Evgenievna</t>
  </si>
  <si>
    <t>Efremova</t>
  </si>
  <si>
    <t>Veronika</t>
  </si>
  <si>
    <t>Mikhailovna</t>
  </si>
  <si>
    <t>Ashurov</t>
  </si>
  <si>
    <t>Daniil</t>
  </si>
  <si>
    <t>Прошин Б.А.</t>
  </si>
  <si>
    <t>Dmitricheva</t>
  </si>
  <si>
    <t>Elizaveta</t>
  </si>
  <si>
    <t>Maksimovna</t>
  </si>
  <si>
    <t>LC-  weight category 70 kg women</t>
  </si>
  <si>
    <t>Mironova</t>
  </si>
  <si>
    <t>Emilia</t>
  </si>
  <si>
    <t>Andreevna</t>
  </si>
  <si>
    <t>Melnik</t>
  </si>
  <si>
    <t>Epishkin</t>
  </si>
  <si>
    <t>Yegor</t>
  </si>
  <si>
    <t>Nikolaevich</t>
  </si>
  <si>
    <t>Nechaev</t>
  </si>
  <si>
    <t>Taranets</t>
  </si>
  <si>
    <t>Anatolyevich</t>
  </si>
  <si>
    <t>Alyakin</t>
  </si>
  <si>
    <t>Vladimirovich</t>
  </si>
  <si>
    <t>Goncharenko</t>
  </si>
  <si>
    <t>Arina</t>
  </si>
  <si>
    <t>Petrosyan</t>
  </si>
  <si>
    <t>Sofia</t>
  </si>
  <si>
    <t>Artemovna</t>
  </si>
  <si>
    <t>Snitserenko</t>
  </si>
  <si>
    <t>Bogacheva</t>
  </si>
  <si>
    <t>Leonidovna</t>
  </si>
  <si>
    <t>MP-weight category 68 kg women</t>
  </si>
  <si>
    <t>Zhumaeva</t>
  </si>
  <si>
    <t>Vera</t>
  </si>
  <si>
    <t>Valeryevna</t>
  </si>
  <si>
    <t>Mikhailov</t>
  </si>
  <si>
    <t>Andrey</t>
  </si>
  <si>
    <t xml:space="preserve">Хачатрян В.Х. </t>
  </si>
  <si>
    <t>Khachatryan</t>
  </si>
  <si>
    <t>Artur</t>
  </si>
  <si>
    <t>Vaginakovich</t>
  </si>
  <si>
    <t>Shcherbakov</t>
  </si>
  <si>
    <t>Petrov</t>
  </si>
  <si>
    <t>Leonidovich</t>
  </si>
  <si>
    <t xml:space="preserve">Яковлева Е.А. </t>
  </si>
  <si>
    <t>Pirogova</t>
  </si>
  <si>
    <t>Ganem</t>
  </si>
  <si>
    <t>Mohamad</t>
  </si>
  <si>
    <t>Saadallah</t>
  </si>
  <si>
    <t>Ganem Mohamad</t>
  </si>
  <si>
    <t>Syrian Arab Republic</t>
  </si>
  <si>
    <t>Bali</t>
  </si>
  <si>
    <t>Nizar</t>
  </si>
  <si>
    <t>Bali Nizar</t>
  </si>
  <si>
    <t>Tunisian Republic</t>
  </si>
  <si>
    <t>Hanna</t>
  </si>
  <si>
    <t>Yussef</t>
  </si>
  <si>
    <t>Garba</t>
  </si>
  <si>
    <t>Ahmad</t>
  </si>
  <si>
    <t>Yakubu</t>
  </si>
  <si>
    <t>Ahmad Yakubu garba</t>
  </si>
  <si>
    <t>Ahmed</t>
  </si>
  <si>
    <t>Yasser</t>
  </si>
  <si>
    <t>Dawoud</t>
  </si>
  <si>
    <t>Ahmed Yasser Dawoud Ali</t>
  </si>
  <si>
    <t>Dieu</t>
  </si>
  <si>
    <t>Dora</t>
  </si>
  <si>
    <t>Osse</t>
  </si>
  <si>
    <t>Dieu Dora Osse Ilambou Kengue</t>
  </si>
  <si>
    <t>Hasanguliyev</t>
  </si>
  <si>
    <t>Kanan</t>
  </si>
  <si>
    <t>Hasanguliyev Kanan</t>
  </si>
  <si>
    <t>Kaihan</t>
  </si>
  <si>
    <t>Najibullah</t>
  </si>
  <si>
    <t>Kaihan Najibullah</t>
  </si>
  <si>
    <t>Karenyi</t>
  </si>
  <si>
    <t>Tashinga</t>
  </si>
  <si>
    <t>Karenyi Tashinga</t>
  </si>
  <si>
    <t>Keleuva</t>
  </si>
  <si>
    <t>Michael</t>
  </si>
  <si>
    <t>Keleuva Michael</t>
  </si>
  <si>
    <t>Koltun</t>
  </si>
  <si>
    <t>Sofya</t>
  </si>
  <si>
    <t>Koltun Sofya</t>
  </si>
  <si>
    <t>Sagida</t>
  </si>
  <si>
    <t>Olegovna</t>
  </si>
  <si>
    <t>Sagida Maria</t>
  </si>
  <si>
    <t>Shekib</t>
  </si>
  <si>
    <t>Rashed</t>
  </si>
  <si>
    <t>Shekib Ahmad Rashed</t>
  </si>
  <si>
    <t>Links</t>
  </si>
  <si>
    <t>ФЕСТИВАЛЬ</t>
  </si>
  <si>
    <t>МЕЖДУНАРОДНЫЕ</t>
  </si>
  <si>
    <t>ВСЕРОССИЙСКИЕ</t>
  </si>
  <si>
    <t>Метелва</t>
  </si>
  <si>
    <t>ОК-42 юноши 12-13 лет</t>
  </si>
  <si>
    <t xml:space="preserve">Торосян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</si>
</sst>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b/>
      <sz val="10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u/>
      <sz val="12"/>
      <color theme="10"/>
      <name val="Times New Roman"/>
      <family val="1"/>
    </font>
    <font>
      <b/>
      <u/>
      <sz val="12"/>
      <color theme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2" borderId="1" xfId="0" applyFont="1" applyFill="1" applyBorder="1"/>
    <xf numFmtId="0" fontId="5" fillId="2" borderId="1" xfId="0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/>
    <xf numFmtId="0" fontId="6" fillId="2" borderId="0" xfId="0" applyFont="1" applyFill="1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/>
    <xf numFmtId="0" fontId="4" fillId="2" borderId="1" xfId="0" applyFont="1" applyFill="1" applyBorder="1" applyAlignment="1">
      <alignment wrapText="1"/>
    </xf>
    <xf numFmtId="0" fontId="4" fillId="2" borderId="3" xfId="0" applyFont="1" applyFill="1" applyBorder="1"/>
    <xf numFmtId="0" fontId="4" fillId="2" borderId="4" xfId="0" applyFont="1" applyFill="1" applyBorder="1"/>
    <xf numFmtId="0" fontId="5" fillId="2" borderId="1" xfId="0" applyFont="1" applyFill="1" applyBorder="1" applyAlignment="1">
      <alignment wrapText="1"/>
    </xf>
    <xf numFmtId="0" fontId="5" fillId="2" borderId="1" xfId="0" applyFont="1" applyFill="1" applyBorder="1"/>
    <xf numFmtId="0" fontId="6" fillId="2" borderId="5" xfId="0" applyFont="1" applyFill="1" applyBorder="1"/>
    <xf numFmtId="0" fontId="6" fillId="2" borderId="3" xfId="0" applyFont="1" applyFill="1" applyBorder="1"/>
    <xf numFmtId="0" fontId="6" fillId="2" borderId="4" xfId="0" applyFont="1" applyFill="1" applyBorder="1"/>
    <xf numFmtId="0" fontId="3" fillId="2" borderId="0" xfId="0" applyFont="1" applyFill="1"/>
    <xf numFmtId="0" fontId="7" fillId="2" borderId="1" xfId="0" applyFont="1" applyFill="1" applyBorder="1" applyAlignment="1">
      <alignment horizontal="left" wrapText="1"/>
    </xf>
    <xf numFmtId="0" fontId="8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left"/>
    </xf>
    <xf numFmtId="0" fontId="9" fillId="2" borderId="1" xfId="0" applyFont="1" applyFill="1" applyBorder="1"/>
    <xf numFmtId="0" fontId="10" fillId="2" borderId="1" xfId="0" applyFont="1" applyFill="1" applyBorder="1"/>
    <xf numFmtId="0" fontId="7" fillId="2" borderId="1" xfId="0" applyFont="1" applyFill="1" applyBorder="1" applyAlignment="1">
      <alignment wrapText="1"/>
    </xf>
    <xf numFmtId="0" fontId="7" fillId="2" borderId="1" xfId="0" applyFont="1" applyFill="1" applyBorder="1"/>
    <xf numFmtId="0" fontId="9" fillId="2" borderId="0" xfId="0" applyFont="1" applyFill="1"/>
    <xf numFmtId="0" fontId="5" fillId="2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5" fillId="2" borderId="0" xfId="0" applyFont="1" applyFill="1" applyAlignment="1">
      <alignment horizontal="left" wrapText="1"/>
    </xf>
    <xf numFmtId="0" fontId="5" fillId="2" borderId="0" xfId="0" applyFont="1" applyFill="1" applyAlignment="1">
      <alignment horizontal="left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3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3" fillId="0" borderId="1" xfId="0" applyFont="1" applyBorder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6" fillId="0" borderId="0" xfId="0" applyFont="1"/>
    <xf numFmtId="0" fontId="3" fillId="0" borderId="0" xfId="0" applyFont="1"/>
    <xf numFmtId="0" fontId="5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wrapText="1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6" fillId="0" borderId="1" xfId="0" applyFont="1" applyBorder="1"/>
    <xf numFmtId="0" fontId="0" fillId="0" borderId="3" xfId="0" applyBorder="1"/>
    <xf numFmtId="0" fontId="0" fillId="0" borderId="4" xfId="0" applyBorder="1"/>
    <xf numFmtId="0" fontId="10" fillId="0" borderId="1" xfId="0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9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wrapText="1"/>
    </xf>
    <xf numFmtId="0" fontId="5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</cellXfs>
  <cellStyles count="1">
    <cellStyle name="Обычный" xfId="0" builtinId="0"/>
  </cellStyles>
  <dxfs count="1">
    <dxf>
      <fill>
        <patternFill patternType="solid">
          <fgColor rgb="FFCC0000"/>
          <bgColor rgb="FFCC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53"/>
  <sheetViews>
    <sheetView workbookViewId="0">
      <pane ySplit="1" topLeftCell="A2" activePane="bottomLeft" state="frozen"/>
      <selection pane="bottomLeft" activeCell="E256" sqref="E256"/>
    </sheetView>
  </sheetViews>
  <sheetFormatPr baseColWidth="10" defaultColWidth="14.5" defaultRowHeight="15" customHeight="1" x14ac:dyDescent="0.2"/>
  <cols>
    <col min="1" max="1" width="9.1640625" customWidth="1"/>
    <col min="2" max="2" width="53" customWidth="1"/>
    <col min="3" max="3" width="25" customWidth="1"/>
    <col min="4" max="4" width="23.5" customWidth="1"/>
    <col min="5" max="5" width="19.1640625" customWidth="1"/>
    <col min="6" max="6" width="32.6640625" customWidth="1"/>
    <col min="7" max="7" width="38.5" customWidth="1"/>
    <col min="8" max="8" width="18.5" customWidth="1"/>
    <col min="9" max="22" width="8.83203125" customWidth="1"/>
  </cols>
  <sheetData>
    <row r="1" spans="1:22" ht="15.75" customHeight="1" x14ac:dyDescent="0.2">
      <c r="A1" s="34" t="s">
        <v>0</v>
      </c>
      <c r="B1" s="35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7" t="s">
        <v>6</v>
      </c>
      <c r="H1" s="38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 ht="15.75" customHeight="1" x14ac:dyDescent="0.2">
      <c r="A2" s="40">
        <v>2417</v>
      </c>
      <c r="B2" s="41" t="s">
        <v>10</v>
      </c>
      <c r="C2" s="42" t="s">
        <v>11</v>
      </c>
      <c r="D2" s="42" t="s">
        <v>12</v>
      </c>
      <c r="E2" s="42" t="s">
        <v>13</v>
      </c>
      <c r="F2" s="42" t="s">
        <v>14</v>
      </c>
      <c r="G2" s="42" t="s">
        <v>15</v>
      </c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</row>
    <row r="3" spans="1:22" ht="15.75" customHeight="1" x14ac:dyDescent="0.2">
      <c r="A3" s="40">
        <v>233</v>
      </c>
      <c r="B3" s="41" t="s">
        <v>19</v>
      </c>
      <c r="C3" s="42" t="s">
        <v>20</v>
      </c>
      <c r="D3" s="42" t="s">
        <v>21</v>
      </c>
      <c r="E3" s="42" t="s">
        <v>22</v>
      </c>
      <c r="F3" s="42" t="s">
        <v>14</v>
      </c>
      <c r="G3" s="42" t="s">
        <v>15</v>
      </c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</row>
    <row r="4" spans="1:22" ht="15.75" customHeight="1" x14ac:dyDescent="0.2">
      <c r="A4" s="40">
        <v>263</v>
      </c>
      <c r="B4" s="41" t="s">
        <v>23</v>
      </c>
      <c r="C4" s="42" t="s">
        <v>11</v>
      </c>
      <c r="D4" s="42" t="s">
        <v>24</v>
      </c>
      <c r="E4" s="42" t="s">
        <v>25</v>
      </c>
      <c r="F4" s="42" t="s">
        <v>14</v>
      </c>
      <c r="G4" s="42" t="s">
        <v>15</v>
      </c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</row>
    <row r="5" spans="1:22" ht="15.75" customHeight="1" x14ac:dyDescent="0.2">
      <c r="A5" s="40"/>
      <c r="B5" s="45" t="s">
        <v>26</v>
      </c>
      <c r="C5" s="46" t="s">
        <v>27</v>
      </c>
      <c r="D5" s="46" t="s">
        <v>28</v>
      </c>
      <c r="E5" s="46" t="s">
        <v>29</v>
      </c>
      <c r="F5" s="46" t="s">
        <v>14</v>
      </c>
      <c r="G5" s="46" t="s">
        <v>15</v>
      </c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</row>
    <row r="6" spans="1:22" ht="15.75" customHeight="1" x14ac:dyDescent="0.2">
      <c r="A6" s="40"/>
      <c r="B6" s="45" t="s">
        <v>26</v>
      </c>
      <c r="C6" s="46" t="s">
        <v>30</v>
      </c>
      <c r="D6" s="46" t="s">
        <v>31</v>
      </c>
      <c r="E6" s="46" t="s">
        <v>32</v>
      </c>
      <c r="F6" s="46" t="s">
        <v>14</v>
      </c>
      <c r="G6" s="46" t="s">
        <v>15</v>
      </c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</row>
    <row r="7" spans="1:22" ht="15.75" customHeight="1" x14ac:dyDescent="0.2">
      <c r="A7" s="40"/>
      <c r="B7" s="45" t="s">
        <v>33</v>
      </c>
      <c r="C7" s="46" t="s">
        <v>34</v>
      </c>
      <c r="D7" s="46" t="s">
        <v>35</v>
      </c>
      <c r="E7" s="46" t="s">
        <v>36</v>
      </c>
      <c r="F7" s="46" t="s">
        <v>14</v>
      </c>
      <c r="G7" s="46" t="s">
        <v>15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</row>
    <row r="8" spans="1:22" ht="15.75" customHeight="1" x14ac:dyDescent="0.2">
      <c r="A8" s="40"/>
      <c r="B8" s="45" t="s">
        <v>37</v>
      </c>
      <c r="C8" s="46" t="s">
        <v>38</v>
      </c>
      <c r="D8" s="46" t="s">
        <v>39</v>
      </c>
      <c r="E8" s="46" t="s">
        <v>40</v>
      </c>
      <c r="F8" s="46" t="s">
        <v>14</v>
      </c>
      <c r="G8" s="46" t="s">
        <v>15</v>
      </c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</row>
    <row r="9" spans="1:22" ht="15.75" customHeight="1" x14ac:dyDescent="0.2">
      <c r="A9" s="40"/>
      <c r="B9" s="45" t="s">
        <v>41</v>
      </c>
      <c r="C9" s="46" t="s">
        <v>42</v>
      </c>
      <c r="D9" s="46" t="s">
        <v>43</v>
      </c>
      <c r="E9" s="46" t="s">
        <v>44</v>
      </c>
      <c r="F9" s="46" t="s">
        <v>14</v>
      </c>
      <c r="G9" s="46" t="s">
        <v>15</v>
      </c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</row>
    <row r="10" spans="1:22" ht="15.75" customHeight="1" x14ac:dyDescent="0.2">
      <c r="A10" s="40"/>
      <c r="B10" s="45" t="s">
        <v>45</v>
      </c>
      <c r="C10" s="46" t="s">
        <v>42</v>
      </c>
      <c r="D10" s="46" t="s">
        <v>43</v>
      </c>
      <c r="E10" s="46" t="s">
        <v>44</v>
      </c>
      <c r="F10" s="46" t="s">
        <v>14</v>
      </c>
      <c r="G10" s="46" t="s">
        <v>15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</row>
    <row r="11" spans="1:22" ht="15.75" customHeight="1" x14ac:dyDescent="0.2">
      <c r="A11" s="40"/>
      <c r="B11" s="45" t="s">
        <v>46</v>
      </c>
      <c r="C11" s="46" t="s">
        <v>47</v>
      </c>
      <c r="D11" s="46" t="s">
        <v>48</v>
      </c>
      <c r="E11" s="46" t="s">
        <v>49</v>
      </c>
      <c r="F11" s="46" t="s">
        <v>14</v>
      </c>
      <c r="G11" s="46" t="s">
        <v>15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</row>
    <row r="12" spans="1:22" ht="15.75" customHeight="1" x14ac:dyDescent="0.2">
      <c r="A12" s="40"/>
      <c r="B12" s="45" t="s">
        <v>46</v>
      </c>
      <c r="C12" s="46" t="s">
        <v>50</v>
      </c>
      <c r="D12" s="46" t="s">
        <v>51</v>
      </c>
      <c r="E12" s="46" t="s">
        <v>52</v>
      </c>
      <c r="F12" s="46" t="s">
        <v>14</v>
      </c>
      <c r="G12" s="46" t="s">
        <v>15</v>
      </c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</row>
    <row r="13" spans="1:22" ht="15.75" customHeight="1" x14ac:dyDescent="0.2">
      <c r="A13" s="40"/>
      <c r="B13" s="45" t="s">
        <v>33</v>
      </c>
      <c r="C13" s="46" t="s">
        <v>53</v>
      </c>
      <c r="D13" s="46" t="s">
        <v>54</v>
      </c>
      <c r="E13" s="46" t="s">
        <v>55</v>
      </c>
      <c r="F13" s="46" t="s">
        <v>14</v>
      </c>
      <c r="G13" s="46" t="s">
        <v>15</v>
      </c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</row>
    <row r="14" spans="1:22" ht="15.75" customHeight="1" x14ac:dyDescent="0.2">
      <c r="A14" s="40"/>
      <c r="B14" s="45" t="s">
        <v>33</v>
      </c>
      <c r="C14" s="46" t="s">
        <v>53</v>
      </c>
      <c r="D14" s="46" t="s">
        <v>56</v>
      </c>
      <c r="E14" s="46" t="s">
        <v>55</v>
      </c>
      <c r="F14" s="46" t="s">
        <v>14</v>
      </c>
      <c r="G14" s="46" t="s">
        <v>15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</row>
    <row r="15" spans="1:22" ht="15.75" customHeight="1" x14ac:dyDescent="0.2">
      <c r="A15" s="40"/>
      <c r="B15" s="45" t="s">
        <v>26</v>
      </c>
      <c r="C15" s="46" t="s">
        <v>57</v>
      </c>
      <c r="D15" s="46" t="s">
        <v>58</v>
      </c>
      <c r="E15" s="46" t="s">
        <v>32</v>
      </c>
      <c r="F15" s="46" t="s">
        <v>14</v>
      </c>
      <c r="G15" s="46" t="s">
        <v>15</v>
      </c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</row>
    <row r="16" spans="1:22" ht="15.75" customHeight="1" x14ac:dyDescent="0.2">
      <c r="A16" s="40"/>
      <c r="B16" s="45" t="s">
        <v>26</v>
      </c>
      <c r="C16" s="46" t="s">
        <v>59</v>
      </c>
      <c r="D16" s="46" t="s">
        <v>60</v>
      </c>
      <c r="E16" s="46" t="s">
        <v>61</v>
      </c>
      <c r="F16" s="46" t="s">
        <v>14</v>
      </c>
      <c r="G16" s="46" t="s">
        <v>15</v>
      </c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</row>
    <row r="17" spans="1:22" ht="15.75" customHeight="1" x14ac:dyDescent="0.2">
      <c r="A17" s="40"/>
      <c r="B17" s="45" t="s">
        <v>33</v>
      </c>
      <c r="C17" s="46" t="s">
        <v>59</v>
      </c>
      <c r="D17" s="46" t="s">
        <v>62</v>
      </c>
      <c r="E17" s="46" t="s">
        <v>61</v>
      </c>
      <c r="F17" s="46" t="s">
        <v>14</v>
      </c>
      <c r="G17" s="46" t="s">
        <v>15</v>
      </c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</row>
    <row r="18" spans="1:22" ht="15.75" customHeight="1" x14ac:dyDescent="0.2">
      <c r="A18" s="40"/>
      <c r="B18" s="45" t="s">
        <v>33</v>
      </c>
      <c r="C18" s="46" t="s">
        <v>63</v>
      </c>
      <c r="D18" s="46" t="s">
        <v>64</v>
      </c>
      <c r="E18" s="46" t="s">
        <v>65</v>
      </c>
      <c r="F18" s="46" t="s">
        <v>14</v>
      </c>
      <c r="G18" s="46" t="s">
        <v>15</v>
      </c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</row>
    <row r="19" spans="1:22" ht="15.75" customHeight="1" x14ac:dyDescent="0.2">
      <c r="A19" s="40"/>
      <c r="B19" s="45" t="s">
        <v>33</v>
      </c>
      <c r="C19" s="46" t="s">
        <v>66</v>
      </c>
      <c r="D19" s="46" t="s">
        <v>67</v>
      </c>
      <c r="E19" s="46" t="s">
        <v>52</v>
      </c>
      <c r="F19" s="46" t="s">
        <v>14</v>
      </c>
      <c r="G19" s="46" t="s">
        <v>15</v>
      </c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</row>
    <row r="20" spans="1:22" ht="15.75" customHeight="1" x14ac:dyDescent="0.2">
      <c r="A20" s="40"/>
      <c r="B20" s="45" t="s">
        <v>41</v>
      </c>
      <c r="C20" s="46" t="s">
        <v>68</v>
      </c>
      <c r="D20" s="46" t="s">
        <v>69</v>
      </c>
      <c r="E20" s="46" t="s">
        <v>70</v>
      </c>
      <c r="F20" s="46" t="s">
        <v>14</v>
      </c>
      <c r="G20" s="46" t="s">
        <v>15</v>
      </c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</row>
    <row r="21" spans="1:22" ht="15.75" customHeight="1" x14ac:dyDescent="0.2">
      <c r="A21" s="40"/>
      <c r="B21" s="47" t="s">
        <v>71</v>
      </c>
      <c r="C21" s="46" t="s">
        <v>72</v>
      </c>
      <c r="D21" s="46" t="s">
        <v>73</v>
      </c>
      <c r="E21" s="46" t="s">
        <v>40</v>
      </c>
      <c r="F21" s="46" t="s">
        <v>14</v>
      </c>
      <c r="G21" s="46" t="s">
        <v>15</v>
      </c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</row>
    <row r="22" spans="1:22" ht="15.75" customHeight="1" x14ac:dyDescent="0.2">
      <c r="A22" s="40"/>
      <c r="B22" s="45" t="s">
        <v>46</v>
      </c>
      <c r="C22" s="46" t="s">
        <v>74</v>
      </c>
      <c r="D22" s="46" t="s">
        <v>75</v>
      </c>
      <c r="E22" s="46" t="s">
        <v>76</v>
      </c>
      <c r="F22" s="46" t="s">
        <v>14</v>
      </c>
      <c r="G22" s="46" t="s">
        <v>15</v>
      </c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</row>
    <row r="23" spans="1:22" ht="15.75" customHeight="1" x14ac:dyDescent="0.2">
      <c r="A23" s="40"/>
      <c r="B23" s="45" t="s">
        <v>41</v>
      </c>
      <c r="C23" s="46" t="s">
        <v>77</v>
      </c>
      <c r="D23" s="46" t="s">
        <v>78</v>
      </c>
      <c r="E23" s="46" t="s">
        <v>79</v>
      </c>
      <c r="F23" s="46" t="s">
        <v>14</v>
      </c>
      <c r="G23" s="46" t="s">
        <v>15</v>
      </c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</row>
    <row r="24" spans="1:22" ht="15.75" customHeight="1" x14ac:dyDescent="0.2">
      <c r="A24" s="40"/>
      <c r="B24" s="45" t="s">
        <v>80</v>
      </c>
      <c r="C24" s="46" t="s">
        <v>81</v>
      </c>
      <c r="D24" s="46" t="s">
        <v>82</v>
      </c>
      <c r="E24" s="46" t="s">
        <v>83</v>
      </c>
      <c r="F24" s="46" t="s">
        <v>14</v>
      </c>
      <c r="G24" s="46" t="s">
        <v>15</v>
      </c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</row>
    <row r="25" spans="1:22" ht="15.75" customHeight="1" x14ac:dyDescent="0.2">
      <c r="A25" s="40"/>
      <c r="B25" s="45" t="s">
        <v>33</v>
      </c>
      <c r="C25" s="46" t="s">
        <v>20</v>
      </c>
      <c r="D25" s="46" t="s">
        <v>21</v>
      </c>
      <c r="E25" s="46" t="s">
        <v>22</v>
      </c>
      <c r="F25" s="46" t="s">
        <v>14</v>
      </c>
      <c r="G25" s="46" t="s">
        <v>15</v>
      </c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</row>
    <row r="26" spans="1:22" ht="15.75" customHeight="1" x14ac:dyDescent="0.2">
      <c r="A26" s="40"/>
      <c r="B26" s="45" t="s">
        <v>84</v>
      </c>
      <c r="C26" s="46" t="s">
        <v>85</v>
      </c>
      <c r="D26" s="46" t="s">
        <v>86</v>
      </c>
      <c r="E26" s="46" t="s">
        <v>87</v>
      </c>
      <c r="F26" s="46" t="s">
        <v>14</v>
      </c>
      <c r="G26" s="46" t="s">
        <v>15</v>
      </c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</row>
    <row r="27" spans="1:22" ht="15.75" customHeight="1" x14ac:dyDescent="0.2">
      <c r="A27" s="40"/>
      <c r="B27" s="45" t="s">
        <v>88</v>
      </c>
      <c r="C27" s="46" t="s">
        <v>89</v>
      </c>
      <c r="D27" s="46" t="s">
        <v>90</v>
      </c>
      <c r="E27" s="46" t="s">
        <v>91</v>
      </c>
      <c r="F27" s="46" t="s">
        <v>92</v>
      </c>
      <c r="G27" s="46" t="s">
        <v>93</v>
      </c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</row>
    <row r="28" spans="1:22" ht="15.75" customHeight="1" x14ac:dyDescent="0.2">
      <c r="A28" s="40"/>
      <c r="B28" s="45" t="s">
        <v>94</v>
      </c>
      <c r="C28" s="46" t="s">
        <v>89</v>
      </c>
      <c r="D28" s="46" t="s">
        <v>90</v>
      </c>
      <c r="E28" s="46" t="s">
        <v>91</v>
      </c>
      <c r="F28" s="46" t="s">
        <v>92</v>
      </c>
      <c r="G28" s="46" t="s">
        <v>93</v>
      </c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</row>
    <row r="29" spans="1:22" ht="15.75" customHeight="1" x14ac:dyDescent="0.2">
      <c r="A29" s="40">
        <v>331</v>
      </c>
      <c r="B29" s="41" t="s">
        <v>95</v>
      </c>
      <c r="C29" s="42" t="s">
        <v>96</v>
      </c>
      <c r="D29" s="42" t="s">
        <v>97</v>
      </c>
      <c r="E29" s="42" t="s">
        <v>98</v>
      </c>
      <c r="F29" s="42" t="s">
        <v>99</v>
      </c>
      <c r="G29" s="42" t="s">
        <v>93</v>
      </c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</row>
    <row r="30" spans="1:22" ht="15.75" customHeight="1" x14ac:dyDescent="0.2">
      <c r="A30" s="40">
        <v>345</v>
      </c>
      <c r="B30" s="41" t="s">
        <v>100</v>
      </c>
      <c r="C30" s="42" t="s">
        <v>96</v>
      </c>
      <c r="D30" s="42" t="s">
        <v>97</v>
      </c>
      <c r="E30" s="42" t="s">
        <v>98</v>
      </c>
      <c r="F30" s="42" t="s">
        <v>99</v>
      </c>
      <c r="G30" s="42" t="s">
        <v>93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</row>
    <row r="31" spans="1:22" ht="15.75" customHeight="1" x14ac:dyDescent="0.2">
      <c r="A31" s="40">
        <v>363</v>
      </c>
      <c r="B31" s="41" t="s">
        <v>101</v>
      </c>
      <c r="C31" s="42" t="s">
        <v>96</v>
      </c>
      <c r="D31" s="42" t="s">
        <v>97</v>
      </c>
      <c r="E31" s="42" t="s">
        <v>98</v>
      </c>
      <c r="F31" s="42" t="s">
        <v>99</v>
      </c>
      <c r="G31" s="42" t="s">
        <v>93</v>
      </c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</row>
    <row r="32" spans="1:22" ht="15.75" customHeight="1" x14ac:dyDescent="0.2">
      <c r="A32" s="40"/>
      <c r="B32" s="45" t="s">
        <v>102</v>
      </c>
      <c r="C32" s="46" t="s">
        <v>103</v>
      </c>
      <c r="D32" s="46" t="s">
        <v>104</v>
      </c>
      <c r="E32" s="46" t="s">
        <v>105</v>
      </c>
      <c r="F32" s="46" t="s">
        <v>106</v>
      </c>
      <c r="G32" s="46" t="s">
        <v>107</v>
      </c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</row>
    <row r="33" spans="1:22" ht="15.75" customHeight="1" x14ac:dyDescent="0.2">
      <c r="A33" s="40"/>
      <c r="B33" s="45" t="s">
        <v>108</v>
      </c>
      <c r="C33" s="46" t="s">
        <v>103</v>
      </c>
      <c r="D33" s="46" t="s">
        <v>104</v>
      </c>
      <c r="E33" s="46" t="s">
        <v>105</v>
      </c>
      <c r="F33" s="46" t="s">
        <v>106</v>
      </c>
      <c r="G33" s="46" t="s">
        <v>107</v>
      </c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</row>
    <row r="34" spans="1:22" ht="15.75" customHeight="1" x14ac:dyDescent="0.2">
      <c r="A34" s="40"/>
      <c r="B34" s="45" t="s">
        <v>109</v>
      </c>
      <c r="C34" s="46" t="s">
        <v>110</v>
      </c>
      <c r="D34" s="46" t="s">
        <v>111</v>
      </c>
      <c r="E34" s="46" t="s">
        <v>112</v>
      </c>
      <c r="F34" s="46" t="s">
        <v>113</v>
      </c>
      <c r="G34" s="46" t="s">
        <v>107</v>
      </c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</row>
    <row r="35" spans="1:22" ht="15.75" customHeight="1" x14ac:dyDescent="0.2">
      <c r="A35" s="40"/>
      <c r="B35" s="45" t="s">
        <v>108</v>
      </c>
      <c r="C35" s="46" t="s">
        <v>110</v>
      </c>
      <c r="D35" s="46" t="s">
        <v>111</v>
      </c>
      <c r="E35" s="46" t="s">
        <v>112</v>
      </c>
      <c r="F35" s="46" t="s">
        <v>113</v>
      </c>
      <c r="G35" s="46" t="s">
        <v>107</v>
      </c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</row>
    <row r="36" spans="1:22" ht="15.75" customHeight="1" x14ac:dyDescent="0.2">
      <c r="A36" s="40"/>
      <c r="B36" s="45" t="s">
        <v>114</v>
      </c>
      <c r="C36" s="46" t="s">
        <v>115</v>
      </c>
      <c r="D36" s="46" t="s">
        <v>116</v>
      </c>
      <c r="E36" s="46" t="s">
        <v>87</v>
      </c>
      <c r="F36" s="46" t="s">
        <v>113</v>
      </c>
      <c r="G36" s="46" t="s">
        <v>107</v>
      </c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</row>
    <row r="37" spans="1:22" ht="15.75" customHeight="1" x14ac:dyDescent="0.2">
      <c r="A37" s="40"/>
      <c r="B37" s="45" t="s">
        <v>117</v>
      </c>
      <c r="C37" s="46" t="s">
        <v>115</v>
      </c>
      <c r="D37" s="46" t="s">
        <v>116</v>
      </c>
      <c r="E37" s="46" t="s">
        <v>87</v>
      </c>
      <c r="F37" s="46" t="s">
        <v>113</v>
      </c>
      <c r="G37" s="46" t="s">
        <v>107</v>
      </c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</row>
    <row r="38" spans="1:22" ht="15.75" customHeight="1" x14ac:dyDescent="0.2">
      <c r="A38" s="40"/>
      <c r="B38" s="45" t="s">
        <v>108</v>
      </c>
      <c r="C38" s="46" t="s">
        <v>115</v>
      </c>
      <c r="D38" s="46" t="s">
        <v>116</v>
      </c>
      <c r="E38" s="46" t="s">
        <v>87</v>
      </c>
      <c r="F38" s="46" t="s">
        <v>113</v>
      </c>
      <c r="G38" s="46" t="s">
        <v>107</v>
      </c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</row>
    <row r="39" spans="1:22" ht="15.75" customHeight="1" x14ac:dyDescent="0.2">
      <c r="A39" s="40"/>
      <c r="B39" s="45" t="s">
        <v>118</v>
      </c>
      <c r="C39" s="46" t="s">
        <v>119</v>
      </c>
      <c r="D39" s="46" t="s">
        <v>120</v>
      </c>
      <c r="E39" s="46" t="s">
        <v>32</v>
      </c>
      <c r="F39" s="46" t="s">
        <v>113</v>
      </c>
      <c r="G39" s="46" t="s">
        <v>107</v>
      </c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</row>
    <row r="40" spans="1:22" ht="15.75" customHeight="1" x14ac:dyDescent="0.2">
      <c r="A40" s="40"/>
      <c r="B40" s="45" t="s">
        <v>121</v>
      </c>
      <c r="C40" s="46" t="s">
        <v>119</v>
      </c>
      <c r="D40" s="46" t="s">
        <v>120</v>
      </c>
      <c r="E40" s="46" t="s">
        <v>32</v>
      </c>
      <c r="F40" s="46" t="s">
        <v>113</v>
      </c>
      <c r="G40" s="46" t="s">
        <v>107</v>
      </c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</row>
    <row r="41" spans="1:22" ht="15.75" customHeight="1" x14ac:dyDescent="0.2">
      <c r="A41" s="40"/>
      <c r="B41" s="45" t="s">
        <v>122</v>
      </c>
      <c r="C41" s="46" t="s">
        <v>123</v>
      </c>
      <c r="D41" s="46" t="s">
        <v>124</v>
      </c>
      <c r="E41" s="46" t="s">
        <v>125</v>
      </c>
      <c r="F41" s="46" t="s">
        <v>113</v>
      </c>
      <c r="G41" s="46" t="s">
        <v>107</v>
      </c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</row>
    <row r="42" spans="1:22" ht="15.75" customHeight="1" x14ac:dyDescent="0.2">
      <c r="A42" s="40"/>
      <c r="B42" s="45" t="s">
        <v>126</v>
      </c>
      <c r="C42" s="46" t="s">
        <v>123</v>
      </c>
      <c r="D42" s="46" t="s">
        <v>124</v>
      </c>
      <c r="E42" s="46" t="s">
        <v>125</v>
      </c>
      <c r="F42" s="46" t="s">
        <v>113</v>
      </c>
      <c r="G42" s="46" t="s">
        <v>107</v>
      </c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</row>
    <row r="43" spans="1:22" ht="15.75" customHeight="1" x14ac:dyDescent="0.2">
      <c r="A43" s="40"/>
      <c r="B43" s="45" t="s">
        <v>126</v>
      </c>
      <c r="C43" s="46" t="s">
        <v>127</v>
      </c>
      <c r="D43" s="46" t="s">
        <v>128</v>
      </c>
      <c r="E43" s="46" t="s">
        <v>129</v>
      </c>
      <c r="F43" s="46" t="s">
        <v>130</v>
      </c>
      <c r="G43" s="46" t="s">
        <v>107</v>
      </c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</row>
    <row r="44" spans="1:22" ht="15.75" customHeight="1" x14ac:dyDescent="0.2">
      <c r="A44" s="40"/>
      <c r="B44" s="45" t="s">
        <v>131</v>
      </c>
      <c r="C44" s="46" t="s">
        <v>127</v>
      </c>
      <c r="D44" s="46" t="s">
        <v>128</v>
      </c>
      <c r="E44" s="46" t="s">
        <v>129</v>
      </c>
      <c r="F44" s="46" t="s">
        <v>130</v>
      </c>
      <c r="G44" s="46" t="s">
        <v>107</v>
      </c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</row>
    <row r="45" spans="1:22" ht="15.75" customHeight="1" x14ac:dyDescent="0.2">
      <c r="A45" s="40"/>
      <c r="B45" s="45" t="s">
        <v>94</v>
      </c>
      <c r="C45" s="46" t="s">
        <v>132</v>
      </c>
      <c r="D45" s="46" t="s">
        <v>133</v>
      </c>
      <c r="E45" s="46" t="s">
        <v>134</v>
      </c>
      <c r="F45" s="46" t="s">
        <v>135</v>
      </c>
      <c r="G45" s="46" t="s">
        <v>136</v>
      </c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</row>
    <row r="46" spans="1:22" ht="15.75" customHeight="1" x14ac:dyDescent="0.2">
      <c r="A46" s="40">
        <v>2363</v>
      </c>
      <c r="B46" s="41" t="s">
        <v>137</v>
      </c>
      <c r="C46" s="42" t="s">
        <v>138</v>
      </c>
      <c r="D46" s="42" t="s">
        <v>139</v>
      </c>
      <c r="E46" s="42" t="s">
        <v>87</v>
      </c>
      <c r="F46" s="42" t="s">
        <v>140</v>
      </c>
      <c r="G46" s="42" t="s">
        <v>141</v>
      </c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</row>
    <row r="47" spans="1:22" ht="15.75" customHeight="1" x14ac:dyDescent="0.2">
      <c r="A47" s="40">
        <v>2373</v>
      </c>
      <c r="B47" s="41" t="s">
        <v>142</v>
      </c>
      <c r="C47" s="42" t="s">
        <v>143</v>
      </c>
      <c r="D47" s="42" t="s">
        <v>144</v>
      </c>
      <c r="E47" s="42" t="s">
        <v>145</v>
      </c>
      <c r="F47" s="42" t="s">
        <v>146</v>
      </c>
      <c r="G47" s="42" t="s">
        <v>141</v>
      </c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</row>
    <row r="48" spans="1:22" ht="15.75" customHeight="1" x14ac:dyDescent="0.2">
      <c r="A48" s="40">
        <v>2375</v>
      </c>
      <c r="B48" s="41" t="s">
        <v>142</v>
      </c>
      <c r="C48" s="42" t="s">
        <v>147</v>
      </c>
      <c r="D48" s="42" t="s">
        <v>148</v>
      </c>
      <c r="E48" s="42" t="s">
        <v>149</v>
      </c>
      <c r="F48" s="42" t="s">
        <v>146</v>
      </c>
      <c r="G48" s="42" t="s">
        <v>141</v>
      </c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</row>
    <row r="49" spans="1:22" ht="15.75" customHeight="1" x14ac:dyDescent="0.2">
      <c r="A49" s="40">
        <v>2389</v>
      </c>
      <c r="B49" s="41" t="s">
        <v>150</v>
      </c>
      <c r="C49" s="42" t="s">
        <v>151</v>
      </c>
      <c r="D49" s="42" t="s">
        <v>152</v>
      </c>
      <c r="E49" s="42" t="s">
        <v>153</v>
      </c>
      <c r="F49" s="42" t="s">
        <v>146</v>
      </c>
      <c r="G49" s="42" t="s">
        <v>141</v>
      </c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</row>
    <row r="50" spans="1:22" ht="15.75" customHeight="1" x14ac:dyDescent="0.2">
      <c r="A50" s="40">
        <v>2403</v>
      </c>
      <c r="B50" s="41" t="s">
        <v>154</v>
      </c>
      <c r="C50" s="42" t="s">
        <v>155</v>
      </c>
      <c r="D50" s="42" t="s">
        <v>156</v>
      </c>
      <c r="E50" s="42" t="s">
        <v>157</v>
      </c>
      <c r="F50" s="42" t="s">
        <v>146</v>
      </c>
      <c r="G50" s="42" t="s">
        <v>141</v>
      </c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</row>
    <row r="51" spans="1:22" ht="15.75" customHeight="1" x14ac:dyDescent="0.2">
      <c r="A51" s="40">
        <v>2419</v>
      </c>
      <c r="B51" s="41" t="s">
        <v>10</v>
      </c>
      <c r="C51" s="42" t="s">
        <v>158</v>
      </c>
      <c r="D51" s="42" t="s">
        <v>159</v>
      </c>
      <c r="E51" s="42" t="s">
        <v>160</v>
      </c>
      <c r="F51" s="42" t="s">
        <v>146</v>
      </c>
      <c r="G51" s="42" t="s">
        <v>141</v>
      </c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</row>
    <row r="52" spans="1:22" ht="15.75" customHeight="1" x14ac:dyDescent="0.2">
      <c r="A52" s="40">
        <v>2449</v>
      </c>
      <c r="B52" s="41" t="s">
        <v>161</v>
      </c>
      <c r="C52" s="42" t="s">
        <v>162</v>
      </c>
      <c r="D52" s="42" t="s">
        <v>163</v>
      </c>
      <c r="E52" s="42" t="s">
        <v>164</v>
      </c>
      <c r="F52" s="42" t="s">
        <v>146</v>
      </c>
      <c r="G52" s="42" t="s">
        <v>141</v>
      </c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</row>
    <row r="53" spans="1:22" ht="15.75" customHeight="1" x14ac:dyDescent="0.2">
      <c r="A53" s="40">
        <v>2459</v>
      </c>
      <c r="B53" s="41" t="s">
        <v>165</v>
      </c>
      <c r="C53" s="42" t="s">
        <v>166</v>
      </c>
      <c r="D53" s="42" t="s">
        <v>167</v>
      </c>
      <c r="E53" s="42" t="s">
        <v>168</v>
      </c>
      <c r="F53" s="42" t="s">
        <v>146</v>
      </c>
      <c r="G53" s="42" t="s">
        <v>141</v>
      </c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</row>
    <row r="54" spans="1:22" ht="15.75" customHeight="1" x14ac:dyDescent="0.2">
      <c r="A54" s="40">
        <v>2465</v>
      </c>
      <c r="B54" s="41" t="s">
        <v>169</v>
      </c>
      <c r="C54" s="42" t="s">
        <v>170</v>
      </c>
      <c r="D54" s="42" t="s">
        <v>171</v>
      </c>
      <c r="E54" s="42" t="s">
        <v>18</v>
      </c>
      <c r="F54" s="42" t="s">
        <v>146</v>
      </c>
      <c r="G54" s="42" t="s">
        <v>141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</row>
    <row r="55" spans="1:22" ht="15.75" customHeight="1" x14ac:dyDescent="0.2">
      <c r="A55" s="40">
        <v>2477</v>
      </c>
      <c r="B55" s="41" t="s">
        <v>16</v>
      </c>
      <c r="C55" s="42" t="s">
        <v>172</v>
      </c>
      <c r="D55" s="42" t="s">
        <v>173</v>
      </c>
      <c r="E55" s="42" t="s">
        <v>174</v>
      </c>
      <c r="F55" s="42" t="s">
        <v>146</v>
      </c>
      <c r="G55" s="42" t="s">
        <v>141</v>
      </c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</row>
    <row r="56" spans="1:22" ht="15.75" customHeight="1" x14ac:dyDescent="0.2">
      <c r="A56" s="40">
        <v>239</v>
      </c>
      <c r="B56" s="41" t="s">
        <v>19</v>
      </c>
      <c r="C56" s="42" t="s">
        <v>175</v>
      </c>
      <c r="D56" s="42" t="s">
        <v>176</v>
      </c>
      <c r="E56" s="42" t="s">
        <v>177</v>
      </c>
      <c r="F56" s="42" t="s">
        <v>146</v>
      </c>
      <c r="G56" s="42" t="s">
        <v>141</v>
      </c>
    </row>
    <row r="57" spans="1:22" ht="15.75" customHeight="1" x14ac:dyDescent="0.2">
      <c r="A57" s="40">
        <v>251</v>
      </c>
      <c r="B57" s="41" t="s">
        <v>178</v>
      </c>
      <c r="C57" s="42" t="s">
        <v>179</v>
      </c>
      <c r="D57" s="42" t="s">
        <v>180</v>
      </c>
      <c r="E57" s="42" t="s">
        <v>181</v>
      </c>
      <c r="F57" s="42" t="s">
        <v>146</v>
      </c>
      <c r="G57" s="42" t="s">
        <v>141</v>
      </c>
    </row>
    <row r="58" spans="1:22" ht="15.75" customHeight="1" x14ac:dyDescent="0.2">
      <c r="A58" s="40">
        <v>2405</v>
      </c>
      <c r="B58" s="41" t="s">
        <v>154</v>
      </c>
      <c r="C58" s="42" t="s">
        <v>182</v>
      </c>
      <c r="D58" s="42" t="s">
        <v>183</v>
      </c>
      <c r="E58" s="42" t="s">
        <v>40</v>
      </c>
      <c r="F58" s="42" t="s">
        <v>184</v>
      </c>
      <c r="G58" s="42" t="s">
        <v>141</v>
      </c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</row>
    <row r="59" spans="1:22" ht="15.75" customHeight="1" x14ac:dyDescent="0.2">
      <c r="A59" s="40">
        <v>2423</v>
      </c>
      <c r="B59" s="41" t="s">
        <v>10</v>
      </c>
      <c r="C59" s="42" t="s">
        <v>185</v>
      </c>
      <c r="D59" s="42" t="s">
        <v>186</v>
      </c>
      <c r="E59" s="42" t="s">
        <v>187</v>
      </c>
      <c r="F59" s="42" t="s">
        <v>184</v>
      </c>
      <c r="G59" s="42" t="s">
        <v>141</v>
      </c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</row>
    <row r="60" spans="1:22" ht="15.75" customHeight="1" x14ac:dyDescent="0.2">
      <c r="A60" s="40">
        <v>2451</v>
      </c>
      <c r="B60" s="41" t="s">
        <v>161</v>
      </c>
      <c r="C60" s="42" t="s">
        <v>188</v>
      </c>
      <c r="D60" s="42" t="s">
        <v>189</v>
      </c>
      <c r="E60" s="42" t="s">
        <v>190</v>
      </c>
      <c r="F60" s="42" t="s">
        <v>184</v>
      </c>
      <c r="G60" s="42" t="s">
        <v>141</v>
      </c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</row>
    <row r="61" spans="1:22" ht="15.75" customHeight="1" x14ac:dyDescent="0.2">
      <c r="A61" s="40">
        <v>2361</v>
      </c>
      <c r="B61" s="41" t="s">
        <v>137</v>
      </c>
      <c r="C61" s="42" t="s">
        <v>191</v>
      </c>
      <c r="D61" s="42" t="s">
        <v>192</v>
      </c>
      <c r="E61" s="42" t="s">
        <v>193</v>
      </c>
      <c r="F61" s="42" t="s">
        <v>194</v>
      </c>
      <c r="G61" s="42" t="s">
        <v>141</v>
      </c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</row>
    <row r="62" spans="1:22" ht="15.75" customHeight="1" x14ac:dyDescent="0.2">
      <c r="A62" s="40">
        <v>2381</v>
      </c>
      <c r="B62" s="41" t="s">
        <v>195</v>
      </c>
      <c r="C62" s="42" t="s">
        <v>196</v>
      </c>
      <c r="D62" s="42" t="s">
        <v>197</v>
      </c>
      <c r="E62" s="42" t="s">
        <v>13</v>
      </c>
      <c r="F62" s="42" t="s">
        <v>194</v>
      </c>
      <c r="G62" s="42" t="s">
        <v>141</v>
      </c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</row>
    <row r="63" spans="1:22" ht="15.75" customHeight="1" x14ac:dyDescent="0.2">
      <c r="A63" s="40">
        <v>2421</v>
      </c>
      <c r="B63" s="41" t="s">
        <v>10</v>
      </c>
      <c r="C63" s="42" t="s">
        <v>198</v>
      </c>
      <c r="D63" s="42" t="s">
        <v>199</v>
      </c>
      <c r="E63" s="42" t="s">
        <v>200</v>
      </c>
      <c r="F63" s="42" t="s">
        <v>194</v>
      </c>
      <c r="G63" s="42" t="s">
        <v>141</v>
      </c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</row>
    <row r="64" spans="1:22" ht="15.75" customHeight="1" x14ac:dyDescent="0.2">
      <c r="A64" s="40">
        <v>2433</v>
      </c>
      <c r="B64" s="41" t="s">
        <v>201</v>
      </c>
      <c r="C64" s="42" t="s">
        <v>202</v>
      </c>
      <c r="D64" s="42" t="s">
        <v>203</v>
      </c>
      <c r="E64" s="42" t="s">
        <v>204</v>
      </c>
      <c r="F64" s="42" t="s">
        <v>194</v>
      </c>
      <c r="G64" s="42" t="s">
        <v>141</v>
      </c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</row>
    <row r="65" spans="1:22" ht="15.75" customHeight="1" x14ac:dyDescent="0.2">
      <c r="A65" s="40">
        <v>2435</v>
      </c>
      <c r="B65" s="41" t="s">
        <v>201</v>
      </c>
      <c r="C65" s="42" t="s">
        <v>191</v>
      </c>
      <c r="D65" s="42" t="s">
        <v>163</v>
      </c>
      <c r="E65" s="42" t="s">
        <v>193</v>
      </c>
      <c r="F65" s="42" t="s">
        <v>194</v>
      </c>
      <c r="G65" s="42" t="s">
        <v>141</v>
      </c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</row>
    <row r="66" spans="1:22" ht="15.75" customHeight="1" x14ac:dyDescent="0.2">
      <c r="A66" s="40">
        <v>2437</v>
      </c>
      <c r="B66" s="41" t="s">
        <v>201</v>
      </c>
      <c r="C66" s="42" t="s">
        <v>205</v>
      </c>
      <c r="D66" s="42" t="s">
        <v>206</v>
      </c>
      <c r="E66" s="42" t="s">
        <v>207</v>
      </c>
      <c r="F66" s="42" t="s">
        <v>194</v>
      </c>
      <c r="G66" s="42" t="s">
        <v>141</v>
      </c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</row>
    <row r="67" spans="1:22" ht="15.75" customHeight="1" x14ac:dyDescent="0.2">
      <c r="A67" s="40">
        <v>253</v>
      </c>
      <c r="B67" s="41" t="s">
        <v>178</v>
      </c>
      <c r="C67" s="42" t="s">
        <v>208</v>
      </c>
      <c r="D67" s="42" t="s">
        <v>209</v>
      </c>
      <c r="E67" s="42" t="s">
        <v>210</v>
      </c>
      <c r="F67" s="42" t="s">
        <v>194</v>
      </c>
      <c r="G67" s="42" t="s">
        <v>141</v>
      </c>
    </row>
    <row r="68" spans="1:22" ht="15.75" customHeight="1" x14ac:dyDescent="0.2">
      <c r="A68" s="40">
        <v>381</v>
      </c>
      <c r="B68" s="41" t="s">
        <v>211</v>
      </c>
      <c r="C68" s="42" t="s">
        <v>212</v>
      </c>
      <c r="D68" s="42" t="s">
        <v>213</v>
      </c>
      <c r="E68" s="42" t="s">
        <v>214</v>
      </c>
      <c r="F68" s="42" t="s">
        <v>194</v>
      </c>
      <c r="G68" s="42" t="s">
        <v>141</v>
      </c>
    </row>
    <row r="69" spans="1:22" ht="15.75" customHeight="1" x14ac:dyDescent="0.2">
      <c r="A69" s="40">
        <v>2453</v>
      </c>
      <c r="B69" s="41" t="s">
        <v>161</v>
      </c>
      <c r="C69" s="42" t="s">
        <v>215</v>
      </c>
      <c r="D69" s="42" t="s">
        <v>216</v>
      </c>
      <c r="E69" s="42" t="s">
        <v>217</v>
      </c>
      <c r="F69" s="42" t="s">
        <v>218</v>
      </c>
      <c r="G69" s="42" t="s">
        <v>141</v>
      </c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</row>
    <row r="70" spans="1:22" ht="15.75" customHeight="1" x14ac:dyDescent="0.2">
      <c r="A70" s="40">
        <v>2467</v>
      </c>
      <c r="B70" s="41" t="s">
        <v>169</v>
      </c>
      <c r="C70" s="42" t="s">
        <v>219</v>
      </c>
      <c r="D70" s="42" t="s">
        <v>220</v>
      </c>
      <c r="E70" s="42" t="s">
        <v>221</v>
      </c>
      <c r="F70" s="42" t="s">
        <v>222</v>
      </c>
      <c r="G70" s="42" t="s">
        <v>141</v>
      </c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</row>
    <row r="71" spans="1:22" ht="15.75" customHeight="1" x14ac:dyDescent="0.2">
      <c r="A71" s="40">
        <v>2479</v>
      </c>
      <c r="B71" s="41" t="s">
        <v>16</v>
      </c>
      <c r="C71" s="42" t="s">
        <v>223</v>
      </c>
      <c r="D71" s="42" t="s">
        <v>224</v>
      </c>
      <c r="E71" s="42" t="s">
        <v>225</v>
      </c>
      <c r="F71" s="42" t="s">
        <v>222</v>
      </c>
      <c r="G71" s="42" t="s">
        <v>141</v>
      </c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</row>
    <row r="72" spans="1:22" ht="15.75" customHeight="1" x14ac:dyDescent="0.2">
      <c r="A72" s="40">
        <v>75</v>
      </c>
      <c r="B72" s="41" t="s">
        <v>226</v>
      </c>
      <c r="C72" s="42" t="s">
        <v>227</v>
      </c>
      <c r="D72" s="42" t="s">
        <v>228</v>
      </c>
      <c r="E72" s="42" t="s">
        <v>229</v>
      </c>
      <c r="F72" s="42" t="s">
        <v>230</v>
      </c>
      <c r="G72" s="42" t="s">
        <v>231</v>
      </c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</row>
    <row r="73" spans="1:22" ht="15.75" customHeight="1" x14ac:dyDescent="0.2">
      <c r="A73" s="40"/>
      <c r="B73" s="45" t="s">
        <v>232</v>
      </c>
      <c r="C73" s="46" t="s">
        <v>12</v>
      </c>
      <c r="D73" s="46" t="s">
        <v>233</v>
      </c>
      <c r="E73" s="46"/>
      <c r="F73" s="46" t="s">
        <v>230</v>
      </c>
      <c r="G73" s="46" t="s">
        <v>231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</row>
    <row r="74" spans="1:22" ht="15.75" customHeight="1" x14ac:dyDescent="0.2">
      <c r="A74" s="40"/>
      <c r="B74" s="45" t="s">
        <v>114</v>
      </c>
      <c r="C74" s="46" t="s">
        <v>12</v>
      </c>
      <c r="D74" s="46" t="s">
        <v>233</v>
      </c>
      <c r="E74" s="46"/>
      <c r="F74" s="46" t="s">
        <v>230</v>
      </c>
      <c r="G74" s="46" t="s">
        <v>231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</row>
    <row r="75" spans="1:22" ht="15.75" customHeight="1" x14ac:dyDescent="0.2">
      <c r="A75" s="40"/>
      <c r="B75" s="45" t="s">
        <v>234</v>
      </c>
      <c r="C75" s="46" t="s">
        <v>235</v>
      </c>
      <c r="D75" s="46" t="s">
        <v>236</v>
      </c>
      <c r="E75" s="46" t="s">
        <v>237</v>
      </c>
      <c r="F75" s="46" t="s">
        <v>230</v>
      </c>
      <c r="G75" s="46" t="s">
        <v>231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</row>
    <row r="76" spans="1:22" ht="15.75" customHeight="1" x14ac:dyDescent="0.2">
      <c r="A76" s="40"/>
      <c r="B76" s="45" t="s">
        <v>238</v>
      </c>
      <c r="C76" s="46" t="s">
        <v>235</v>
      </c>
      <c r="D76" s="46" t="s">
        <v>236</v>
      </c>
      <c r="E76" s="46" t="s">
        <v>237</v>
      </c>
      <c r="F76" s="46" t="s">
        <v>230</v>
      </c>
      <c r="G76" s="46" t="s">
        <v>231</v>
      </c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</row>
    <row r="77" spans="1:22" ht="15.75" customHeight="1" x14ac:dyDescent="0.2">
      <c r="A77" s="40"/>
      <c r="B77" s="45" t="s">
        <v>94</v>
      </c>
      <c r="C77" s="46" t="s">
        <v>239</v>
      </c>
      <c r="D77" s="46" t="s">
        <v>240</v>
      </c>
      <c r="E77" s="46" t="s">
        <v>32</v>
      </c>
      <c r="F77" s="46" t="s">
        <v>230</v>
      </c>
      <c r="G77" s="46" t="s">
        <v>231</v>
      </c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</row>
    <row r="78" spans="1:22" ht="15.75" customHeight="1" x14ac:dyDescent="0.2">
      <c r="A78" s="40"/>
      <c r="B78" s="45" t="s">
        <v>126</v>
      </c>
      <c r="C78" s="46" t="s">
        <v>241</v>
      </c>
      <c r="D78" s="46" t="s">
        <v>124</v>
      </c>
      <c r="E78" s="46" t="s">
        <v>40</v>
      </c>
      <c r="F78" s="46" t="s">
        <v>242</v>
      </c>
      <c r="G78" s="46" t="s">
        <v>231</v>
      </c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</row>
    <row r="79" spans="1:22" ht="15.75" customHeight="1" x14ac:dyDescent="0.2">
      <c r="A79" s="40"/>
      <c r="B79" s="45" t="s">
        <v>94</v>
      </c>
      <c r="C79" s="46" t="s">
        <v>241</v>
      </c>
      <c r="D79" s="46" t="s">
        <v>124</v>
      </c>
      <c r="E79" s="46" t="s">
        <v>40</v>
      </c>
      <c r="F79" s="46" t="s">
        <v>242</v>
      </c>
      <c r="G79" s="46" t="s">
        <v>231</v>
      </c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</row>
    <row r="80" spans="1:22" ht="15.75" customHeight="1" x14ac:dyDescent="0.2">
      <c r="A80" s="40">
        <v>265</v>
      </c>
      <c r="B80" s="41" t="s">
        <v>243</v>
      </c>
      <c r="C80" s="42" t="s">
        <v>244</v>
      </c>
      <c r="D80" s="42" t="s">
        <v>128</v>
      </c>
      <c r="E80" s="42" t="s">
        <v>32</v>
      </c>
      <c r="F80" s="42" t="s">
        <v>245</v>
      </c>
      <c r="G80" s="42" t="s">
        <v>231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</row>
    <row r="81" spans="1:22" ht="15.75" customHeight="1" x14ac:dyDescent="0.2">
      <c r="A81" s="40">
        <v>389</v>
      </c>
      <c r="B81" s="41" t="s">
        <v>246</v>
      </c>
      <c r="C81" s="42" t="s">
        <v>247</v>
      </c>
      <c r="D81" s="42" t="s">
        <v>139</v>
      </c>
      <c r="E81" s="42" t="s">
        <v>32</v>
      </c>
      <c r="F81" s="42" t="s">
        <v>245</v>
      </c>
      <c r="G81" s="42" t="s">
        <v>231</v>
      </c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</row>
    <row r="82" spans="1:22" ht="15.75" customHeight="1" x14ac:dyDescent="0.2">
      <c r="A82" s="40">
        <v>641</v>
      </c>
      <c r="B82" s="41" t="s">
        <v>248</v>
      </c>
      <c r="C82" s="42" t="s">
        <v>249</v>
      </c>
      <c r="D82" s="42" t="s">
        <v>250</v>
      </c>
      <c r="E82" s="42" t="s">
        <v>251</v>
      </c>
      <c r="F82" s="42" t="s">
        <v>245</v>
      </c>
      <c r="G82" s="42" t="s">
        <v>231</v>
      </c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</row>
    <row r="83" spans="1:22" ht="15.75" customHeight="1" x14ac:dyDescent="0.2">
      <c r="A83" s="40">
        <v>677</v>
      </c>
      <c r="B83" s="41" t="s">
        <v>252</v>
      </c>
      <c r="C83" s="42" t="s">
        <v>253</v>
      </c>
      <c r="D83" s="42" t="s">
        <v>254</v>
      </c>
      <c r="E83" s="42" t="s">
        <v>255</v>
      </c>
      <c r="F83" s="42" t="s">
        <v>245</v>
      </c>
      <c r="G83" s="42" t="s">
        <v>231</v>
      </c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</row>
    <row r="84" spans="1:22" ht="15.75" customHeight="1" x14ac:dyDescent="0.2">
      <c r="A84" s="40">
        <v>1181</v>
      </c>
      <c r="B84" s="41" t="s">
        <v>256</v>
      </c>
      <c r="C84" s="42" t="s">
        <v>257</v>
      </c>
      <c r="D84" s="42" t="s">
        <v>258</v>
      </c>
      <c r="E84" s="42" t="s">
        <v>259</v>
      </c>
      <c r="F84" s="42" t="s">
        <v>245</v>
      </c>
      <c r="G84" s="42" t="s">
        <v>231</v>
      </c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</row>
    <row r="85" spans="1:22" ht="15.75" customHeight="1" x14ac:dyDescent="0.2">
      <c r="A85" s="40">
        <v>1331</v>
      </c>
      <c r="B85" s="41" t="s">
        <v>260</v>
      </c>
      <c r="C85" s="42" t="s">
        <v>244</v>
      </c>
      <c r="D85" s="42" t="s">
        <v>128</v>
      </c>
      <c r="E85" s="42" t="s">
        <v>32</v>
      </c>
      <c r="F85" s="42" t="s">
        <v>245</v>
      </c>
      <c r="G85" s="42" t="s">
        <v>231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</row>
    <row r="86" spans="1:22" ht="15.75" customHeight="1" x14ac:dyDescent="0.2">
      <c r="A86" s="40">
        <v>1467</v>
      </c>
      <c r="B86" s="41" t="s">
        <v>261</v>
      </c>
      <c r="C86" s="42" t="s">
        <v>247</v>
      </c>
      <c r="D86" s="42" t="s">
        <v>139</v>
      </c>
      <c r="E86" s="42" t="s">
        <v>32</v>
      </c>
      <c r="F86" s="42" t="s">
        <v>245</v>
      </c>
      <c r="G86" s="42" t="s">
        <v>231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</row>
    <row r="87" spans="1:22" ht="15.75" customHeight="1" x14ac:dyDescent="0.2">
      <c r="A87" s="40">
        <v>1511</v>
      </c>
      <c r="B87" s="41" t="s">
        <v>262</v>
      </c>
      <c r="C87" s="42" t="s">
        <v>249</v>
      </c>
      <c r="D87" s="42" t="s">
        <v>250</v>
      </c>
      <c r="E87" s="42" t="s">
        <v>251</v>
      </c>
      <c r="F87" s="42" t="s">
        <v>245</v>
      </c>
      <c r="G87" s="42" t="s">
        <v>231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</row>
    <row r="88" spans="1:22" ht="15.75" customHeight="1" x14ac:dyDescent="0.2">
      <c r="A88" s="40">
        <v>1535</v>
      </c>
      <c r="B88" s="41" t="s">
        <v>263</v>
      </c>
      <c r="C88" s="42" t="s">
        <v>253</v>
      </c>
      <c r="D88" s="42" t="s">
        <v>254</v>
      </c>
      <c r="E88" s="42" t="s">
        <v>255</v>
      </c>
      <c r="F88" s="42" t="s">
        <v>245</v>
      </c>
      <c r="G88" s="42" t="s">
        <v>231</v>
      </c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</row>
    <row r="89" spans="1:22" ht="15.75" customHeight="1" x14ac:dyDescent="0.2">
      <c r="A89" s="40">
        <v>1615</v>
      </c>
      <c r="B89" s="41" t="s">
        <v>264</v>
      </c>
      <c r="C89" s="42" t="s">
        <v>265</v>
      </c>
      <c r="D89" s="42" t="s">
        <v>266</v>
      </c>
      <c r="E89" s="42" t="s">
        <v>87</v>
      </c>
      <c r="F89" s="42" t="s">
        <v>245</v>
      </c>
      <c r="G89" s="42" t="s">
        <v>231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</row>
    <row r="90" spans="1:22" ht="15.75" customHeight="1" x14ac:dyDescent="0.2">
      <c r="A90" s="40">
        <v>1645</v>
      </c>
      <c r="B90" s="41" t="s">
        <v>267</v>
      </c>
      <c r="C90" s="42" t="s">
        <v>268</v>
      </c>
      <c r="D90" s="42" t="s">
        <v>269</v>
      </c>
      <c r="E90" s="42" t="s">
        <v>40</v>
      </c>
      <c r="F90" s="42" t="s">
        <v>245</v>
      </c>
      <c r="G90" s="42" t="s">
        <v>231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</row>
    <row r="91" spans="1:22" ht="15.75" customHeight="1" x14ac:dyDescent="0.2">
      <c r="A91" s="40">
        <v>1691</v>
      </c>
      <c r="B91" s="41" t="s">
        <v>270</v>
      </c>
      <c r="C91" s="42" t="s">
        <v>271</v>
      </c>
      <c r="D91" s="42" t="s">
        <v>272</v>
      </c>
      <c r="E91" s="42" t="s">
        <v>273</v>
      </c>
      <c r="F91" s="42" t="s">
        <v>245</v>
      </c>
      <c r="G91" s="42" t="s">
        <v>231</v>
      </c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</row>
    <row r="92" spans="1:22" ht="15.75" customHeight="1" x14ac:dyDescent="0.2">
      <c r="A92" s="40">
        <v>1695</v>
      </c>
      <c r="B92" s="41" t="s">
        <v>270</v>
      </c>
      <c r="C92" s="42" t="s">
        <v>274</v>
      </c>
      <c r="D92" s="42" t="s">
        <v>275</v>
      </c>
      <c r="E92" s="42" t="s">
        <v>112</v>
      </c>
      <c r="F92" s="42" t="s">
        <v>245</v>
      </c>
      <c r="G92" s="42" t="s">
        <v>231</v>
      </c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</row>
    <row r="93" spans="1:22" ht="15.75" customHeight="1" x14ac:dyDescent="0.2">
      <c r="A93" s="40">
        <v>1809</v>
      </c>
      <c r="B93" s="41" t="s">
        <v>276</v>
      </c>
      <c r="C93" s="42" t="s">
        <v>244</v>
      </c>
      <c r="D93" s="42" t="s">
        <v>128</v>
      </c>
      <c r="E93" s="42" t="s">
        <v>32</v>
      </c>
      <c r="F93" s="42" t="s">
        <v>245</v>
      </c>
      <c r="G93" s="42" t="s">
        <v>231</v>
      </c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</row>
    <row r="94" spans="1:22" ht="15.75" customHeight="1" x14ac:dyDescent="0.2">
      <c r="A94" s="40">
        <v>1909</v>
      </c>
      <c r="B94" s="41" t="s">
        <v>277</v>
      </c>
      <c r="C94" s="42" t="s">
        <v>247</v>
      </c>
      <c r="D94" s="42" t="s">
        <v>139</v>
      </c>
      <c r="E94" s="42" t="s">
        <v>32</v>
      </c>
      <c r="F94" s="42" t="s">
        <v>245</v>
      </c>
      <c r="G94" s="42" t="s">
        <v>231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</row>
    <row r="95" spans="1:22" ht="15.75" customHeight="1" x14ac:dyDescent="0.2">
      <c r="A95" s="40">
        <v>1955</v>
      </c>
      <c r="B95" s="41" t="s">
        <v>278</v>
      </c>
      <c r="C95" s="42" t="s">
        <v>271</v>
      </c>
      <c r="D95" s="42" t="s">
        <v>272</v>
      </c>
      <c r="E95" s="42" t="s">
        <v>273</v>
      </c>
      <c r="F95" s="42" t="s">
        <v>245</v>
      </c>
      <c r="G95" s="42" t="s">
        <v>231</v>
      </c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</row>
    <row r="96" spans="1:22" ht="15.75" customHeight="1" x14ac:dyDescent="0.2">
      <c r="A96" s="40">
        <v>1957</v>
      </c>
      <c r="B96" s="41" t="s">
        <v>278</v>
      </c>
      <c r="C96" s="42" t="s">
        <v>274</v>
      </c>
      <c r="D96" s="42" t="s">
        <v>275</v>
      </c>
      <c r="E96" s="42" t="s">
        <v>112</v>
      </c>
      <c r="F96" s="42" t="s">
        <v>245</v>
      </c>
      <c r="G96" s="42" t="s">
        <v>231</v>
      </c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</row>
    <row r="97" spans="1:22" ht="15.75" customHeight="1" x14ac:dyDescent="0.2">
      <c r="A97" s="40">
        <v>1981</v>
      </c>
      <c r="B97" s="41" t="s">
        <v>279</v>
      </c>
      <c r="C97" s="42" t="s">
        <v>249</v>
      </c>
      <c r="D97" s="42" t="s">
        <v>250</v>
      </c>
      <c r="E97" s="42" t="s">
        <v>251</v>
      </c>
      <c r="F97" s="42" t="s">
        <v>245</v>
      </c>
      <c r="G97" s="42" t="s">
        <v>231</v>
      </c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</row>
    <row r="98" spans="1:22" ht="15.75" customHeight="1" x14ac:dyDescent="0.2">
      <c r="A98" s="40">
        <v>2121</v>
      </c>
      <c r="B98" s="41" t="s">
        <v>280</v>
      </c>
      <c r="C98" s="42" t="s">
        <v>244</v>
      </c>
      <c r="D98" s="42" t="s">
        <v>128</v>
      </c>
      <c r="E98" s="42" t="s">
        <v>32</v>
      </c>
      <c r="F98" s="42" t="s">
        <v>245</v>
      </c>
      <c r="G98" s="42" t="s">
        <v>231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</row>
    <row r="99" spans="1:22" ht="15.75" customHeight="1" x14ac:dyDescent="0.2">
      <c r="A99" s="40">
        <v>2165</v>
      </c>
      <c r="B99" s="41" t="s">
        <v>281</v>
      </c>
      <c r="C99" s="42" t="s">
        <v>247</v>
      </c>
      <c r="D99" s="42" t="s">
        <v>139</v>
      </c>
      <c r="E99" s="42" t="s">
        <v>32</v>
      </c>
      <c r="F99" s="42" t="s">
        <v>245</v>
      </c>
      <c r="G99" s="42" t="s">
        <v>231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</row>
    <row r="100" spans="1:22" ht="15.75" customHeight="1" x14ac:dyDescent="0.2">
      <c r="A100" s="40">
        <v>2215</v>
      </c>
      <c r="B100" s="41" t="s">
        <v>282</v>
      </c>
      <c r="C100" s="42" t="s">
        <v>271</v>
      </c>
      <c r="D100" s="42" t="s">
        <v>272</v>
      </c>
      <c r="E100" s="42" t="s">
        <v>273</v>
      </c>
      <c r="F100" s="42" t="s">
        <v>245</v>
      </c>
      <c r="G100" s="42" t="s">
        <v>231</v>
      </c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</row>
    <row r="101" spans="1:22" ht="15.75" customHeight="1" x14ac:dyDescent="0.2">
      <c r="A101" s="40">
        <v>2221</v>
      </c>
      <c r="B101" s="41" t="s">
        <v>282</v>
      </c>
      <c r="C101" s="42" t="s">
        <v>265</v>
      </c>
      <c r="D101" s="42" t="s">
        <v>266</v>
      </c>
      <c r="E101" s="42" t="s">
        <v>87</v>
      </c>
      <c r="F101" s="42" t="s">
        <v>245</v>
      </c>
      <c r="G101" s="42" t="s">
        <v>231</v>
      </c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</row>
    <row r="102" spans="1:22" ht="15.75" customHeight="1" x14ac:dyDescent="0.2">
      <c r="A102" s="40">
        <v>2223</v>
      </c>
      <c r="B102" s="41" t="s">
        <v>282</v>
      </c>
      <c r="C102" s="42" t="s">
        <v>274</v>
      </c>
      <c r="D102" s="42" t="s">
        <v>275</v>
      </c>
      <c r="E102" s="42" t="s">
        <v>112</v>
      </c>
      <c r="F102" s="42" t="s">
        <v>245</v>
      </c>
      <c r="G102" s="42" t="s">
        <v>231</v>
      </c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</row>
    <row r="103" spans="1:22" ht="15.75" customHeight="1" x14ac:dyDescent="0.2">
      <c r="A103" s="40">
        <v>2275</v>
      </c>
      <c r="B103" s="41" t="s">
        <v>283</v>
      </c>
      <c r="C103" s="42" t="s">
        <v>257</v>
      </c>
      <c r="D103" s="42" t="s">
        <v>258</v>
      </c>
      <c r="E103" s="42" t="s">
        <v>259</v>
      </c>
      <c r="F103" s="42" t="s">
        <v>245</v>
      </c>
      <c r="G103" s="42" t="s">
        <v>231</v>
      </c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</row>
    <row r="104" spans="1:22" ht="15.75" customHeight="1" x14ac:dyDescent="0.2">
      <c r="A104" s="40">
        <v>2303</v>
      </c>
      <c r="B104" s="41" t="s">
        <v>284</v>
      </c>
      <c r="C104" s="42" t="s">
        <v>249</v>
      </c>
      <c r="D104" s="42" t="s">
        <v>250</v>
      </c>
      <c r="E104" s="42" t="s">
        <v>251</v>
      </c>
      <c r="F104" s="42" t="s">
        <v>245</v>
      </c>
      <c r="G104" s="42" t="s">
        <v>231</v>
      </c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</row>
    <row r="105" spans="1:22" ht="15.75" customHeight="1" x14ac:dyDescent="0.2">
      <c r="A105" s="40">
        <v>2339</v>
      </c>
      <c r="B105" s="41" t="s">
        <v>285</v>
      </c>
      <c r="C105" s="42" t="s">
        <v>253</v>
      </c>
      <c r="D105" s="42" t="s">
        <v>254</v>
      </c>
      <c r="E105" s="42" t="s">
        <v>255</v>
      </c>
      <c r="F105" s="42" t="s">
        <v>245</v>
      </c>
      <c r="G105" s="42" t="s">
        <v>231</v>
      </c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</row>
    <row r="106" spans="1:22" ht="15.75" customHeight="1" x14ac:dyDescent="0.2">
      <c r="A106" s="40">
        <v>2567</v>
      </c>
      <c r="B106" s="41" t="s">
        <v>286</v>
      </c>
      <c r="C106" s="42" t="s">
        <v>257</v>
      </c>
      <c r="D106" s="42" t="s">
        <v>258</v>
      </c>
      <c r="E106" s="42" t="s">
        <v>259</v>
      </c>
      <c r="F106" s="42" t="s">
        <v>245</v>
      </c>
      <c r="G106" s="42" t="s">
        <v>231</v>
      </c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</row>
    <row r="107" spans="1:22" ht="15.75" customHeight="1" x14ac:dyDescent="0.2">
      <c r="A107" s="40">
        <v>2595</v>
      </c>
      <c r="B107" s="41" t="s">
        <v>287</v>
      </c>
      <c r="C107" s="42" t="s">
        <v>253</v>
      </c>
      <c r="D107" s="42" t="s">
        <v>254</v>
      </c>
      <c r="E107" s="42" t="s">
        <v>255</v>
      </c>
      <c r="F107" s="42" t="s">
        <v>245</v>
      </c>
      <c r="G107" s="42" t="s">
        <v>231</v>
      </c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</row>
    <row r="108" spans="1:22" ht="15.75" customHeight="1" x14ac:dyDescent="0.2">
      <c r="A108" s="40">
        <v>2797</v>
      </c>
      <c r="B108" s="41" t="s">
        <v>288</v>
      </c>
      <c r="C108" s="42" t="s">
        <v>268</v>
      </c>
      <c r="D108" s="42" t="s">
        <v>269</v>
      </c>
      <c r="E108" s="42" t="s">
        <v>40</v>
      </c>
      <c r="F108" s="42" t="s">
        <v>245</v>
      </c>
      <c r="G108" s="42" t="s">
        <v>231</v>
      </c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</row>
    <row r="109" spans="1:22" ht="15.75" customHeight="1" x14ac:dyDescent="0.2">
      <c r="A109" s="40">
        <v>2801</v>
      </c>
      <c r="B109" s="41" t="s">
        <v>288</v>
      </c>
      <c r="C109" s="42" t="s">
        <v>265</v>
      </c>
      <c r="D109" s="42" t="s">
        <v>266</v>
      </c>
      <c r="E109" s="42" t="s">
        <v>87</v>
      </c>
      <c r="F109" s="42" t="s">
        <v>245</v>
      </c>
      <c r="G109" s="42" t="s">
        <v>231</v>
      </c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</row>
    <row r="110" spans="1:22" ht="15.75" customHeight="1" x14ac:dyDescent="0.2">
      <c r="A110" s="40">
        <v>2979</v>
      </c>
      <c r="B110" s="41" t="s">
        <v>289</v>
      </c>
      <c r="C110" s="42" t="s">
        <v>257</v>
      </c>
      <c r="D110" s="42" t="s">
        <v>258</v>
      </c>
      <c r="E110" s="42" t="s">
        <v>259</v>
      </c>
      <c r="F110" s="42" t="s">
        <v>245</v>
      </c>
      <c r="G110" s="42" t="s">
        <v>231</v>
      </c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</row>
    <row r="111" spans="1:22" ht="15.75" customHeight="1" x14ac:dyDescent="0.2">
      <c r="A111" s="48">
        <v>3007</v>
      </c>
      <c r="B111" s="49" t="s">
        <v>290</v>
      </c>
      <c r="C111" s="50" t="s">
        <v>268</v>
      </c>
      <c r="D111" s="50" t="s">
        <v>269</v>
      </c>
      <c r="E111" s="50" t="s">
        <v>40</v>
      </c>
      <c r="F111" s="42" t="s">
        <v>245</v>
      </c>
      <c r="G111" s="42" t="s">
        <v>231</v>
      </c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</row>
    <row r="112" spans="1:22" ht="15.75" customHeight="1" x14ac:dyDescent="0.2">
      <c r="A112" s="48">
        <v>3013</v>
      </c>
      <c r="B112" s="49" t="s">
        <v>290</v>
      </c>
      <c r="C112" s="50" t="s">
        <v>274</v>
      </c>
      <c r="D112" s="50" t="s">
        <v>275</v>
      </c>
      <c r="E112" s="50" t="s">
        <v>112</v>
      </c>
      <c r="F112" s="42" t="s">
        <v>245</v>
      </c>
      <c r="G112" s="42" t="s">
        <v>231</v>
      </c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</row>
    <row r="113" spans="1:22" ht="15.75" customHeight="1" x14ac:dyDescent="0.2">
      <c r="A113" s="40"/>
      <c r="B113" s="45" t="s">
        <v>232</v>
      </c>
      <c r="C113" s="46" t="s">
        <v>291</v>
      </c>
      <c r="D113" s="46" t="s">
        <v>292</v>
      </c>
      <c r="E113" s="46" t="s">
        <v>40</v>
      </c>
      <c r="F113" s="46" t="s">
        <v>245</v>
      </c>
      <c r="G113" s="46" t="s">
        <v>231</v>
      </c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</row>
    <row r="114" spans="1:22" ht="15.75" customHeight="1" x14ac:dyDescent="0.2">
      <c r="A114" s="40"/>
      <c r="B114" s="45" t="s">
        <v>108</v>
      </c>
      <c r="C114" s="46" t="s">
        <v>291</v>
      </c>
      <c r="D114" s="46" t="s">
        <v>292</v>
      </c>
      <c r="E114" s="46" t="s">
        <v>40</v>
      </c>
      <c r="F114" s="46" t="s">
        <v>245</v>
      </c>
      <c r="G114" s="46" t="s">
        <v>231</v>
      </c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</row>
    <row r="115" spans="1:22" ht="15.75" customHeight="1" x14ac:dyDescent="0.2">
      <c r="A115" s="40"/>
      <c r="B115" s="45" t="s">
        <v>232</v>
      </c>
      <c r="C115" s="46" t="s">
        <v>293</v>
      </c>
      <c r="D115" s="46" t="s">
        <v>58</v>
      </c>
      <c r="E115" s="46" t="s">
        <v>40</v>
      </c>
      <c r="F115" s="46" t="s">
        <v>245</v>
      </c>
      <c r="G115" s="46" t="s">
        <v>231</v>
      </c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</row>
    <row r="116" spans="1:22" ht="15.75" customHeight="1" x14ac:dyDescent="0.2">
      <c r="A116" s="40"/>
      <c r="B116" s="47" t="s">
        <v>114</v>
      </c>
      <c r="C116" s="46" t="s">
        <v>293</v>
      </c>
      <c r="D116" s="46" t="s">
        <v>58</v>
      </c>
      <c r="E116" s="46" t="s">
        <v>40</v>
      </c>
      <c r="F116" s="46" t="s">
        <v>245</v>
      </c>
      <c r="G116" s="46" t="s">
        <v>231</v>
      </c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</row>
    <row r="117" spans="1:22" ht="15.75" customHeight="1" x14ac:dyDescent="0.2">
      <c r="A117" s="40"/>
      <c r="B117" s="45" t="s">
        <v>108</v>
      </c>
      <c r="C117" s="46" t="s">
        <v>293</v>
      </c>
      <c r="D117" s="46" t="s">
        <v>58</v>
      </c>
      <c r="E117" s="46" t="s">
        <v>40</v>
      </c>
      <c r="F117" s="46" t="s">
        <v>245</v>
      </c>
      <c r="G117" s="46" t="s">
        <v>231</v>
      </c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</row>
    <row r="118" spans="1:22" ht="15.75" customHeight="1" x14ac:dyDescent="0.2">
      <c r="A118" s="40"/>
      <c r="B118" s="45" t="s">
        <v>232</v>
      </c>
      <c r="C118" s="46" t="s">
        <v>294</v>
      </c>
      <c r="D118" s="46" t="s">
        <v>295</v>
      </c>
      <c r="E118" s="46" t="s">
        <v>18</v>
      </c>
      <c r="F118" s="46" t="s">
        <v>245</v>
      </c>
      <c r="G118" s="46" t="s">
        <v>231</v>
      </c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</row>
    <row r="119" spans="1:22" ht="15.75" customHeight="1" x14ac:dyDescent="0.2">
      <c r="A119" s="40"/>
      <c r="B119" s="47" t="s">
        <v>296</v>
      </c>
      <c r="C119" s="51" t="s">
        <v>294</v>
      </c>
      <c r="D119" s="51" t="s">
        <v>295</v>
      </c>
      <c r="E119" s="46" t="s">
        <v>18</v>
      </c>
      <c r="F119" s="51" t="s">
        <v>245</v>
      </c>
      <c r="G119" s="51" t="s">
        <v>231</v>
      </c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</row>
    <row r="120" spans="1:22" ht="15.75" customHeight="1" x14ac:dyDescent="0.2">
      <c r="A120" s="40"/>
      <c r="B120" s="45" t="s">
        <v>297</v>
      </c>
      <c r="C120" s="46" t="s">
        <v>298</v>
      </c>
      <c r="D120" s="46" t="s">
        <v>299</v>
      </c>
      <c r="E120" s="46" t="s">
        <v>40</v>
      </c>
      <c r="F120" s="46" t="s">
        <v>245</v>
      </c>
      <c r="G120" s="46" t="s">
        <v>231</v>
      </c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</row>
    <row r="121" spans="1:22" ht="15.75" customHeight="1" x14ac:dyDescent="0.2">
      <c r="A121" s="40"/>
      <c r="B121" s="45" t="s">
        <v>300</v>
      </c>
      <c r="C121" s="46" t="s">
        <v>298</v>
      </c>
      <c r="D121" s="46" t="s">
        <v>299</v>
      </c>
      <c r="E121" s="46" t="s">
        <v>40</v>
      </c>
      <c r="F121" s="46" t="s">
        <v>245</v>
      </c>
      <c r="G121" s="46" t="s">
        <v>231</v>
      </c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</row>
    <row r="122" spans="1:22" ht="15.75" customHeight="1" x14ac:dyDescent="0.2">
      <c r="A122" s="40"/>
      <c r="B122" s="45" t="s">
        <v>94</v>
      </c>
      <c r="C122" s="46" t="s">
        <v>298</v>
      </c>
      <c r="D122" s="46" t="s">
        <v>299</v>
      </c>
      <c r="E122" s="46" t="s">
        <v>40</v>
      </c>
      <c r="F122" s="46" t="s">
        <v>245</v>
      </c>
      <c r="G122" s="46" t="s">
        <v>231</v>
      </c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</row>
    <row r="123" spans="1:22" ht="15.75" customHeight="1" x14ac:dyDescent="0.2">
      <c r="A123" s="40"/>
      <c r="B123" s="45" t="s">
        <v>108</v>
      </c>
      <c r="C123" s="46" t="s">
        <v>301</v>
      </c>
      <c r="D123" s="46" t="s">
        <v>266</v>
      </c>
      <c r="E123" s="46" t="s">
        <v>302</v>
      </c>
      <c r="F123" s="46" t="s">
        <v>245</v>
      </c>
      <c r="G123" s="46" t="s">
        <v>231</v>
      </c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</row>
    <row r="124" spans="1:22" ht="15.75" customHeight="1" x14ac:dyDescent="0.2">
      <c r="A124" s="40"/>
      <c r="B124" s="45" t="s">
        <v>303</v>
      </c>
      <c r="C124" s="46" t="s">
        <v>301</v>
      </c>
      <c r="D124" s="46" t="s">
        <v>266</v>
      </c>
      <c r="E124" s="46" t="s">
        <v>302</v>
      </c>
      <c r="F124" s="46" t="s">
        <v>245</v>
      </c>
      <c r="G124" s="46" t="s">
        <v>231</v>
      </c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</row>
    <row r="125" spans="1:22" ht="15.75" customHeight="1" x14ac:dyDescent="0.2">
      <c r="A125" s="40"/>
      <c r="B125" s="45" t="s">
        <v>94</v>
      </c>
      <c r="C125" s="46" t="s">
        <v>301</v>
      </c>
      <c r="D125" s="46" t="s">
        <v>266</v>
      </c>
      <c r="E125" s="46" t="s">
        <v>302</v>
      </c>
      <c r="F125" s="46" t="s">
        <v>245</v>
      </c>
      <c r="G125" s="46" t="s">
        <v>231</v>
      </c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</row>
    <row r="126" spans="1:22" ht="15.75" customHeight="1" x14ac:dyDescent="0.2">
      <c r="A126" s="40"/>
      <c r="B126" s="45" t="s">
        <v>118</v>
      </c>
      <c r="C126" s="46" t="s">
        <v>304</v>
      </c>
      <c r="D126" s="46" t="s">
        <v>295</v>
      </c>
      <c r="E126" s="46" t="s">
        <v>251</v>
      </c>
      <c r="F126" s="46" t="s">
        <v>245</v>
      </c>
      <c r="G126" s="46" t="s">
        <v>231</v>
      </c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</row>
    <row r="127" spans="1:22" ht="15.75" customHeight="1" x14ac:dyDescent="0.2">
      <c r="A127" s="40"/>
      <c r="B127" s="45" t="s">
        <v>121</v>
      </c>
      <c r="C127" s="46" t="s">
        <v>304</v>
      </c>
      <c r="D127" s="46" t="s">
        <v>295</v>
      </c>
      <c r="E127" s="46" t="s">
        <v>251</v>
      </c>
      <c r="F127" s="46" t="s">
        <v>245</v>
      </c>
      <c r="G127" s="46" t="s">
        <v>231</v>
      </c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</row>
    <row r="128" spans="1:22" ht="15.75" customHeight="1" x14ac:dyDescent="0.2">
      <c r="A128" s="40"/>
      <c r="B128" s="45" t="s">
        <v>94</v>
      </c>
      <c r="C128" s="46" t="s">
        <v>304</v>
      </c>
      <c r="D128" s="46" t="s">
        <v>295</v>
      </c>
      <c r="E128" s="46" t="s">
        <v>251</v>
      </c>
      <c r="F128" s="46" t="s">
        <v>245</v>
      </c>
      <c r="G128" s="46" t="s">
        <v>231</v>
      </c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</row>
    <row r="129" spans="1:22" ht="15.75" customHeight="1" x14ac:dyDescent="0.2">
      <c r="A129" s="40"/>
      <c r="B129" s="45" t="s">
        <v>118</v>
      </c>
      <c r="C129" s="46" t="s">
        <v>305</v>
      </c>
      <c r="D129" s="46" t="s">
        <v>128</v>
      </c>
      <c r="E129" s="46" t="s">
        <v>306</v>
      </c>
      <c r="F129" s="46" t="s">
        <v>245</v>
      </c>
      <c r="G129" s="46" t="s">
        <v>231</v>
      </c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</row>
    <row r="130" spans="1:22" ht="15.75" customHeight="1" x14ac:dyDescent="0.2">
      <c r="A130" s="40"/>
      <c r="B130" s="45" t="s">
        <v>121</v>
      </c>
      <c r="C130" s="46" t="s">
        <v>305</v>
      </c>
      <c r="D130" s="46" t="s">
        <v>128</v>
      </c>
      <c r="E130" s="46" t="s">
        <v>306</v>
      </c>
      <c r="F130" s="46" t="s">
        <v>245</v>
      </c>
      <c r="G130" s="46" t="s">
        <v>231</v>
      </c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</row>
    <row r="131" spans="1:22" ht="15.75" customHeight="1" x14ac:dyDescent="0.2">
      <c r="A131" s="40"/>
      <c r="B131" s="45" t="s">
        <v>94</v>
      </c>
      <c r="C131" s="46" t="s">
        <v>305</v>
      </c>
      <c r="D131" s="46" t="s">
        <v>128</v>
      </c>
      <c r="E131" s="46" t="s">
        <v>306</v>
      </c>
      <c r="F131" s="46" t="s">
        <v>245</v>
      </c>
      <c r="G131" s="46" t="s">
        <v>231</v>
      </c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</row>
    <row r="132" spans="1:22" ht="15.75" customHeight="1" x14ac:dyDescent="0.2">
      <c r="A132" s="40"/>
      <c r="B132" s="45" t="s">
        <v>307</v>
      </c>
      <c r="C132" s="46" t="s">
        <v>308</v>
      </c>
      <c r="D132" s="46" t="s">
        <v>309</v>
      </c>
      <c r="E132" s="46" t="s">
        <v>310</v>
      </c>
      <c r="F132" s="46" t="s">
        <v>245</v>
      </c>
      <c r="G132" s="46" t="s">
        <v>231</v>
      </c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</row>
    <row r="133" spans="1:22" ht="15.75" customHeight="1" x14ac:dyDescent="0.2">
      <c r="A133" s="40"/>
      <c r="B133" s="45" t="s">
        <v>311</v>
      </c>
      <c r="C133" s="46" t="s">
        <v>308</v>
      </c>
      <c r="D133" s="46" t="s">
        <v>309</v>
      </c>
      <c r="E133" s="46" t="s">
        <v>310</v>
      </c>
      <c r="F133" s="46" t="s">
        <v>245</v>
      </c>
      <c r="G133" s="46" t="s">
        <v>231</v>
      </c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</row>
    <row r="134" spans="1:22" ht="15.75" customHeight="1" x14ac:dyDescent="0.2">
      <c r="A134" s="40"/>
      <c r="B134" s="45" t="s">
        <v>121</v>
      </c>
      <c r="C134" s="46" t="s">
        <v>312</v>
      </c>
      <c r="D134" s="46" t="s">
        <v>313</v>
      </c>
      <c r="E134" s="46" t="s">
        <v>314</v>
      </c>
      <c r="F134" s="46" t="s">
        <v>245</v>
      </c>
      <c r="G134" s="46" t="s">
        <v>231</v>
      </c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</row>
    <row r="135" spans="1:22" ht="15.75" customHeight="1" x14ac:dyDescent="0.2">
      <c r="A135" s="40"/>
      <c r="B135" s="45" t="s">
        <v>315</v>
      </c>
      <c r="C135" s="46" t="s">
        <v>312</v>
      </c>
      <c r="D135" s="46" t="s">
        <v>313</v>
      </c>
      <c r="E135" s="46" t="s">
        <v>314</v>
      </c>
      <c r="F135" s="46" t="s">
        <v>245</v>
      </c>
      <c r="G135" s="46" t="s">
        <v>231</v>
      </c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</row>
    <row r="136" spans="1:22" ht="15.75" customHeight="1" x14ac:dyDescent="0.2">
      <c r="A136" s="40"/>
      <c r="B136" s="45" t="s">
        <v>94</v>
      </c>
      <c r="C136" s="46" t="s">
        <v>312</v>
      </c>
      <c r="D136" s="46" t="s">
        <v>313</v>
      </c>
      <c r="E136" s="46" t="s">
        <v>314</v>
      </c>
      <c r="F136" s="46" t="s">
        <v>245</v>
      </c>
      <c r="G136" s="46" t="s">
        <v>231</v>
      </c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</row>
    <row r="137" spans="1:22" ht="15.75" customHeight="1" x14ac:dyDescent="0.2">
      <c r="A137" s="40"/>
      <c r="B137" s="45" t="s">
        <v>316</v>
      </c>
      <c r="C137" s="46" t="s">
        <v>317</v>
      </c>
      <c r="D137" s="46" t="s">
        <v>318</v>
      </c>
      <c r="E137" s="46" t="s">
        <v>319</v>
      </c>
      <c r="F137" s="46" t="s">
        <v>245</v>
      </c>
      <c r="G137" s="46" t="s">
        <v>231</v>
      </c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</row>
    <row r="138" spans="1:22" ht="15.75" customHeight="1" x14ac:dyDescent="0.2">
      <c r="A138" s="40"/>
      <c r="B138" s="45" t="s">
        <v>102</v>
      </c>
      <c r="C138" s="46" t="s">
        <v>317</v>
      </c>
      <c r="D138" s="46" t="s">
        <v>318</v>
      </c>
      <c r="E138" s="46" t="s">
        <v>319</v>
      </c>
      <c r="F138" s="46" t="s">
        <v>245</v>
      </c>
      <c r="G138" s="46" t="s">
        <v>231</v>
      </c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</row>
    <row r="139" spans="1:22" ht="15.75" customHeight="1" x14ac:dyDescent="0.2">
      <c r="A139" s="40"/>
      <c r="B139" s="45" t="s">
        <v>108</v>
      </c>
      <c r="C139" s="46" t="s">
        <v>317</v>
      </c>
      <c r="D139" s="46" t="s">
        <v>318</v>
      </c>
      <c r="E139" s="46" t="s">
        <v>319</v>
      </c>
      <c r="F139" s="46" t="s">
        <v>245</v>
      </c>
      <c r="G139" s="46" t="s">
        <v>231</v>
      </c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</row>
    <row r="140" spans="1:22" ht="15.75" customHeight="1" x14ac:dyDescent="0.2">
      <c r="A140" s="40"/>
      <c r="B140" s="45" t="s">
        <v>94</v>
      </c>
      <c r="C140" s="46" t="s">
        <v>317</v>
      </c>
      <c r="D140" s="46" t="s">
        <v>318</v>
      </c>
      <c r="E140" s="46" t="s">
        <v>319</v>
      </c>
      <c r="F140" s="46" t="s">
        <v>245</v>
      </c>
      <c r="G140" s="46" t="s">
        <v>231</v>
      </c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</row>
    <row r="141" spans="1:22" ht="15.75" customHeight="1" x14ac:dyDescent="0.2">
      <c r="A141" s="40"/>
      <c r="B141" s="45" t="s">
        <v>109</v>
      </c>
      <c r="C141" s="46" t="s">
        <v>320</v>
      </c>
      <c r="D141" s="46" t="s">
        <v>186</v>
      </c>
      <c r="E141" s="46" t="s">
        <v>32</v>
      </c>
      <c r="F141" s="46" t="s">
        <v>245</v>
      </c>
      <c r="G141" s="46" t="s">
        <v>231</v>
      </c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</row>
    <row r="142" spans="1:22" ht="15.75" customHeight="1" x14ac:dyDescent="0.2">
      <c r="A142" s="40"/>
      <c r="B142" s="45" t="s">
        <v>108</v>
      </c>
      <c r="C142" s="46" t="s">
        <v>320</v>
      </c>
      <c r="D142" s="46" t="s">
        <v>186</v>
      </c>
      <c r="E142" s="46" t="s">
        <v>32</v>
      </c>
      <c r="F142" s="46" t="s">
        <v>245</v>
      </c>
      <c r="G142" s="46" t="s">
        <v>231</v>
      </c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</row>
    <row r="143" spans="1:22" ht="15.75" customHeight="1" x14ac:dyDescent="0.2">
      <c r="A143" s="40"/>
      <c r="B143" s="45" t="s">
        <v>94</v>
      </c>
      <c r="C143" s="46" t="s">
        <v>320</v>
      </c>
      <c r="D143" s="46" t="s">
        <v>186</v>
      </c>
      <c r="E143" s="46" t="s">
        <v>32</v>
      </c>
      <c r="F143" s="46" t="s">
        <v>245</v>
      </c>
      <c r="G143" s="46" t="s">
        <v>231</v>
      </c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</row>
    <row r="144" spans="1:22" ht="15.75" customHeight="1" x14ac:dyDescent="0.2">
      <c r="A144" s="40"/>
      <c r="B144" s="45" t="s">
        <v>109</v>
      </c>
      <c r="C144" s="46" t="s">
        <v>321</v>
      </c>
      <c r="D144" s="46" t="s">
        <v>58</v>
      </c>
      <c r="E144" s="46" t="s">
        <v>322</v>
      </c>
      <c r="F144" s="46" t="s">
        <v>245</v>
      </c>
      <c r="G144" s="46" t="s">
        <v>231</v>
      </c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</row>
    <row r="145" spans="1:22" ht="15.75" customHeight="1" x14ac:dyDescent="0.2">
      <c r="A145" s="40"/>
      <c r="B145" s="45" t="s">
        <v>108</v>
      </c>
      <c r="C145" s="46" t="s">
        <v>321</v>
      </c>
      <c r="D145" s="46" t="s">
        <v>58</v>
      </c>
      <c r="E145" s="46" t="s">
        <v>322</v>
      </c>
      <c r="F145" s="46" t="s">
        <v>245</v>
      </c>
      <c r="G145" s="46" t="s">
        <v>231</v>
      </c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</row>
    <row r="146" spans="1:22" ht="15.75" customHeight="1" x14ac:dyDescent="0.2">
      <c r="A146" s="40"/>
      <c r="B146" s="45" t="s">
        <v>323</v>
      </c>
      <c r="C146" s="46" t="s">
        <v>324</v>
      </c>
      <c r="D146" s="46" t="s">
        <v>325</v>
      </c>
      <c r="E146" s="46" t="s">
        <v>326</v>
      </c>
      <c r="F146" s="46" t="s">
        <v>245</v>
      </c>
      <c r="G146" s="46" t="s">
        <v>231</v>
      </c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</row>
    <row r="147" spans="1:22" ht="15.75" customHeight="1" x14ac:dyDescent="0.2">
      <c r="A147" s="40"/>
      <c r="B147" s="45" t="s">
        <v>297</v>
      </c>
      <c r="C147" s="46" t="s">
        <v>324</v>
      </c>
      <c r="D147" s="46" t="s">
        <v>325</v>
      </c>
      <c r="E147" s="46" t="s">
        <v>326</v>
      </c>
      <c r="F147" s="46" t="s">
        <v>245</v>
      </c>
      <c r="G147" s="46" t="s">
        <v>231</v>
      </c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</row>
    <row r="148" spans="1:22" ht="15.75" customHeight="1" x14ac:dyDescent="0.2">
      <c r="A148" s="40"/>
      <c r="B148" s="45" t="s">
        <v>108</v>
      </c>
      <c r="C148" s="46" t="s">
        <v>324</v>
      </c>
      <c r="D148" s="46" t="s">
        <v>325</v>
      </c>
      <c r="E148" s="46" t="s">
        <v>326</v>
      </c>
      <c r="F148" s="46" t="s">
        <v>245</v>
      </c>
      <c r="G148" s="46" t="s">
        <v>231</v>
      </c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</row>
    <row r="149" spans="1:22" ht="15.75" customHeight="1" x14ac:dyDescent="0.2">
      <c r="A149" s="40">
        <v>243</v>
      </c>
      <c r="B149" s="41" t="s">
        <v>178</v>
      </c>
      <c r="C149" s="42" t="s">
        <v>327</v>
      </c>
      <c r="D149" s="42" t="s">
        <v>328</v>
      </c>
      <c r="E149" s="42" t="s">
        <v>329</v>
      </c>
      <c r="F149" s="42" t="s">
        <v>330</v>
      </c>
      <c r="G149" s="42" t="s">
        <v>331</v>
      </c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</row>
    <row r="150" spans="1:22" ht="15.75" customHeight="1" x14ac:dyDescent="0.2">
      <c r="A150" s="40"/>
      <c r="B150" s="45" t="s">
        <v>26</v>
      </c>
      <c r="C150" s="46" t="s">
        <v>332</v>
      </c>
      <c r="D150" s="46" t="s">
        <v>333</v>
      </c>
      <c r="E150" s="46" t="s">
        <v>334</v>
      </c>
      <c r="F150" s="46" t="s">
        <v>335</v>
      </c>
      <c r="G150" s="46" t="s">
        <v>331</v>
      </c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</row>
    <row r="151" spans="1:22" ht="15.75" customHeight="1" x14ac:dyDescent="0.2">
      <c r="A151" s="40"/>
      <c r="B151" s="45" t="s">
        <v>336</v>
      </c>
      <c r="C151" s="46" t="s">
        <v>57</v>
      </c>
      <c r="D151" s="46" t="s">
        <v>39</v>
      </c>
      <c r="E151" s="46" t="s">
        <v>337</v>
      </c>
      <c r="F151" s="46" t="s">
        <v>335</v>
      </c>
      <c r="G151" s="46" t="s">
        <v>331</v>
      </c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</row>
    <row r="152" spans="1:22" ht="15.75" customHeight="1" x14ac:dyDescent="0.2">
      <c r="A152" s="40"/>
      <c r="B152" s="45" t="s">
        <v>46</v>
      </c>
      <c r="C152" s="46" t="s">
        <v>338</v>
      </c>
      <c r="D152" s="46" t="s">
        <v>339</v>
      </c>
      <c r="E152" s="46" t="s">
        <v>129</v>
      </c>
      <c r="F152" s="46" t="s">
        <v>335</v>
      </c>
      <c r="G152" s="46" t="s">
        <v>331</v>
      </c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</row>
    <row r="153" spans="1:22" ht="15.75" customHeight="1" x14ac:dyDescent="0.2">
      <c r="A153" s="40">
        <v>377</v>
      </c>
      <c r="B153" s="41" t="s">
        <v>211</v>
      </c>
      <c r="C153" s="42" t="s">
        <v>340</v>
      </c>
      <c r="D153" s="42" t="s">
        <v>341</v>
      </c>
      <c r="E153" s="42" t="s">
        <v>342</v>
      </c>
      <c r="F153" s="42" t="s">
        <v>343</v>
      </c>
      <c r="G153" s="42" t="s">
        <v>331</v>
      </c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</row>
    <row r="154" spans="1:22" ht="15.75" customHeight="1" x14ac:dyDescent="0.2">
      <c r="A154" s="40"/>
      <c r="B154" s="45" t="s">
        <v>33</v>
      </c>
      <c r="C154" s="46" t="s">
        <v>344</v>
      </c>
      <c r="D154" s="46" t="s">
        <v>345</v>
      </c>
      <c r="E154" s="46" t="s">
        <v>105</v>
      </c>
      <c r="F154" s="46" t="s">
        <v>343</v>
      </c>
      <c r="G154" s="46" t="s">
        <v>331</v>
      </c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</row>
    <row r="155" spans="1:22" ht="15.75" customHeight="1" x14ac:dyDescent="0.2">
      <c r="A155" s="40"/>
      <c r="B155" s="45" t="s">
        <v>80</v>
      </c>
      <c r="C155" s="46" t="s">
        <v>346</v>
      </c>
      <c r="D155" s="46" t="s">
        <v>347</v>
      </c>
      <c r="E155" s="46" t="s">
        <v>348</v>
      </c>
      <c r="F155" s="46" t="s">
        <v>343</v>
      </c>
      <c r="G155" s="46" t="s">
        <v>331</v>
      </c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</row>
    <row r="156" spans="1:22" ht="15.75" customHeight="1" x14ac:dyDescent="0.2">
      <c r="A156" s="40"/>
      <c r="B156" s="45" t="s">
        <v>80</v>
      </c>
      <c r="C156" s="46" t="s">
        <v>349</v>
      </c>
      <c r="D156" s="46" t="s">
        <v>350</v>
      </c>
      <c r="E156" s="46" t="s">
        <v>348</v>
      </c>
      <c r="F156" s="46" t="s">
        <v>351</v>
      </c>
      <c r="G156" s="46" t="s">
        <v>331</v>
      </c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</row>
    <row r="157" spans="1:22" ht="15.75" customHeight="1" x14ac:dyDescent="0.2">
      <c r="A157" s="40"/>
      <c r="B157" s="45" t="s">
        <v>94</v>
      </c>
      <c r="C157" s="46" t="s">
        <v>352</v>
      </c>
      <c r="D157" s="46" t="s">
        <v>353</v>
      </c>
      <c r="E157" s="46" t="s">
        <v>18</v>
      </c>
      <c r="F157" s="46" t="s">
        <v>351</v>
      </c>
      <c r="G157" s="46" t="s">
        <v>331</v>
      </c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</row>
    <row r="158" spans="1:22" ht="15.75" customHeight="1" x14ac:dyDescent="0.2">
      <c r="A158" s="40"/>
      <c r="B158" s="45" t="s">
        <v>315</v>
      </c>
      <c r="C158" s="46" t="s">
        <v>354</v>
      </c>
      <c r="D158" s="46" t="s">
        <v>355</v>
      </c>
      <c r="E158" s="46" t="s">
        <v>348</v>
      </c>
      <c r="F158" s="46" t="s">
        <v>351</v>
      </c>
      <c r="G158" s="46" t="s">
        <v>331</v>
      </c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</row>
    <row r="159" spans="1:22" ht="15.75" customHeight="1" x14ac:dyDescent="0.2">
      <c r="A159" s="40"/>
      <c r="B159" s="45" t="s">
        <v>94</v>
      </c>
      <c r="C159" s="46" t="s">
        <v>354</v>
      </c>
      <c r="D159" s="46" t="s">
        <v>355</v>
      </c>
      <c r="E159" s="46" t="s">
        <v>348</v>
      </c>
      <c r="F159" s="46" t="s">
        <v>351</v>
      </c>
      <c r="G159" s="46" t="s">
        <v>331</v>
      </c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</row>
    <row r="160" spans="1:22" ht="15.75" customHeight="1" x14ac:dyDescent="0.2">
      <c r="A160" s="40"/>
      <c r="B160" s="45" t="s">
        <v>80</v>
      </c>
      <c r="C160" s="46" t="s">
        <v>356</v>
      </c>
      <c r="D160" s="46" t="s">
        <v>295</v>
      </c>
      <c r="E160" s="46" t="s">
        <v>357</v>
      </c>
      <c r="F160" s="46" t="s">
        <v>351</v>
      </c>
      <c r="G160" s="46" t="s">
        <v>331</v>
      </c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</row>
    <row r="161" spans="1:22" ht="15.75" customHeight="1" x14ac:dyDescent="0.2">
      <c r="A161" s="40"/>
      <c r="B161" s="45" t="s">
        <v>26</v>
      </c>
      <c r="C161" s="46" t="s">
        <v>358</v>
      </c>
      <c r="D161" s="46" t="s">
        <v>39</v>
      </c>
      <c r="E161" s="46" t="s">
        <v>306</v>
      </c>
      <c r="F161" s="46" t="s">
        <v>351</v>
      </c>
      <c r="G161" s="46" t="s">
        <v>331</v>
      </c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</row>
    <row r="162" spans="1:22" ht="15.75" customHeight="1" x14ac:dyDescent="0.2">
      <c r="A162" s="40"/>
      <c r="B162" s="45" t="s">
        <v>26</v>
      </c>
      <c r="C162" s="46" t="s">
        <v>358</v>
      </c>
      <c r="D162" s="46" t="s">
        <v>139</v>
      </c>
      <c r="E162" s="46" t="s">
        <v>306</v>
      </c>
      <c r="F162" s="46" t="s">
        <v>351</v>
      </c>
      <c r="G162" s="46" t="s">
        <v>331</v>
      </c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</row>
    <row r="163" spans="1:22" ht="15.75" customHeight="1" x14ac:dyDescent="0.2">
      <c r="A163" s="40"/>
      <c r="B163" s="45" t="s">
        <v>94</v>
      </c>
      <c r="C163" s="46" t="s">
        <v>359</v>
      </c>
      <c r="D163" s="46" t="s">
        <v>116</v>
      </c>
      <c r="E163" s="46" t="s">
        <v>337</v>
      </c>
      <c r="F163" s="46" t="s">
        <v>351</v>
      </c>
      <c r="G163" s="46" t="s">
        <v>331</v>
      </c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</row>
    <row r="164" spans="1:22" ht="15.75" customHeight="1" x14ac:dyDescent="0.2">
      <c r="A164" s="40">
        <v>121</v>
      </c>
      <c r="B164" s="41" t="s">
        <v>360</v>
      </c>
      <c r="C164" s="42" t="s">
        <v>361</v>
      </c>
      <c r="D164" s="42" t="s">
        <v>362</v>
      </c>
      <c r="E164" s="42" t="s">
        <v>363</v>
      </c>
      <c r="F164" s="42" t="s">
        <v>364</v>
      </c>
      <c r="G164" s="42" t="s">
        <v>331</v>
      </c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</row>
    <row r="165" spans="1:22" ht="15.75" customHeight="1" x14ac:dyDescent="0.2">
      <c r="A165" s="40">
        <v>349</v>
      </c>
      <c r="B165" s="41" t="s">
        <v>100</v>
      </c>
      <c r="C165" s="42" t="s">
        <v>361</v>
      </c>
      <c r="D165" s="42" t="s">
        <v>362</v>
      </c>
      <c r="E165" s="42" t="s">
        <v>363</v>
      </c>
      <c r="F165" s="42" t="s">
        <v>364</v>
      </c>
      <c r="G165" s="42" t="s">
        <v>331</v>
      </c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</row>
    <row r="166" spans="1:22" ht="15.75" customHeight="1" x14ac:dyDescent="0.2">
      <c r="A166" s="40">
        <v>335</v>
      </c>
      <c r="B166" s="41" t="s">
        <v>365</v>
      </c>
      <c r="C166" s="42" t="s">
        <v>366</v>
      </c>
      <c r="D166" s="42" t="s">
        <v>325</v>
      </c>
      <c r="E166" s="42" t="s">
        <v>40</v>
      </c>
      <c r="F166" s="42" t="s">
        <v>367</v>
      </c>
      <c r="G166" s="42" t="s">
        <v>331</v>
      </c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</row>
    <row r="167" spans="1:22" ht="15.75" customHeight="1" x14ac:dyDescent="0.2">
      <c r="A167" s="40">
        <v>575</v>
      </c>
      <c r="B167" s="41" t="s">
        <v>368</v>
      </c>
      <c r="C167" s="42" t="s">
        <v>369</v>
      </c>
      <c r="D167" s="42" t="s">
        <v>370</v>
      </c>
      <c r="E167" s="42" t="s">
        <v>371</v>
      </c>
      <c r="F167" s="42" t="s">
        <v>367</v>
      </c>
      <c r="G167" s="42" t="s">
        <v>331</v>
      </c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</row>
    <row r="168" spans="1:22" ht="15.75" customHeight="1" x14ac:dyDescent="0.2">
      <c r="A168" s="40">
        <v>687</v>
      </c>
      <c r="B168" s="41" t="s">
        <v>252</v>
      </c>
      <c r="C168" s="42" t="s">
        <v>372</v>
      </c>
      <c r="D168" s="42" t="s">
        <v>373</v>
      </c>
      <c r="E168" s="42" t="s">
        <v>374</v>
      </c>
      <c r="F168" s="42" t="s">
        <v>367</v>
      </c>
      <c r="G168" s="42" t="s">
        <v>331</v>
      </c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</row>
    <row r="169" spans="1:22" ht="15.75" customHeight="1" x14ac:dyDescent="0.2">
      <c r="A169" s="40">
        <v>689</v>
      </c>
      <c r="B169" s="41" t="s">
        <v>252</v>
      </c>
      <c r="C169" s="42" t="s">
        <v>375</v>
      </c>
      <c r="D169" s="42" t="s">
        <v>376</v>
      </c>
      <c r="E169" s="42" t="s">
        <v>18</v>
      </c>
      <c r="F169" s="42" t="s">
        <v>367</v>
      </c>
      <c r="G169" s="42" t="s">
        <v>331</v>
      </c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</row>
    <row r="170" spans="1:22" ht="15.75" customHeight="1" x14ac:dyDescent="0.2">
      <c r="A170" s="40">
        <v>1523</v>
      </c>
      <c r="B170" s="41" t="s">
        <v>262</v>
      </c>
      <c r="C170" s="42" t="s">
        <v>369</v>
      </c>
      <c r="D170" s="42" t="s">
        <v>370</v>
      </c>
      <c r="E170" s="42" t="s">
        <v>371</v>
      </c>
      <c r="F170" s="42" t="s">
        <v>367</v>
      </c>
      <c r="G170" s="42" t="s">
        <v>331</v>
      </c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</row>
    <row r="171" spans="1:22" ht="15.75" customHeight="1" x14ac:dyDescent="0.2">
      <c r="A171" s="40">
        <v>1563</v>
      </c>
      <c r="B171" s="41" t="s">
        <v>377</v>
      </c>
      <c r="C171" s="42" t="s">
        <v>372</v>
      </c>
      <c r="D171" s="42" t="s">
        <v>373</v>
      </c>
      <c r="E171" s="42" t="s">
        <v>374</v>
      </c>
      <c r="F171" s="42" t="s">
        <v>367</v>
      </c>
      <c r="G171" s="42" t="s">
        <v>331</v>
      </c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</row>
    <row r="172" spans="1:22" ht="15.75" customHeight="1" x14ac:dyDescent="0.2">
      <c r="A172" s="40">
        <v>1619</v>
      </c>
      <c r="B172" s="41" t="s">
        <v>264</v>
      </c>
      <c r="C172" s="42" t="s">
        <v>366</v>
      </c>
      <c r="D172" s="42" t="s">
        <v>325</v>
      </c>
      <c r="E172" s="42" t="s">
        <v>40</v>
      </c>
      <c r="F172" s="42" t="s">
        <v>367</v>
      </c>
      <c r="G172" s="42" t="s">
        <v>331</v>
      </c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</row>
    <row r="173" spans="1:22" ht="15.75" customHeight="1" x14ac:dyDescent="0.2">
      <c r="A173" s="40">
        <v>2891</v>
      </c>
      <c r="B173" s="41" t="s">
        <v>378</v>
      </c>
      <c r="C173" s="42" t="s">
        <v>375</v>
      </c>
      <c r="D173" s="42" t="s">
        <v>376</v>
      </c>
      <c r="E173" s="42" t="s">
        <v>18</v>
      </c>
      <c r="F173" s="42" t="s">
        <v>367</v>
      </c>
      <c r="G173" s="42" t="s">
        <v>331</v>
      </c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</row>
    <row r="174" spans="1:22" ht="15.75" customHeight="1" x14ac:dyDescent="0.2">
      <c r="A174" s="40"/>
      <c r="B174" s="45" t="s">
        <v>94</v>
      </c>
      <c r="C174" s="46" t="s">
        <v>379</v>
      </c>
      <c r="D174" s="46" t="s">
        <v>325</v>
      </c>
      <c r="E174" s="46" t="s">
        <v>79</v>
      </c>
      <c r="F174" s="46" t="s">
        <v>380</v>
      </c>
      <c r="G174" s="46" t="s">
        <v>381</v>
      </c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</row>
    <row r="175" spans="1:22" ht="15.75" customHeight="1" x14ac:dyDescent="0.2">
      <c r="A175" s="40">
        <v>393</v>
      </c>
      <c r="B175" s="41" t="s">
        <v>246</v>
      </c>
      <c r="C175" s="42" t="s">
        <v>382</v>
      </c>
      <c r="D175" s="42" t="s">
        <v>383</v>
      </c>
      <c r="E175" s="42" t="s">
        <v>384</v>
      </c>
      <c r="F175" s="42" t="s">
        <v>385</v>
      </c>
      <c r="G175" s="42" t="s">
        <v>381</v>
      </c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</row>
    <row r="176" spans="1:22" ht="15.75" customHeight="1" x14ac:dyDescent="0.2">
      <c r="A176" s="40">
        <v>1429</v>
      </c>
      <c r="B176" s="41" t="s">
        <v>386</v>
      </c>
      <c r="C176" s="42" t="s">
        <v>382</v>
      </c>
      <c r="D176" s="42" t="s">
        <v>383</v>
      </c>
      <c r="E176" s="42" t="s">
        <v>384</v>
      </c>
      <c r="F176" s="42" t="s">
        <v>385</v>
      </c>
      <c r="G176" s="42" t="s">
        <v>381</v>
      </c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</row>
    <row r="177" spans="1:22" ht="15.75" customHeight="1" x14ac:dyDescent="0.2">
      <c r="A177" s="40">
        <v>1911</v>
      </c>
      <c r="B177" s="41" t="s">
        <v>277</v>
      </c>
      <c r="C177" s="42" t="s">
        <v>382</v>
      </c>
      <c r="D177" s="42" t="s">
        <v>383</v>
      </c>
      <c r="E177" s="42" t="s">
        <v>384</v>
      </c>
      <c r="F177" s="42" t="s">
        <v>385</v>
      </c>
      <c r="G177" s="42" t="s">
        <v>381</v>
      </c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</row>
    <row r="178" spans="1:22" ht="15.75" customHeight="1" x14ac:dyDescent="0.2">
      <c r="A178" s="40"/>
      <c r="B178" s="45" t="s">
        <v>297</v>
      </c>
      <c r="C178" s="46" t="s">
        <v>387</v>
      </c>
      <c r="D178" s="46" t="s">
        <v>388</v>
      </c>
      <c r="E178" s="46" t="s">
        <v>389</v>
      </c>
      <c r="F178" s="46" t="s">
        <v>385</v>
      </c>
      <c r="G178" s="46" t="s">
        <v>381</v>
      </c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</row>
    <row r="179" spans="1:22" ht="15.75" customHeight="1" x14ac:dyDescent="0.2">
      <c r="A179" s="40"/>
      <c r="B179" s="45" t="s">
        <v>316</v>
      </c>
      <c r="C179" s="46" t="s">
        <v>387</v>
      </c>
      <c r="D179" s="46" t="s">
        <v>388</v>
      </c>
      <c r="E179" s="46" t="s">
        <v>389</v>
      </c>
      <c r="F179" s="46" t="s">
        <v>385</v>
      </c>
      <c r="G179" s="46" t="s">
        <v>381</v>
      </c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</row>
    <row r="180" spans="1:22" ht="15.75" customHeight="1" x14ac:dyDescent="0.2">
      <c r="A180" s="40"/>
      <c r="B180" s="45" t="s">
        <v>108</v>
      </c>
      <c r="C180" s="46" t="s">
        <v>387</v>
      </c>
      <c r="D180" s="46" t="s">
        <v>388</v>
      </c>
      <c r="E180" s="46" t="s">
        <v>389</v>
      </c>
      <c r="F180" s="46" t="s">
        <v>385</v>
      </c>
      <c r="G180" s="46" t="s">
        <v>381</v>
      </c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</row>
    <row r="181" spans="1:22" ht="15.75" customHeight="1" x14ac:dyDescent="0.2">
      <c r="A181" s="40"/>
      <c r="B181" s="45" t="s">
        <v>94</v>
      </c>
      <c r="C181" s="46" t="s">
        <v>387</v>
      </c>
      <c r="D181" s="46" t="s">
        <v>388</v>
      </c>
      <c r="E181" s="46" t="s">
        <v>389</v>
      </c>
      <c r="F181" s="46" t="s">
        <v>385</v>
      </c>
      <c r="G181" s="46" t="s">
        <v>381</v>
      </c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</row>
    <row r="182" spans="1:22" ht="15.75" customHeight="1" x14ac:dyDescent="0.2">
      <c r="A182" s="40"/>
      <c r="B182" s="45" t="s">
        <v>315</v>
      </c>
      <c r="C182" s="46" t="s">
        <v>390</v>
      </c>
      <c r="D182" s="46" t="s">
        <v>383</v>
      </c>
      <c r="E182" s="46" t="s">
        <v>310</v>
      </c>
      <c r="F182" s="46" t="s">
        <v>385</v>
      </c>
      <c r="G182" s="46" t="s">
        <v>381</v>
      </c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</row>
    <row r="183" spans="1:22" ht="15.75" customHeight="1" x14ac:dyDescent="0.2">
      <c r="A183" s="40"/>
      <c r="B183" s="45" t="s">
        <v>323</v>
      </c>
      <c r="C183" s="46" t="s">
        <v>390</v>
      </c>
      <c r="D183" s="46" t="s">
        <v>383</v>
      </c>
      <c r="E183" s="46" t="s">
        <v>310</v>
      </c>
      <c r="F183" s="46" t="s">
        <v>385</v>
      </c>
      <c r="G183" s="46" t="s">
        <v>381</v>
      </c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</row>
    <row r="184" spans="1:22" ht="15.75" customHeight="1" x14ac:dyDescent="0.2">
      <c r="A184" s="40"/>
      <c r="B184" s="45" t="s">
        <v>297</v>
      </c>
      <c r="C184" s="46" t="s">
        <v>391</v>
      </c>
      <c r="D184" s="46" t="s">
        <v>58</v>
      </c>
      <c r="E184" s="46" t="s">
        <v>79</v>
      </c>
      <c r="F184" s="46" t="s">
        <v>385</v>
      </c>
      <c r="G184" s="46" t="s">
        <v>381</v>
      </c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</row>
    <row r="185" spans="1:22" ht="15.75" customHeight="1" x14ac:dyDescent="0.2">
      <c r="A185" s="40"/>
      <c r="B185" s="45" t="s">
        <v>300</v>
      </c>
      <c r="C185" s="46" t="s">
        <v>391</v>
      </c>
      <c r="D185" s="46" t="s">
        <v>58</v>
      </c>
      <c r="E185" s="46" t="s">
        <v>79</v>
      </c>
      <c r="F185" s="46" t="s">
        <v>385</v>
      </c>
      <c r="G185" s="46" t="s">
        <v>381</v>
      </c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</row>
    <row r="186" spans="1:22" ht="15.75" customHeight="1" x14ac:dyDescent="0.2">
      <c r="A186" s="40"/>
      <c r="B186" s="45" t="s">
        <v>94</v>
      </c>
      <c r="C186" s="46" t="s">
        <v>391</v>
      </c>
      <c r="D186" s="46" t="s">
        <v>58</v>
      </c>
      <c r="E186" s="46" t="s">
        <v>79</v>
      </c>
      <c r="F186" s="46" t="s">
        <v>385</v>
      </c>
      <c r="G186" s="46" t="s">
        <v>381</v>
      </c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</row>
    <row r="187" spans="1:22" ht="15.75" customHeight="1" x14ac:dyDescent="0.2">
      <c r="A187" s="40"/>
      <c r="B187" s="45" t="s">
        <v>122</v>
      </c>
      <c r="C187" s="46" t="s">
        <v>392</v>
      </c>
      <c r="D187" s="46" t="s">
        <v>124</v>
      </c>
      <c r="E187" s="46" t="s">
        <v>393</v>
      </c>
      <c r="F187" s="46" t="s">
        <v>385</v>
      </c>
      <c r="G187" s="46" t="s">
        <v>381</v>
      </c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</row>
    <row r="188" spans="1:22" ht="15.75" customHeight="1" x14ac:dyDescent="0.2">
      <c r="A188" s="40"/>
      <c r="B188" s="45" t="s">
        <v>126</v>
      </c>
      <c r="C188" s="46" t="s">
        <v>392</v>
      </c>
      <c r="D188" s="46" t="s">
        <v>124</v>
      </c>
      <c r="E188" s="46" t="s">
        <v>393</v>
      </c>
      <c r="F188" s="46" t="s">
        <v>385</v>
      </c>
      <c r="G188" s="46" t="s">
        <v>381</v>
      </c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</row>
    <row r="189" spans="1:22" ht="15.75" customHeight="1" x14ac:dyDescent="0.2">
      <c r="A189" s="40"/>
      <c r="B189" s="45" t="s">
        <v>94</v>
      </c>
      <c r="C189" s="46" t="s">
        <v>392</v>
      </c>
      <c r="D189" s="46" t="s">
        <v>124</v>
      </c>
      <c r="E189" s="46" t="s">
        <v>393</v>
      </c>
      <c r="F189" s="46" t="s">
        <v>385</v>
      </c>
      <c r="G189" s="46" t="s">
        <v>381</v>
      </c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</row>
    <row r="190" spans="1:22" ht="15.75" customHeight="1" x14ac:dyDescent="0.2">
      <c r="A190" s="40"/>
      <c r="B190" s="45" t="s">
        <v>118</v>
      </c>
      <c r="C190" s="46" t="s">
        <v>394</v>
      </c>
      <c r="D190" s="46" t="s">
        <v>383</v>
      </c>
      <c r="E190" s="46" t="s">
        <v>112</v>
      </c>
      <c r="F190" s="46" t="s">
        <v>385</v>
      </c>
      <c r="G190" s="46" t="s">
        <v>381</v>
      </c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</row>
    <row r="191" spans="1:22" ht="15.75" customHeight="1" x14ac:dyDescent="0.2">
      <c r="A191" s="40"/>
      <c r="B191" s="45" t="s">
        <v>121</v>
      </c>
      <c r="C191" s="46" t="s">
        <v>394</v>
      </c>
      <c r="D191" s="46" t="s">
        <v>383</v>
      </c>
      <c r="E191" s="46" t="s">
        <v>112</v>
      </c>
      <c r="F191" s="46" t="s">
        <v>385</v>
      </c>
      <c r="G191" s="46" t="s">
        <v>381</v>
      </c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</row>
    <row r="192" spans="1:22" ht="15.75" customHeight="1" x14ac:dyDescent="0.2">
      <c r="A192" s="40"/>
      <c r="B192" s="45" t="s">
        <v>94</v>
      </c>
      <c r="C192" s="46" t="s">
        <v>394</v>
      </c>
      <c r="D192" s="46" t="s">
        <v>383</v>
      </c>
      <c r="E192" s="46" t="s">
        <v>112</v>
      </c>
      <c r="F192" s="46" t="s">
        <v>385</v>
      </c>
      <c r="G192" s="46" t="s">
        <v>381</v>
      </c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</row>
    <row r="193" spans="1:22" ht="15.75" customHeight="1" x14ac:dyDescent="0.2">
      <c r="A193" s="40"/>
      <c r="B193" s="45" t="s">
        <v>311</v>
      </c>
      <c r="C193" s="46" t="s">
        <v>395</v>
      </c>
      <c r="D193" s="46" t="s">
        <v>396</v>
      </c>
      <c r="E193" s="46" t="s">
        <v>397</v>
      </c>
      <c r="F193" s="46" t="s">
        <v>385</v>
      </c>
      <c r="G193" s="46" t="s">
        <v>381</v>
      </c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</row>
    <row r="194" spans="1:22" ht="15.75" customHeight="1" x14ac:dyDescent="0.2">
      <c r="A194" s="40"/>
      <c r="B194" s="45" t="s">
        <v>108</v>
      </c>
      <c r="C194" s="46" t="s">
        <v>395</v>
      </c>
      <c r="D194" s="46" t="s">
        <v>396</v>
      </c>
      <c r="E194" s="46" t="s">
        <v>397</v>
      </c>
      <c r="F194" s="46" t="s">
        <v>385</v>
      </c>
      <c r="G194" s="46" t="s">
        <v>381</v>
      </c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</row>
    <row r="195" spans="1:22" ht="15.75" customHeight="1" x14ac:dyDescent="0.2">
      <c r="A195" s="40"/>
      <c r="B195" s="45" t="s">
        <v>303</v>
      </c>
      <c r="C195" s="46" t="s">
        <v>395</v>
      </c>
      <c r="D195" s="46" t="s">
        <v>396</v>
      </c>
      <c r="E195" s="46" t="s">
        <v>397</v>
      </c>
      <c r="F195" s="46" t="s">
        <v>385</v>
      </c>
      <c r="G195" s="46" t="s">
        <v>381</v>
      </c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</row>
    <row r="196" spans="1:22" ht="15.75" customHeight="1" x14ac:dyDescent="0.2">
      <c r="A196" s="40"/>
      <c r="B196" s="45" t="s">
        <v>94</v>
      </c>
      <c r="C196" s="46" t="s">
        <v>395</v>
      </c>
      <c r="D196" s="46" t="s">
        <v>396</v>
      </c>
      <c r="E196" s="46" t="s">
        <v>397</v>
      </c>
      <c r="F196" s="46" t="s">
        <v>385</v>
      </c>
      <c r="G196" s="46" t="s">
        <v>381</v>
      </c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</row>
    <row r="197" spans="1:22" ht="15.75" customHeight="1" x14ac:dyDescent="0.2">
      <c r="A197" s="40"/>
      <c r="B197" s="45" t="s">
        <v>316</v>
      </c>
      <c r="C197" s="46" t="s">
        <v>398</v>
      </c>
      <c r="D197" s="46" t="s">
        <v>399</v>
      </c>
      <c r="E197" s="46" t="s">
        <v>91</v>
      </c>
      <c r="F197" s="46" t="s">
        <v>385</v>
      </c>
      <c r="G197" s="46" t="s">
        <v>381</v>
      </c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</row>
    <row r="198" spans="1:22" ht="15.75" customHeight="1" x14ac:dyDescent="0.2">
      <c r="A198" s="40"/>
      <c r="B198" s="45" t="s">
        <v>108</v>
      </c>
      <c r="C198" s="46" t="s">
        <v>398</v>
      </c>
      <c r="D198" s="46" t="s">
        <v>399</v>
      </c>
      <c r="E198" s="46" t="s">
        <v>91</v>
      </c>
      <c r="F198" s="46" t="s">
        <v>385</v>
      </c>
      <c r="G198" s="46" t="s">
        <v>381</v>
      </c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</row>
    <row r="199" spans="1:22" ht="15.75" customHeight="1" x14ac:dyDescent="0.2">
      <c r="A199" s="40"/>
      <c r="B199" s="45" t="s">
        <v>303</v>
      </c>
      <c r="C199" s="46" t="s">
        <v>398</v>
      </c>
      <c r="D199" s="46" t="s">
        <v>399</v>
      </c>
      <c r="E199" s="46" t="s">
        <v>91</v>
      </c>
      <c r="F199" s="46" t="s">
        <v>385</v>
      </c>
      <c r="G199" s="46" t="s">
        <v>381</v>
      </c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</row>
    <row r="200" spans="1:22" ht="15.75" customHeight="1" x14ac:dyDescent="0.2">
      <c r="A200" s="40"/>
      <c r="B200" s="45" t="s">
        <v>94</v>
      </c>
      <c r="C200" s="46" t="s">
        <v>398</v>
      </c>
      <c r="D200" s="46" t="s">
        <v>399</v>
      </c>
      <c r="E200" s="46" t="s">
        <v>91</v>
      </c>
      <c r="F200" s="46" t="s">
        <v>385</v>
      </c>
      <c r="G200" s="46" t="s">
        <v>381</v>
      </c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</row>
    <row r="201" spans="1:22" ht="15.75" customHeight="1" x14ac:dyDescent="0.2">
      <c r="A201" s="40"/>
      <c r="B201" s="45" t="s">
        <v>114</v>
      </c>
      <c r="C201" s="46" t="s">
        <v>400</v>
      </c>
      <c r="D201" s="46" t="s">
        <v>120</v>
      </c>
      <c r="E201" s="46" t="s">
        <v>32</v>
      </c>
      <c r="F201" s="46" t="s">
        <v>385</v>
      </c>
      <c r="G201" s="46" t="s">
        <v>381</v>
      </c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</row>
    <row r="202" spans="1:22" ht="15.75" customHeight="1" x14ac:dyDescent="0.2">
      <c r="A202" s="40"/>
      <c r="B202" s="45" t="s">
        <v>117</v>
      </c>
      <c r="C202" s="46" t="s">
        <v>400</v>
      </c>
      <c r="D202" s="46" t="s">
        <v>120</v>
      </c>
      <c r="E202" s="46" t="s">
        <v>32</v>
      </c>
      <c r="F202" s="46" t="s">
        <v>385</v>
      </c>
      <c r="G202" s="46" t="s">
        <v>381</v>
      </c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</row>
    <row r="203" spans="1:22" ht="15.75" customHeight="1" x14ac:dyDescent="0.2">
      <c r="A203" s="40"/>
      <c r="B203" s="45" t="s">
        <v>108</v>
      </c>
      <c r="C203" s="46" t="s">
        <v>400</v>
      </c>
      <c r="D203" s="46" t="s">
        <v>120</v>
      </c>
      <c r="E203" s="46" t="s">
        <v>32</v>
      </c>
      <c r="F203" s="46" t="s">
        <v>385</v>
      </c>
      <c r="G203" s="46" t="s">
        <v>381</v>
      </c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</row>
    <row r="204" spans="1:22" ht="15.75" customHeight="1" x14ac:dyDescent="0.2">
      <c r="A204" s="40"/>
      <c r="B204" s="45" t="s">
        <v>94</v>
      </c>
      <c r="C204" s="46" t="s">
        <v>400</v>
      </c>
      <c r="D204" s="46" t="s">
        <v>120</v>
      </c>
      <c r="E204" s="46" t="s">
        <v>32</v>
      </c>
      <c r="F204" s="46" t="s">
        <v>385</v>
      </c>
      <c r="G204" s="46" t="s">
        <v>381</v>
      </c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</row>
    <row r="205" spans="1:22" ht="15.75" customHeight="1" x14ac:dyDescent="0.2">
      <c r="A205" s="40">
        <v>95</v>
      </c>
      <c r="B205" s="41" t="s">
        <v>226</v>
      </c>
      <c r="C205" s="42" t="s">
        <v>401</v>
      </c>
      <c r="D205" s="42" t="s">
        <v>402</v>
      </c>
      <c r="E205" s="42" t="s">
        <v>403</v>
      </c>
      <c r="F205" s="42" t="s">
        <v>404</v>
      </c>
      <c r="G205" s="42" t="s">
        <v>381</v>
      </c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</row>
    <row r="206" spans="1:22" ht="15.75" customHeight="1" x14ac:dyDescent="0.2">
      <c r="A206" s="40">
        <v>781</v>
      </c>
      <c r="B206" s="41" t="s">
        <v>405</v>
      </c>
      <c r="C206" s="42" t="s">
        <v>406</v>
      </c>
      <c r="D206" s="42" t="s">
        <v>407</v>
      </c>
      <c r="E206" s="42" t="s">
        <v>408</v>
      </c>
      <c r="F206" s="42" t="s">
        <v>409</v>
      </c>
      <c r="G206" s="42" t="s">
        <v>410</v>
      </c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</row>
    <row r="207" spans="1:22" ht="15.75" customHeight="1" x14ac:dyDescent="0.2">
      <c r="A207" s="40">
        <v>17</v>
      </c>
      <c r="B207" s="41" t="s">
        <v>411</v>
      </c>
      <c r="C207" s="42" t="s">
        <v>412</v>
      </c>
      <c r="D207" s="42" t="s">
        <v>73</v>
      </c>
      <c r="E207" s="42" t="s">
        <v>413</v>
      </c>
      <c r="F207" s="42" t="s">
        <v>414</v>
      </c>
      <c r="G207" s="42" t="s">
        <v>410</v>
      </c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</row>
    <row r="208" spans="1:22" ht="15.75" customHeight="1" x14ac:dyDescent="0.2">
      <c r="A208" s="40">
        <v>109</v>
      </c>
      <c r="B208" s="41" t="s">
        <v>415</v>
      </c>
      <c r="C208" s="42" t="s">
        <v>412</v>
      </c>
      <c r="D208" s="42" t="s">
        <v>73</v>
      </c>
      <c r="E208" s="42" t="s">
        <v>413</v>
      </c>
      <c r="F208" s="42" t="s">
        <v>414</v>
      </c>
      <c r="G208" s="42" t="s">
        <v>410</v>
      </c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</row>
    <row r="209" spans="1:22" ht="15.75" customHeight="1" x14ac:dyDescent="0.2">
      <c r="A209" s="40"/>
      <c r="B209" s="45" t="s">
        <v>102</v>
      </c>
      <c r="C209" s="46" t="s">
        <v>416</v>
      </c>
      <c r="D209" s="46" t="s">
        <v>353</v>
      </c>
      <c r="E209" s="46" t="s">
        <v>251</v>
      </c>
      <c r="F209" s="46" t="s">
        <v>414</v>
      </c>
      <c r="G209" s="46" t="s">
        <v>410</v>
      </c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</row>
    <row r="210" spans="1:22" ht="15.75" customHeight="1" x14ac:dyDescent="0.2">
      <c r="A210" s="40"/>
      <c r="B210" s="45" t="s">
        <v>303</v>
      </c>
      <c r="C210" s="46" t="s">
        <v>412</v>
      </c>
      <c r="D210" s="46" t="s">
        <v>73</v>
      </c>
      <c r="E210" s="46" t="s">
        <v>413</v>
      </c>
      <c r="F210" s="46" t="s">
        <v>414</v>
      </c>
      <c r="G210" s="46" t="s">
        <v>410</v>
      </c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</row>
    <row r="211" spans="1:22" ht="15.75" customHeight="1" x14ac:dyDescent="0.2">
      <c r="A211" s="40"/>
      <c r="B211" s="45" t="s">
        <v>307</v>
      </c>
      <c r="C211" s="46" t="s">
        <v>417</v>
      </c>
      <c r="D211" s="46" t="s">
        <v>21</v>
      </c>
      <c r="E211" s="46" t="s">
        <v>306</v>
      </c>
      <c r="F211" s="46" t="s">
        <v>418</v>
      </c>
      <c r="G211" s="46" t="s">
        <v>419</v>
      </c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</row>
    <row r="212" spans="1:22" ht="15.75" customHeight="1" x14ac:dyDescent="0.2">
      <c r="A212" s="40"/>
      <c r="B212" s="45" t="s">
        <v>232</v>
      </c>
      <c r="C212" s="46" t="s">
        <v>417</v>
      </c>
      <c r="D212" s="46" t="s">
        <v>21</v>
      </c>
      <c r="E212" s="46" t="s">
        <v>306</v>
      </c>
      <c r="F212" s="46" t="s">
        <v>418</v>
      </c>
      <c r="G212" s="46" t="s">
        <v>419</v>
      </c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</row>
    <row r="213" spans="1:22" ht="15.75" customHeight="1" x14ac:dyDescent="0.2">
      <c r="A213" s="40"/>
      <c r="B213" s="45" t="s">
        <v>307</v>
      </c>
      <c r="C213" s="46" t="s">
        <v>420</v>
      </c>
      <c r="D213" s="46" t="s">
        <v>28</v>
      </c>
      <c r="E213" s="46" t="s">
        <v>32</v>
      </c>
      <c r="F213" s="46" t="s">
        <v>418</v>
      </c>
      <c r="G213" s="46" t="s">
        <v>419</v>
      </c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</row>
    <row r="214" spans="1:22" ht="15.75" customHeight="1" x14ac:dyDescent="0.2">
      <c r="A214" s="40"/>
      <c r="B214" s="45" t="s">
        <v>311</v>
      </c>
      <c r="C214" s="46" t="s">
        <v>420</v>
      </c>
      <c r="D214" s="46" t="s">
        <v>28</v>
      </c>
      <c r="E214" s="46" t="s">
        <v>32</v>
      </c>
      <c r="F214" s="46" t="s">
        <v>418</v>
      </c>
      <c r="G214" s="46" t="s">
        <v>419</v>
      </c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</row>
    <row r="215" spans="1:22" ht="15.75" customHeight="1" x14ac:dyDescent="0.2">
      <c r="A215" s="40"/>
      <c r="B215" s="45" t="s">
        <v>421</v>
      </c>
      <c r="C215" s="46" t="s">
        <v>422</v>
      </c>
      <c r="D215" s="46" t="s">
        <v>292</v>
      </c>
      <c r="E215" s="46" t="s">
        <v>125</v>
      </c>
      <c r="F215" s="46" t="s">
        <v>418</v>
      </c>
      <c r="G215" s="46" t="s">
        <v>419</v>
      </c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</row>
    <row r="216" spans="1:22" ht="15.75" customHeight="1" x14ac:dyDescent="0.2">
      <c r="A216" s="40"/>
      <c r="B216" s="45" t="s">
        <v>307</v>
      </c>
      <c r="C216" s="46" t="s">
        <v>422</v>
      </c>
      <c r="D216" s="46" t="s">
        <v>292</v>
      </c>
      <c r="E216" s="46" t="s">
        <v>125</v>
      </c>
      <c r="F216" s="46" t="s">
        <v>418</v>
      </c>
      <c r="G216" s="46" t="s">
        <v>419</v>
      </c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</row>
    <row r="217" spans="1:22" ht="15.75" customHeight="1" x14ac:dyDescent="0.2">
      <c r="A217" s="40"/>
      <c r="B217" s="45" t="s">
        <v>121</v>
      </c>
      <c r="C217" s="46" t="s">
        <v>423</v>
      </c>
      <c r="D217" s="46" t="s">
        <v>58</v>
      </c>
      <c r="E217" s="46" t="s">
        <v>424</v>
      </c>
      <c r="F217" s="46" t="s">
        <v>418</v>
      </c>
      <c r="G217" s="46" t="s">
        <v>419</v>
      </c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</row>
    <row r="218" spans="1:22" ht="15.75" customHeight="1" x14ac:dyDescent="0.2">
      <c r="A218" s="40"/>
      <c r="B218" s="45" t="s">
        <v>315</v>
      </c>
      <c r="C218" s="46" t="s">
        <v>423</v>
      </c>
      <c r="D218" s="46" t="s">
        <v>58</v>
      </c>
      <c r="E218" s="46" t="s">
        <v>424</v>
      </c>
      <c r="F218" s="46" t="s">
        <v>418</v>
      </c>
      <c r="G218" s="46" t="s">
        <v>419</v>
      </c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</row>
    <row r="219" spans="1:22" ht="15.75" customHeight="1" x14ac:dyDescent="0.2">
      <c r="A219" s="40"/>
      <c r="B219" s="45" t="s">
        <v>126</v>
      </c>
      <c r="C219" s="46" t="s">
        <v>425</v>
      </c>
      <c r="D219" s="46" t="s">
        <v>426</v>
      </c>
      <c r="E219" s="46" t="s">
        <v>91</v>
      </c>
      <c r="F219" s="46" t="s">
        <v>418</v>
      </c>
      <c r="G219" s="46" t="s">
        <v>419</v>
      </c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</row>
    <row r="220" spans="1:22" ht="15.75" customHeight="1" x14ac:dyDescent="0.2">
      <c r="A220" s="40"/>
      <c r="B220" s="45" t="s">
        <v>131</v>
      </c>
      <c r="C220" s="46" t="s">
        <v>425</v>
      </c>
      <c r="D220" s="46" t="s">
        <v>426</v>
      </c>
      <c r="E220" s="46" t="s">
        <v>91</v>
      </c>
      <c r="F220" s="46" t="s">
        <v>418</v>
      </c>
      <c r="G220" s="46" t="s">
        <v>419</v>
      </c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</row>
    <row r="221" spans="1:22" ht="15.75" customHeight="1" x14ac:dyDescent="0.2">
      <c r="A221" s="40"/>
      <c r="B221" s="45" t="s">
        <v>311</v>
      </c>
      <c r="C221" s="46" t="s">
        <v>427</v>
      </c>
      <c r="D221" s="46" t="s">
        <v>58</v>
      </c>
      <c r="E221" s="46" t="s">
        <v>32</v>
      </c>
      <c r="F221" s="46" t="s">
        <v>418</v>
      </c>
      <c r="G221" s="46" t="s">
        <v>419</v>
      </c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</row>
    <row r="222" spans="1:22" ht="15.75" customHeight="1" x14ac:dyDescent="0.2">
      <c r="A222" s="40"/>
      <c r="B222" s="45" t="s">
        <v>114</v>
      </c>
      <c r="C222" s="46" t="s">
        <v>427</v>
      </c>
      <c r="D222" s="46" t="s">
        <v>58</v>
      </c>
      <c r="E222" s="46" t="s">
        <v>32</v>
      </c>
      <c r="F222" s="46" t="s">
        <v>418</v>
      </c>
      <c r="G222" s="46" t="s">
        <v>419</v>
      </c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</row>
    <row r="223" spans="1:22" ht="15.75" customHeight="1" x14ac:dyDescent="0.2">
      <c r="A223" s="40"/>
      <c r="B223" s="45" t="s">
        <v>311</v>
      </c>
      <c r="C223" s="46" t="s">
        <v>427</v>
      </c>
      <c r="D223" s="46" t="s">
        <v>325</v>
      </c>
      <c r="E223" s="46" t="s">
        <v>32</v>
      </c>
      <c r="F223" s="46" t="s">
        <v>418</v>
      </c>
      <c r="G223" s="46" t="s">
        <v>419</v>
      </c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</row>
    <row r="224" spans="1:22" ht="15.75" customHeight="1" x14ac:dyDescent="0.2">
      <c r="A224" s="40"/>
      <c r="B224" s="45" t="s">
        <v>114</v>
      </c>
      <c r="C224" s="46" t="s">
        <v>427</v>
      </c>
      <c r="D224" s="46" t="s">
        <v>325</v>
      </c>
      <c r="E224" s="46" t="s">
        <v>32</v>
      </c>
      <c r="F224" s="46" t="s">
        <v>418</v>
      </c>
      <c r="G224" s="46" t="s">
        <v>419</v>
      </c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</row>
    <row r="225" spans="1:22" ht="15.75" customHeight="1" x14ac:dyDescent="0.2">
      <c r="A225" s="40">
        <v>611</v>
      </c>
      <c r="B225" s="41" t="s">
        <v>428</v>
      </c>
      <c r="C225" s="42" t="s">
        <v>429</v>
      </c>
      <c r="D225" s="42" t="s">
        <v>430</v>
      </c>
      <c r="E225" s="42" t="s">
        <v>259</v>
      </c>
      <c r="F225" s="42" t="s">
        <v>431</v>
      </c>
      <c r="G225" s="42" t="s">
        <v>432</v>
      </c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</row>
    <row r="226" spans="1:22" ht="15.75" customHeight="1" x14ac:dyDescent="0.2">
      <c r="A226" s="40">
        <v>1157</v>
      </c>
      <c r="B226" s="41" t="s">
        <v>433</v>
      </c>
      <c r="C226" s="42" t="s">
        <v>429</v>
      </c>
      <c r="D226" s="42" t="s">
        <v>430</v>
      </c>
      <c r="E226" s="42" t="s">
        <v>259</v>
      </c>
      <c r="F226" s="42" t="s">
        <v>431</v>
      </c>
      <c r="G226" s="42" t="s">
        <v>432</v>
      </c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</row>
    <row r="227" spans="1:22" ht="15.75" customHeight="1" x14ac:dyDescent="0.2">
      <c r="A227" s="40">
        <v>2507</v>
      </c>
      <c r="B227" s="41" t="s">
        <v>434</v>
      </c>
      <c r="C227" s="42" t="s">
        <v>429</v>
      </c>
      <c r="D227" s="42" t="s">
        <v>430</v>
      </c>
      <c r="E227" s="42" t="s">
        <v>259</v>
      </c>
      <c r="F227" s="42" t="s">
        <v>431</v>
      </c>
      <c r="G227" s="42" t="s">
        <v>432</v>
      </c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</row>
    <row r="228" spans="1:22" ht="15.75" customHeight="1" x14ac:dyDescent="0.2">
      <c r="A228" s="40">
        <v>1657</v>
      </c>
      <c r="B228" s="41" t="s">
        <v>435</v>
      </c>
      <c r="C228" s="42" t="s">
        <v>436</v>
      </c>
      <c r="D228" s="42" t="s">
        <v>437</v>
      </c>
      <c r="E228" s="42" t="s">
        <v>337</v>
      </c>
      <c r="F228" s="42" t="s">
        <v>431</v>
      </c>
      <c r="G228" s="42" t="s">
        <v>432</v>
      </c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</row>
    <row r="229" spans="1:22" ht="15.75" customHeight="1" x14ac:dyDescent="0.2">
      <c r="A229" s="40">
        <v>601</v>
      </c>
      <c r="B229" s="41" t="s">
        <v>428</v>
      </c>
      <c r="C229" s="42" t="s">
        <v>438</v>
      </c>
      <c r="D229" s="42" t="s">
        <v>104</v>
      </c>
      <c r="E229" s="42" t="s">
        <v>259</v>
      </c>
      <c r="F229" s="42" t="s">
        <v>431</v>
      </c>
      <c r="G229" s="42" t="s">
        <v>432</v>
      </c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</row>
    <row r="230" spans="1:22" ht="15.75" customHeight="1" x14ac:dyDescent="0.2">
      <c r="A230" s="40">
        <v>1149</v>
      </c>
      <c r="B230" s="41" t="s">
        <v>433</v>
      </c>
      <c r="C230" s="42" t="s">
        <v>438</v>
      </c>
      <c r="D230" s="42" t="s">
        <v>104</v>
      </c>
      <c r="E230" s="42" t="s">
        <v>259</v>
      </c>
      <c r="F230" s="42" t="s">
        <v>431</v>
      </c>
      <c r="G230" s="42" t="s">
        <v>432</v>
      </c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</row>
    <row r="231" spans="1:22" ht="15.75" customHeight="1" x14ac:dyDescent="0.2">
      <c r="A231" s="40">
        <v>1825</v>
      </c>
      <c r="B231" s="41" t="s">
        <v>439</v>
      </c>
      <c r="C231" s="42" t="s">
        <v>438</v>
      </c>
      <c r="D231" s="42" t="s">
        <v>104</v>
      </c>
      <c r="E231" s="42" t="s">
        <v>259</v>
      </c>
      <c r="F231" s="42" t="s">
        <v>431</v>
      </c>
      <c r="G231" s="42" t="s">
        <v>432</v>
      </c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</row>
    <row r="232" spans="1:22" ht="15.75" customHeight="1" x14ac:dyDescent="0.2">
      <c r="A232" s="40">
        <v>1665</v>
      </c>
      <c r="B232" s="41" t="s">
        <v>435</v>
      </c>
      <c r="C232" s="42" t="s">
        <v>440</v>
      </c>
      <c r="D232" s="42" t="s">
        <v>441</v>
      </c>
      <c r="E232" s="42" t="s">
        <v>40</v>
      </c>
      <c r="F232" s="42" t="s">
        <v>431</v>
      </c>
      <c r="G232" s="42" t="s">
        <v>432</v>
      </c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</row>
    <row r="233" spans="1:22" ht="15.75" customHeight="1" x14ac:dyDescent="0.2">
      <c r="A233" s="40">
        <v>1943</v>
      </c>
      <c r="B233" s="41" t="s">
        <v>278</v>
      </c>
      <c r="C233" s="42" t="s">
        <v>440</v>
      </c>
      <c r="D233" s="42" t="s">
        <v>441</v>
      </c>
      <c r="E233" s="42" t="s">
        <v>40</v>
      </c>
      <c r="F233" s="42" t="s">
        <v>431</v>
      </c>
      <c r="G233" s="42" t="s">
        <v>432</v>
      </c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</row>
    <row r="234" spans="1:22" ht="15.75" customHeight="1" x14ac:dyDescent="0.2">
      <c r="A234" s="40">
        <v>1791</v>
      </c>
      <c r="B234" s="41" t="s">
        <v>442</v>
      </c>
      <c r="C234" s="42" t="s">
        <v>443</v>
      </c>
      <c r="D234" s="42" t="s">
        <v>124</v>
      </c>
      <c r="E234" s="42" t="s">
        <v>393</v>
      </c>
      <c r="F234" s="42" t="s">
        <v>431</v>
      </c>
      <c r="G234" s="42" t="s">
        <v>432</v>
      </c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</row>
    <row r="235" spans="1:22" ht="15.75" customHeight="1" x14ac:dyDescent="0.2">
      <c r="A235" s="40">
        <v>2499</v>
      </c>
      <c r="B235" s="41" t="s">
        <v>444</v>
      </c>
      <c r="C235" s="42" t="s">
        <v>443</v>
      </c>
      <c r="D235" s="42" t="s">
        <v>124</v>
      </c>
      <c r="E235" s="42" t="s">
        <v>393</v>
      </c>
      <c r="F235" s="42" t="s">
        <v>431</v>
      </c>
      <c r="G235" s="42" t="s">
        <v>432</v>
      </c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</row>
    <row r="236" spans="1:22" ht="15.75" customHeight="1" x14ac:dyDescent="0.2">
      <c r="A236" s="40">
        <v>483</v>
      </c>
      <c r="B236" s="41" t="s">
        <v>445</v>
      </c>
      <c r="C236" s="42" t="s">
        <v>446</v>
      </c>
      <c r="D236" s="42" t="s">
        <v>447</v>
      </c>
      <c r="E236" s="42" t="s">
        <v>448</v>
      </c>
      <c r="F236" s="42" t="s">
        <v>431</v>
      </c>
      <c r="G236" s="42" t="s">
        <v>432</v>
      </c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</row>
    <row r="237" spans="1:22" ht="15.75" customHeight="1" x14ac:dyDescent="0.2">
      <c r="A237" s="40">
        <v>599</v>
      </c>
      <c r="B237" s="41" t="s">
        <v>428</v>
      </c>
      <c r="C237" s="42" t="s">
        <v>446</v>
      </c>
      <c r="D237" s="42" t="s">
        <v>447</v>
      </c>
      <c r="E237" s="42" t="s">
        <v>448</v>
      </c>
      <c r="F237" s="42" t="s">
        <v>431</v>
      </c>
      <c r="G237" s="42" t="s">
        <v>432</v>
      </c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</row>
    <row r="238" spans="1:22" ht="15.75" customHeight="1" x14ac:dyDescent="0.2">
      <c r="A238" s="40">
        <v>1125</v>
      </c>
      <c r="B238" s="41" t="s">
        <v>449</v>
      </c>
      <c r="C238" s="42" t="s">
        <v>446</v>
      </c>
      <c r="D238" s="42" t="s">
        <v>447</v>
      </c>
      <c r="E238" s="42" t="s">
        <v>448</v>
      </c>
      <c r="F238" s="42" t="s">
        <v>431</v>
      </c>
      <c r="G238" s="42" t="s">
        <v>432</v>
      </c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</row>
    <row r="239" spans="1:22" ht="15.75" customHeight="1" x14ac:dyDescent="0.2">
      <c r="A239" s="40">
        <v>245</v>
      </c>
      <c r="B239" s="41" t="s">
        <v>243</v>
      </c>
      <c r="C239" s="42" t="s">
        <v>450</v>
      </c>
      <c r="D239" s="42" t="s">
        <v>451</v>
      </c>
      <c r="E239" s="42" t="s">
        <v>452</v>
      </c>
      <c r="F239" s="42" t="s">
        <v>431</v>
      </c>
      <c r="G239" s="42" t="s">
        <v>432</v>
      </c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</row>
    <row r="240" spans="1:22" ht="15.75" customHeight="1" x14ac:dyDescent="0.2">
      <c r="A240" s="40">
        <v>1265</v>
      </c>
      <c r="B240" s="41" t="s">
        <v>453</v>
      </c>
      <c r="C240" s="42" t="s">
        <v>450</v>
      </c>
      <c r="D240" s="42" t="s">
        <v>451</v>
      </c>
      <c r="E240" s="42" t="s">
        <v>452</v>
      </c>
      <c r="F240" s="42" t="s">
        <v>431</v>
      </c>
      <c r="G240" s="42" t="s">
        <v>432</v>
      </c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</row>
    <row r="241" spans="1:22" ht="15.75" customHeight="1" x14ac:dyDescent="0.2">
      <c r="A241" s="40">
        <v>1771</v>
      </c>
      <c r="B241" s="41" t="s">
        <v>442</v>
      </c>
      <c r="C241" s="42" t="s">
        <v>450</v>
      </c>
      <c r="D241" s="42" t="s">
        <v>451</v>
      </c>
      <c r="E241" s="42" t="s">
        <v>452</v>
      </c>
      <c r="F241" s="42" t="s">
        <v>431</v>
      </c>
      <c r="G241" s="42" t="s">
        <v>432</v>
      </c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</row>
    <row r="242" spans="1:22" ht="15.75" customHeight="1" x14ac:dyDescent="0.2">
      <c r="A242" s="40">
        <v>863</v>
      </c>
      <c r="B242" s="41" t="s">
        <v>454</v>
      </c>
      <c r="C242" s="42" t="s">
        <v>455</v>
      </c>
      <c r="D242" s="42" t="s">
        <v>456</v>
      </c>
      <c r="E242" s="42" t="s">
        <v>457</v>
      </c>
      <c r="F242" s="42" t="s">
        <v>431</v>
      </c>
      <c r="G242" s="42" t="s">
        <v>432</v>
      </c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</row>
    <row r="243" spans="1:22" ht="15.75" customHeight="1" x14ac:dyDescent="0.2">
      <c r="A243" s="40">
        <v>1061</v>
      </c>
      <c r="B243" s="41" t="s">
        <v>458</v>
      </c>
      <c r="C243" s="42" t="s">
        <v>455</v>
      </c>
      <c r="D243" s="42" t="s">
        <v>75</v>
      </c>
      <c r="E243" s="42" t="s">
        <v>457</v>
      </c>
      <c r="F243" s="42" t="s">
        <v>431</v>
      </c>
      <c r="G243" s="42" t="s">
        <v>432</v>
      </c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</row>
    <row r="244" spans="1:22" ht="15.75" customHeight="1" x14ac:dyDescent="0.2">
      <c r="A244" s="40">
        <v>1753</v>
      </c>
      <c r="B244" s="41" t="s">
        <v>459</v>
      </c>
      <c r="C244" s="42" t="s">
        <v>455</v>
      </c>
      <c r="D244" s="42" t="s">
        <v>75</v>
      </c>
      <c r="E244" s="42" t="s">
        <v>457</v>
      </c>
      <c r="F244" s="42" t="s">
        <v>431</v>
      </c>
      <c r="G244" s="42" t="s">
        <v>432</v>
      </c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</row>
    <row r="245" spans="1:22" ht="15.75" customHeight="1" x14ac:dyDescent="0.2">
      <c r="A245" s="40">
        <v>141</v>
      </c>
      <c r="B245" s="41" t="s">
        <v>460</v>
      </c>
      <c r="C245" s="42" t="s">
        <v>461</v>
      </c>
      <c r="D245" s="42" t="s">
        <v>462</v>
      </c>
      <c r="E245" s="42" t="s">
        <v>463</v>
      </c>
      <c r="F245" s="42" t="s">
        <v>431</v>
      </c>
      <c r="G245" s="42" t="s">
        <v>432</v>
      </c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</row>
    <row r="246" spans="1:22" ht="15.75" customHeight="1" x14ac:dyDescent="0.2">
      <c r="A246" s="40">
        <v>1031</v>
      </c>
      <c r="B246" s="41" t="s">
        <v>464</v>
      </c>
      <c r="C246" s="42" t="s">
        <v>461</v>
      </c>
      <c r="D246" s="42" t="s">
        <v>462</v>
      </c>
      <c r="E246" s="42" t="s">
        <v>463</v>
      </c>
      <c r="F246" s="42" t="s">
        <v>431</v>
      </c>
      <c r="G246" s="42" t="s">
        <v>432</v>
      </c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</row>
    <row r="247" spans="1:22" ht="15.75" customHeight="1" x14ac:dyDescent="0.2">
      <c r="A247" s="40">
        <v>1725</v>
      </c>
      <c r="B247" s="41" t="s">
        <v>465</v>
      </c>
      <c r="C247" s="42" t="s">
        <v>461</v>
      </c>
      <c r="D247" s="42" t="s">
        <v>462</v>
      </c>
      <c r="E247" s="42" t="s">
        <v>463</v>
      </c>
      <c r="F247" s="42" t="s">
        <v>431</v>
      </c>
      <c r="G247" s="42" t="s">
        <v>432</v>
      </c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</row>
    <row r="248" spans="1:22" ht="15.75" customHeight="1" x14ac:dyDescent="0.2">
      <c r="A248" s="40"/>
      <c r="B248" s="52" t="s">
        <v>466</v>
      </c>
      <c r="C248" s="45" t="s">
        <v>467</v>
      </c>
      <c r="D248" s="46" t="s">
        <v>468</v>
      </c>
      <c r="E248" s="46" t="s">
        <v>134</v>
      </c>
      <c r="F248" s="46" t="s">
        <v>469</v>
      </c>
      <c r="G248" s="46" t="s">
        <v>432</v>
      </c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</row>
    <row r="249" spans="1:22" ht="15.75" customHeight="1" x14ac:dyDescent="0.2">
      <c r="A249" s="40"/>
      <c r="B249" s="45" t="s">
        <v>126</v>
      </c>
      <c r="C249" s="46" t="s">
        <v>470</v>
      </c>
      <c r="D249" s="46" t="s">
        <v>471</v>
      </c>
      <c r="E249" s="46" t="s">
        <v>348</v>
      </c>
      <c r="F249" s="46" t="s">
        <v>472</v>
      </c>
      <c r="G249" s="46" t="s">
        <v>432</v>
      </c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</row>
    <row r="250" spans="1:22" ht="15.75" customHeight="1" x14ac:dyDescent="0.2">
      <c r="A250" s="40"/>
      <c r="B250" s="45" t="s">
        <v>296</v>
      </c>
      <c r="C250" s="46" t="s">
        <v>473</v>
      </c>
      <c r="D250" s="46" t="s">
        <v>474</v>
      </c>
      <c r="E250" s="46" t="s">
        <v>319</v>
      </c>
      <c r="F250" s="46" t="s">
        <v>472</v>
      </c>
      <c r="G250" s="46" t="s">
        <v>432</v>
      </c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</row>
    <row r="251" spans="1:22" ht="15.75" customHeight="1" x14ac:dyDescent="0.2">
      <c r="A251" s="40"/>
      <c r="B251" s="45" t="s">
        <v>307</v>
      </c>
      <c r="C251" s="46" t="s">
        <v>475</v>
      </c>
      <c r="D251" s="46" t="s">
        <v>476</v>
      </c>
      <c r="E251" s="46" t="s">
        <v>302</v>
      </c>
      <c r="F251" s="46" t="s">
        <v>472</v>
      </c>
      <c r="G251" s="46" t="s">
        <v>432</v>
      </c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</row>
    <row r="252" spans="1:22" ht="15.75" customHeight="1" x14ac:dyDescent="0.2">
      <c r="A252" s="40"/>
      <c r="B252" s="45" t="s">
        <v>109</v>
      </c>
      <c r="C252" s="46" t="s">
        <v>440</v>
      </c>
      <c r="D252" s="46" t="s">
        <v>78</v>
      </c>
      <c r="E252" s="46" t="s">
        <v>40</v>
      </c>
      <c r="F252" s="46" t="s">
        <v>472</v>
      </c>
      <c r="G252" s="46" t="s">
        <v>432</v>
      </c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</row>
    <row r="253" spans="1:22" ht="15.75" customHeight="1" x14ac:dyDescent="0.2">
      <c r="A253" s="40"/>
      <c r="B253" s="45" t="s">
        <v>126</v>
      </c>
      <c r="C253" s="51" t="s">
        <v>477</v>
      </c>
      <c r="D253" s="51" t="s">
        <v>266</v>
      </c>
      <c r="E253" s="46" t="s">
        <v>478</v>
      </c>
      <c r="F253" s="51" t="s">
        <v>472</v>
      </c>
      <c r="G253" s="46" t="s">
        <v>432</v>
      </c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</row>
    <row r="254" spans="1:22" ht="15.75" customHeight="1" x14ac:dyDescent="0.2">
      <c r="A254" s="40"/>
      <c r="B254" s="45" t="s">
        <v>102</v>
      </c>
      <c r="C254" s="46" t="s">
        <v>317</v>
      </c>
      <c r="D254" s="46" t="s">
        <v>353</v>
      </c>
      <c r="E254" s="46" t="s">
        <v>18</v>
      </c>
      <c r="F254" s="46" t="s">
        <v>472</v>
      </c>
      <c r="G254" s="46" t="s">
        <v>432</v>
      </c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</row>
    <row r="255" spans="1:22" ht="15.75" customHeight="1" x14ac:dyDescent="0.2">
      <c r="A255" s="40"/>
      <c r="B255" s="45" t="s">
        <v>102</v>
      </c>
      <c r="C255" s="46" t="s">
        <v>479</v>
      </c>
      <c r="D255" s="46" t="s">
        <v>86</v>
      </c>
      <c r="E255" s="46" t="s">
        <v>393</v>
      </c>
      <c r="F255" s="46" t="s">
        <v>472</v>
      </c>
      <c r="G255" s="46" t="s">
        <v>432</v>
      </c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</row>
    <row r="256" spans="1:22" ht="15.75" customHeight="1" x14ac:dyDescent="0.2">
      <c r="A256" s="40"/>
      <c r="B256" s="45" t="s">
        <v>315</v>
      </c>
      <c r="C256" s="46" t="s">
        <v>480</v>
      </c>
      <c r="D256" s="46" t="s">
        <v>481</v>
      </c>
      <c r="E256" s="46" t="s">
        <v>482</v>
      </c>
      <c r="F256" s="46" t="s">
        <v>472</v>
      </c>
      <c r="G256" s="46" t="s">
        <v>432</v>
      </c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</row>
    <row r="257" spans="1:22" ht="15.75" customHeight="1" x14ac:dyDescent="0.2">
      <c r="A257" s="40"/>
      <c r="B257" s="45" t="s">
        <v>126</v>
      </c>
      <c r="C257" s="46" t="s">
        <v>483</v>
      </c>
      <c r="D257" s="46" t="s">
        <v>484</v>
      </c>
      <c r="E257" s="46" t="s">
        <v>134</v>
      </c>
      <c r="F257" s="46" t="s">
        <v>485</v>
      </c>
      <c r="G257" s="46" t="s">
        <v>486</v>
      </c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</row>
    <row r="258" spans="1:22" ht="15.75" customHeight="1" x14ac:dyDescent="0.2">
      <c r="A258" s="40"/>
      <c r="B258" s="45" t="s">
        <v>41</v>
      </c>
      <c r="C258" s="46" t="s">
        <v>488</v>
      </c>
      <c r="D258" s="46" t="s">
        <v>295</v>
      </c>
      <c r="E258" s="46" t="s">
        <v>91</v>
      </c>
      <c r="F258" s="46" t="s">
        <v>485</v>
      </c>
      <c r="G258" s="46" t="s">
        <v>486</v>
      </c>
    </row>
    <row r="259" spans="1:22" ht="15.75" customHeight="1" x14ac:dyDescent="0.2">
      <c r="A259" s="40"/>
      <c r="B259" s="45" t="s">
        <v>33</v>
      </c>
      <c r="C259" s="46" t="s">
        <v>489</v>
      </c>
      <c r="D259" s="46" t="s">
        <v>73</v>
      </c>
      <c r="E259" s="46" t="s">
        <v>40</v>
      </c>
      <c r="F259" s="46" t="s">
        <v>485</v>
      </c>
      <c r="G259" s="46" t="s">
        <v>486</v>
      </c>
    </row>
    <row r="260" spans="1:22" ht="15.75" customHeight="1" x14ac:dyDescent="0.2">
      <c r="A260" s="40"/>
      <c r="B260" s="45" t="s">
        <v>37</v>
      </c>
      <c r="C260" s="46" t="s">
        <v>490</v>
      </c>
      <c r="D260" s="46" t="s">
        <v>491</v>
      </c>
      <c r="E260" s="46" t="s">
        <v>306</v>
      </c>
      <c r="F260" s="46" t="s">
        <v>485</v>
      </c>
      <c r="G260" s="46" t="s">
        <v>486</v>
      </c>
    </row>
    <row r="261" spans="1:22" ht="15.75" customHeight="1" x14ac:dyDescent="0.2">
      <c r="A261" s="40"/>
      <c r="B261" s="45" t="s">
        <v>315</v>
      </c>
      <c r="C261" s="46" t="s">
        <v>492</v>
      </c>
      <c r="D261" s="46" t="s">
        <v>58</v>
      </c>
      <c r="E261" s="46" t="s">
        <v>273</v>
      </c>
      <c r="F261" s="46" t="s">
        <v>485</v>
      </c>
      <c r="G261" s="46" t="s">
        <v>486</v>
      </c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</row>
    <row r="262" spans="1:22" ht="15.75" customHeight="1" x14ac:dyDescent="0.2">
      <c r="A262" s="40"/>
      <c r="B262" s="45" t="s">
        <v>108</v>
      </c>
      <c r="C262" s="46" t="s">
        <v>492</v>
      </c>
      <c r="D262" s="46" t="s">
        <v>58</v>
      </c>
      <c r="E262" s="46" t="s">
        <v>273</v>
      </c>
      <c r="F262" s="46" t="s">
        <v>485</v>
      </c>
      <c r="G262" s="46" t="s">
        <v>486</v>
      </c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</row>
    <row r="263" spans="1:22" ht="15.75" customHeight="1" x14ac:dyDescent="0.2">
      <c r="A263" s="40"/>
      <c r="B263" s="45" t="s">
        <v>71</v>
      </c>
      <c r="C263" s="46" t="s">
        <v>493</v>
      </c>
      <c r="D263" s="46" t="s">
        <v>494</v>
      </c>
      <c r="E263" s="46" t="s">
        <v>40</v>
      </c>
      <c r="F263" s="46" t="s">
        <v>485</v>
      </c>
      <c r="G263" s="46" t="s">
        <v>486</v>
      </c>
    </row>
    <row r="264" spans="1:22" ht="15.75" customHeight="1" x14ac:dyDescent="0.2">
      <c r="A264" s="40"/>
      <c r="B264" s="45" t="s">
        <v>94</v>
      </c>
      <c r="C264" s="46" t="s">
        <v>495</v>
      </c>
      <c r="D264" s="46" t="s">
        <v>496</v>
      </c>
      <c r="E264" s="46" t="s">
        <v>452</v>
      </c>
      <c r="F264" s="46" t="s">
        <v>485</v>
      </c>
      <c r="G264" s="46" t="s">
        <v>486</v>
      </c>
    </row>
    <row r="265" spans="1:22" ht="15.75" customHeight="1" x14ac:dyDescent="0.2">
      <c r="A265" s="40"/>
      <c r="B265" s="45" t="s">
        <v>33</v>
      </c>
      <c r="C265" s="46" t="s">
        <v>497</v>
      </c>
      <c r="D265" s="46" t="s">
        <v>28</v>
      </c>
      <c r="E265" s="46" t="s">
        <v>498</v>
      </c>
      <c r="F265" s="51" t="s">
        <v>485</v>
      </c>
      <c r="G265" s="46" t="s">
        <v>486</v>
      </c>
    </row>
    <row r="266" spans="1:22" ht="15.75" customHeight="1" x14ac:dyDescent="0.2">
      <c r="A266" s="40"/>
      <c r="B266" s="45" t="s">
        <v>102</v>
      </c>
      <c r="C266" s="46" t="s">
        <v>499</v>
      </c>
      <c r="D266" s="46" t="s">
        <v>86</v>
      </c>
      <c r="E266" s="46" t="s">
        <v>32</v>
      </c>
      <c r="F266" s="46" t="s">
        <v>485</v>
      </c>
      <c r="G266" s="46" t="s">
        <v>486</v>
      </c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</row>
    <row r="267" spans="1:22" ht="15.75" customHeight="1" x14ac:dyDescent="0.2">
      <c r="A267" s="40"/>
      <c r="B267" s="45" t="s">
        <v>297</v>
      </c>
      <c r="C267" s="46" t="s">
        <v>500</v>
      </c>
      <c r="D267" s="46" t="s">
        <v>501</v>
      </c>
      <c r="E267" s="46" t="s">
        <v>502</v>
      </c>
      <c r="F267" s="51" t="s">
        <v>485</v>
      </c>
      <c r="G267" s="46" t="s">
        <v>486</v>
      </c>
    </row>
    <row r="268" spans="1:22" ht="15.75" customHeight="1" x14ac:dyDescent="0.2">
      <c r="A268" s="40"/>
      <c r="B268" s="45" t="s">
        <v>94</v>
      </c>
      <c r="C268" s="46" t="s">
        <v>503</v>
      </c>
      <c r="D268" s="46" t="s">
        <v>139</v>
      </c>
      <c r="E268" s="46" t="s">
        <v>40</v>
      </c>
      <c r="F268" s="46" t="s">
        <v>485</v>
      </c>
      <c r="G268" s="46" t="s">
        <v>486</v>
      </c>
    </row>
    <row r="269" spans="1:22" ht="15.75" customHeight="1" x14ac:dyDescent="0.2">
      <c r="A269" s="40">
        <v>131</v>
      </c>
      <c r="B269" s="41" t="s">
        <v>504</v>
      </c>
      <c r="C269" s="42" t="s">
        <v>505</v>
      </c>
      <c r="D269" s="42" t="s">
        <v>506</v>
      </c>
      <c r="E269" s="42" t="s">
        <v>79</v>
      </c>
      <c r="F269" s="42" t="s">
        <v>507</v>
      </c>
      <c r="G269" s="42" t="s">
        <v>508</v>
      </c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</row>
    <row r="270" spans="1:22" ht="15.75" customHeight="1" x14ac:dyDescent="0.2">
      <c r="A270" s="40">
        <v>519</v>
      </c>
      <c r="B270" s="41" t="s">
        <v>509</v>
      </c>
      <c r="C270" s="42" t="s">
        <v>510</v>
      </c>
      <c r="D270" s="42" t="s">
        <v>511</v>
      </c>
      <c r="E270" s="42" t="s">
        <v>357</v>
      </c>
      <c r="F270" s="42" t="s">
        <v>507</v>
      </c>
      <c r="G270" s="42" t="s">
        <v>508</v>
      </c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</row>
    <row r="271" spans="1:22" ht="15.75" customHeight="1" x14ac:dyDescent="0.2">
      <c r="A271" s="40">
        <v>569</v>
      </c>
      <c r="B271" s="41" t="s">
        <v>368</v>
      </c>
      <c r="C271" s="42" t="s">
        <v>512</v>
      </c>
      <c r="D271" s="42" t="s">
        <v>513</v>
      </c>
      <c r="E271" s="42" t="s">
        <v>357</v>
      </c>
      <c r="F271" s="42" t="s">
        <v>507</v>
      </c>
      <c r="G271" s="42" t="s">
        <v>508</v>
      </c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</row>
    <row r="272" spans="1:22" ht="15.75" customHeight="1" x14ac:dyDescent="0.2">
      <c r="A272" s="40">
        <v>1051</v>
      </c>
      <c r="B272" s="41" t="s">
        <v>464</v>
      </c>
      <c r="C272" s="42" t="s">
        <v>505</v>
      </c>
      <c r="D272" s="42" t="s">
        <v>506</v>
      </c>
      <c r="E272" s="42" t="s">
        <v>79</v>
      </c>
      <c r="F272" s="42" t="s">
        <v>507</v>
      </c>
      <c r="G272" s="42" t="s">
        <v>508</v>
      </c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</row>
    <row r="273" spans="1:22" ht="15.75" customHeight="1" x14ac:dyDescent="0.2">
      <c r="A273" s="40">
        <v>1163</v>
      </c>
      <c r="B273" s="41" t="s">
        <v>433</v>
      </c>
      <c r="C273" s="42" t="s">
        <v>510</v>
      </c>
      <c r="D273" s="42" t="s">
        <v>511</v>
      </c>
      <c r="E273" s="42" t="s">
        <v>357</v>
      </c>
      <c r="F273" s="42" t="s">
        <v>507</v>
      </c>
      <c r="G273" s="42" t="s">
        <v>508</v>
      </c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</row>
    <row r="274" spans="1:22" ht="15.75" customHeight="1" x14ac:dyDescent="0.2">
      <c r="A274" s="40">
        <v>1185</v>
      </c>
      <c r="B274" s="41" t="s">
        <v>256</v>
      </c>
      <c r="C274" s="42" t="s">
        <v>514</v>
      </c>
      <c r="D274" s="42" t="s">
        <v>376</v>
      </c>
      <c r="E274" s="42" t="s">
        <v>259</v>
      </c>
      <c r="F274" s="42" t="s">
        <v>507</v>
      </c>
      <c r="G274" s="42" t="s">
        <v>508</v>
      </c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</row>
    <row r="275" spans="1:22" ht="15.75" customHeight="1" x14ac:dyDescent="0.2">
      <c r="A275" s="40">
        <v>1669</v>
      </c>
      <c r="B275" s="41" t="s">
        <v>435</v>
      </c>
      <c r="C275" s="42" t="s">
        <v>515</v>
      </c>
      <c r="D275" s="42" t="s">
        <v>516</v>
      </c>
      <c r="E275" s="42" t="s">
        <v>129</v>
      </c>
      <c r="F275" s="42" t="s">
        <v>507</v>
      </c>
      <c r="G275" s="42" t="s">
        <v>508</v>
      </c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</row>
    <row r="276" spans="1:22" ht="15.75" customHeight="1" x14ac:dyDescent="0.2">
      <c r="A276" s="40">
        <v>1743</v>
      </c>
      <c r="B276" s="41" t="s">
        <v>465</v>
      </c>
      <c r="C276" s="42" t="s">
        <v>505</v>
      </c>
      <c r="D276" s="42" t="s">
        <v>506</v>
      </c>
      <c r="E276" s="42" t="s">
        <v>79</v>
      </c>
      <c r="F276" s="42" t="s">
        <v>507</v>
      </c>
      <c r="G276" s="42" t="s">
        <v>508</v>
      </c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</row>
    <row r="277" spans="1:22" ht="15.75" customHeight="1" x14ac:dyDescent="0.2">
      <c r="A277" s="40">
        <v>1837</v>
      </c>
      <c r="B277" s="41" t="s">
        <v>439</v>
      </c>
      <c r="C277" s="42" t="s">
        <v>510</v>
      </c>
      <c r="D277" s="42" t="s">
        <v>511</v>
      </c>
      <c r="E277" s="42" t="s">
        <v>357</v>
      </c>
      <c r="F277" s="42" t="s">
        <v>507</v>
      </c>
      <c r="G277" s="42" t="s">
        <v>508</v>
      </c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</row>
    <row r="278" spans="1:22" ht="15.75" customHeight="1" x14ac:dyDescent="0.2">
      <c r="A278" s="40">
        <v>1949</v>
      </c>
      <c r="B278" s="41" t="s">
        <v>278</v>
      </c>
      <c r="C278" s="42" t="s">
        <v>515</v>
      </c>
      <c r="D278" s="42" t="s">
        <v>516</v>
      </c>
      <c r="E278" s="42" t="s">
        <v>129</v>
      </c>
      <c r="F278" s="42" t="s">
        <v>507</v>
      </c>
      <c r="G278" s="42" t="s">
        <v>508</v>
      </c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</row>
    <row r="279" spans="1:22" ht="15.75" customHeight="1" x14ac:dyDescent="0.2">
      <c r="A279" s="40">
        <v>2209</v>
      </c>
      <c r="B279" s="41" t="s">
        <v>282</v>
      </c>
      <c r="C279" s="42" t="s">
        <v>515</v>
      </c>
      <c r="D279" s="42" t="s">
        <v>516</v>
      </c>
      <c r="E279" s="42" t="s">
        <v>129</v>
      </c>
      <c r="F279" s="42" t="s">
        <v>507</v>
      </c>
      <c r="G279" s="42" t="s">
        <v>508</v>
      </c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</row>
    <row r="280" spans="1:22" ht="15.75" customHeight="1" x14ac:dyDescent="0.2">
      <c r="A280" s="40">
        <v>2259</v>
      </c>
      <c r="B280" s="41" t="s">
        <v>517</v>
      </c>
      <c r="C280" s="42" t="s">
        <v>514</v>
      </c>
      <c r="D280" s="42" t="s">
        <v>376</v>
      </c>
      <c r="E280" s="42" t="s">
        <v>259</v>
      </c>
      <c r="F280" s="42" t="s">
        <v>507</v>
      </c>
      <c r="G280" s="42" t="s">
        <v>508</v>
      </c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</row>
    <row r="281" spans="1:22" ht="15.75" customHeight="1" x14ac:dyDescent="0.2">
      <c r="A281" s="40">
        <v>2309</v>
      </c>
      <c r="B281" s="41" t="s">
        <v>284</v>
      </c>
      <c r="C281" s="42" t="s">
        <v>512</v>
      </c>
      <c r="D281" s="42" t="s">
        <v>513</v>
      </c>
      <c r="E281" s="42" t="s">
        <v>357</v>
      </c>
      <c r="F281" s="42" t="s">
        <v>507</v>
      </c>
      <c r="G281" s="42" t="s">
        <v>508</v>
      </c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</row>
    <row r="282" spans="1:22" ht="15.75" customHeight="1" x14ac:dyDescent="0.2">
      <c r="A282" s="40">
        <v>2833</v>
      </c>
      <c r="B282" s="41" t="s">
        <v>518</v>
      </c>
      <c r="C282" s="42" t="s">
        <v>514</v>
      </c>
      <c r="D282" s="42" t="s">
        <v>376</v>
      </c>
      <c r="E282" s="42" t="s">
        <v>259</v>
      </c>
      <c r="F282" s="42" t="s">
        <v>507</v>
      </c>
      <c r="G282" s="42" t="s">
        <v>508</v>
      </c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</row>
    <row r="283" spans="1:22" ht="15.75" customHeight="1" x14ac:dyDescent="0.2">
      <c r="A283" s="40">
        <v>2871</v>
      </c>
      <c r="B283" s="41" t="s">
        <v>519</v>
      </c>
      <c r="C283" s="42" t="s">
        <v>512</v>
      </c>
      <c r="D283" s="42" t="s">
        <v>513</v>
      </c>
      <c r="E283" s="42" t="s">
        <v>357</v>
      </c>
      <c r="F283" s="42" t="s">
        <v>507</v>
      </c>
      <c r="G283" s="42" t="s">
        <v>508</v>
      </c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</row>
    <row r="284" spans="1:22" ht="15.75" customHeight="1" x14ac:dyDescent="0.2">
      <c r="A284" s="40"/>
      <c r="B284" s="45" t="s">
        <v>300</v>
      </c>
      <c r="C284" s="46" t="s">
        <v>520</v>
      </c>
      <c r="D284" s="46" t="s">
        <v>39</v>
      </c>
      <c r="E284" s="46" t="s">
        <v>424</v>
      </c>
      <c r="F284" s="46" t="s">
        <v>507</v>
      </c>
      <c r="G284" s="46" t="s">
        <v>508</v>
      </c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</row>
    <row r="285" spans="1:22" ht="15.75" customHeight="1" x14ac:dyDescent="0.2">
      <c r="A285" s="40"/>
      <c r="B285" s="45" t="s">
        <v>102</v>
      </c>
      <c r="C285" s="46" t="s">
        <v>520</v>
      </c>
      <c r="D285" s="46" t="s">
        <v>39</v>
      </c>
      <c r="E285" s="46" t="s">
        <v>424</v>
      </c>
      <c r="F285" s="46" t="s">
        <v>507</v>
      </c>
      <c r="G285" s="46" t="s">
        <v>508</v>
      </c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</row>
    <row r="286" spans="1:22" ht="15.75" customHeight="1" x14ac:dyDescent="0.2">
      <c r="A286" s="40"/>
      <c r="B286" s="45" t="s">
        <v>300</v>
      </c>
      <c r="C286" s="46" t="s">
        <v>521</v>
      </c>
      <c r="D286" s="46" t="s">
        <v>522</v>
      </c>
      <c r="E286" s="46" t="s">
        <v>87</v>
      </c>
      <c r="F286" s="46" t="s">
        <v>507</v>
      </c>
      <c r="G286" s="46" t="s">
        <v>508</v>
      </c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</row>
    <row r="287" spans="1:22" ht="15.75" customHeight="1" x14ac:dyDescent="0.2">
      <c r="A287" s="40"/>
      <c r="B287" s="45" t="s">
        <v>523</v>
      </c>
      <c r="C287" s="46" t="s">
        <v>521</v>
      </c>
      <c r="D287" s="46" t="s">
        <v>522</v>
      </c>
      <c r="E287" s="46" t="s">
        <v>87</v>
      </c>
      <c r="F287" s="46" t="s">
        <v>507</v>
      </c>
      <c r="G287" s="46" t="s">
        <v>508</v>
      </c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</row>
    <row r="288" spans="1:22" ht="15.75" customHeight="1" x14ac:dyDescent="0.2">
      <c r="A288" s="40"/>
      <c r="B288" s="45" t="s">
        <v>297</v>
      </c>
      <c r="C288" s="46" t="s">
        <v>524</v>
      </c>
      <c r="D288" s="46" t="s">
        <v>139</v>
      </c>
      <c r="E288" s="46" t="s">
        <v>87</v>
      </c>
      <c r="F288" s="46" t="s">
        <v>507</v>
      </c>
      <c r="G288" s="46" t="s">
        <v>508</v>
      </c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</row>
    <row r="289" spans="1:22" ht="15.75" customHeight="1" x14ac:dyDescent="0.2">
      <c r="A289" s="40"/>
      <c r="B289" s="45" t="s">
        <v>300</v>
      </c>
      <c r="C289" s="46" t="s">
        <v>524</v>
      </c>
      <c r="D289" s="46" t="s">
        <v>139</v>
      </c>
      <c r="E289" s="46" t="s">
        <v>87</v>
      </c>
      <c r="F289" s="46" t="s">
        <v>507</v>
      </c>
      <c r="G289" s="46" t="s">
        <v>508</v>
      </c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</row>
    <row r="290" spans="1:22" ht="15.75" customHeight="1" x14ac:dyDescent="0.2">
      <c r="A290" s="40"/>
      <c r="B290" s="45" t="s">
        <v>121</v>
      </c>
      <c r="C290" s="46" t="s">
        <v>525</v>
      </c>
      <c r="D290" s="46" t="s">
        <v>526</v>
      </c>
      <c r="E290" s="46" t="s">
        <v>134</v>
      </c>
      <c r="F290" s="46" t="s">
        <v>507</v>
      </c>
      <c r="G290" s="46" t="s">
        <v>508</v>
      </c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</row>
    <row r="291" spans="1:22" ht="15.75" customHeight="1" x14ac:dyDescent="0.2">
      <c r="A291" s="40"/>
      <c r="B291" s="45" t="s">
        <v>315</v>
      </c>
      <c r="C291" s="46" t="s">
        <v>525</v>
      </c>
      <c r="D291" s="46" t="s">
        <v>526</v>
      </c>
      <c r="E291" s="46" t="s">
        <v>134</v>
      </c>
      <c r="F291" s="46" t="s">
        <v>507</v>
      </c>
      <c r="G291" s="46" t="s">
        <v>508</v>
      </c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</row>
    <row r="292" spans="1:22" ht="15.75" customHeight="1" x14ac:dyDescent="0.2">
      <c r="A292" s="40">
        <v>339</v>
      </c>
      <c r="B292" s="41" t="s">
        <v>100</v>
      </c>
      <c r="C292" s="42" t="s">
        <v>528</v>
      </c>
      <c r="D292" s="42" t="s">
        <v>529</v>
      </c>
      <c r="E292" s="42" t="s">
        <v>530</v>
      </c>
      <c r="F292" s="42" t="s">
        <v>531</v>
      </c>
      <c r="G292" s="42" t="s">
        <v>532</v>
      </c>
    </row>
    <row r="293" spans="1:22" ht="15.75" customHeight="1" x14ac:dyDescent="0.2">
      <c r="A293" s="40"/>
      <c r="B293" s="45" t="s">
        <v>102</v>
      </c>
      <c r="C293" s="46" t="s">
        <v>533</v>
      </c>
      <c r="D293" s="46" t="s">
        <v>534</v>
      </c>
      <c r="E293" s="46" t="s">
        <v>251</v>
      </c>
      <c r="F293" s="46" t="s">
        <v>531</v>
      </c>
      <c r="G293" s="46" t="s">
        <v>532</v>
      </c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</row>
    <row r="294" spans="1:22" ht="15.75" customHeight="1" x14ac:dyDescent="0.2">
      <c r="A294" s="40"/>
      <c r="B294" s="45" t="s">
        <v>108</v>
      </c>
      <c r="C294" s="46" t="s">
        <v>533</v>
      </c>
      <c r="D294" s="46" t="s">
        <v>534</v>
      </c>
      <c r="E294" s="46" t="s">
        <v>251</v>
      </c>
      <c r="F294" s="46" t="s">
        <v>531</v>
      </c>
      <c r="G294" s="46" t="s">
        <v>532</v>
      </c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</row>
    <row r="295" spans="1:22" ht="15.75" customHeight="1" x14ac:dyDescent="0.2">
      <c r="A295" s="40"/>
      <c r="B295" s="45" t="s">
        <v>300</v>
      </c>
      <c r="C295" s="46" t="s">
        <v>535</v>
      </c>
      <c r="D295" s="46" t="s">
        <v>58</v>
      </c>
      <c r="E295" s="46" t="s">
        <v>306</v>
      </c>
      <c r="F295" s="46" t="s">
        <v>531</v>
      </c>
      <c r="G295" s="46" t="s">
        <v>532</v>
      </c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</row>
    <row r="296" spans="1:22" ht="15.75" customHeight="1" x14ac:dyDescent="0.2">
      <c r="A296" s="40"/>
      <c r="B296" s="47" t="s">
        <v>102</v>
      </c>
      <c r="C296" s="46" t="s">
        <v>535</v>
      </c>
      <c r="D296" s="46" t="s">
        <v>58</v>
      </c>
      <c r="E296" s="46" t="s">
        <v>306</v>
      </c>
      <c r="F296" s="46" t="s">
        <v>531</v>
      </c>
      <c r="G296" s="46" t="s">
        <v>532</v>
      </c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</row>
    <row r="297" spans="1:22" ht="15.75" customHeight="1" x14ac:dyDescent="0.2">
      <c r="A297" s="40"/>
      <c r="B297" s="45" t="s">
        <v>102</v>
      </c>
      <c r="C297" s="46" t="s">
        <v>536</v>
      </c>
      <c r="D297" s="46" t="s">
        <v>133</v>
      </c>
      <c r="E297" s="46" t="s">
        <v>134</v>
      </c>
      <c r="F297" s="46" t="s">
        <v>531</v>
      </c>
      <c r="G297" s="46" t="s">
        <v>532</v>
      </c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</row>
    <row r="298" spans="1:22" ht="15.75" customHeight="1" x14ac:dyDescent="0.2">
      <c r="A298" s="40"/>
      <c r="B298" s="45" t="s">
        <v>421</v>
      </c>
      <c r="C298" s="46" t="s">
        <v>536</v>
      </c>
      <c r="D298" s="46" t="s">
        <v>133</v>
      </c>
      <c r="E298" s="46" t="s">
        <v>134</v>
      </c>
      <c r="F298" s="46" t="s">
        <v>531</v>
      </c>
      <c r="G298" s="46" t="s">
        <v>532</v>
      </c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</row>
    <row r="299" spans="1:22" ht="15.75" customHeight="1" x14ac:dyDescent="0.2">
      <c r="A299" s="40"/>
      <c r="B299" s="45" t="s">
        <v>94</v>
      </c>
      <c r="C299" s="46" t="s">
        <v>536</v>
      </c>
      <c r="D299" s="46" t="s">
        <v>133</v>
      </c>
      <c r="E299" s="46" t="s">
        <v>134</v>
      </c>
      <c r="F299" s="46" t="s">
        <v>531</v>
      </c>
      <c r="G299" s="46" t="s">
        <v>532</v>
      </c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</row>
    <row r="300" spans="1:22" ht="15.75" customHeight="1" x14ac:dyDescent="0.2">
      <c r="A300" s="40"/>
      <c r="B300" s="45" t="s">
        <v>316</v>
      </c>
      <c r="C300" s="46" t="s">
        <v>528</v>
      </c>
      <c r="D300" s="46" t="s">
        <v>529</v>
      </c>
      <c r="E300" s="46" t="s">
        <v>530</v>
      </c>
      <c r="F300" s="46" t="s">
        <v>531</v>
      </c>
      <c r="G300" s="46" t="s">
        <v>532</v>
      </c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</row>
    <row r="301" spans="1:22" ht="15.75" customHeight="1" x14ac:dyDescent="0.2">
      <c r="A301" s="40"/>
      <c r="B301" s="45" t="s">
        <v>94</v>
      </c>
      <c r="C301" s="46" t="s">
        <v>528</v>
      </c>
      <c r="D301" s="46" t="s">
        <v>529</v>
      </c>
      <c r="E301" s="46" t="s">
        <v>530</v>
      </c>
      <c r="F301" s="46" t="s">
        <v>531</v>
      </c>
      <c r="G301" s="46" t="s">
        <v>532</v>
      </c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</row>
    <row r="302" spans="1:22" ht="15.75" customHeight="1" x14ac:dyDescent="0.2">
      <c r="A302" s="40"/>
      <c r="B302" s="45" t="s">
        <v>88</v>
      </c>
      <c r="C302" s="46" t="s">
        <v>537</v>
      </c>
      <c r="D302" s="46" t="s">
        <v>538</v>
      </c>
      <c r="E302" s="46" t="s">
        <v>539</v>
      </c>
      <c r="F302" s="46" t="s">
        <v>540</v>
      </c>
      <c r="G302" s="46" t="s">
        <v>541</v>
      </c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</row>
    <row r="303" spans="1:22" ht="15.75" customHeight="1" x14ac:dyDescent="0.2">
      <c r="A303" s="40"/>
      <c r="B303" s="45" t="s">
        <v>94</v>
      </c>
      <c r="C303" s="46" t="s">
        <v>542</v>
      </c>
      <c r="D303" s="46" t="s">
        <v>272</v>
      </c>
      <c r="E303" s="46" t="s">
        <v>32</v>
      </c>
      <c r="F303" s="46" t="s">
        <v>540</v>
      </c>
      <c r="G303" s="46" t="s">
        <v>541</v>
      </c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</row>
    <row r="304" spans="1:22" ht="15.75" customHeight="1" x14ac:dyDescent="0.2">
      <c r="A304" s="40"/>
      <c r="B304" s="45" t="s">
        <v>88</v>
      </c>
      <c r="C304" s="46" t="s">
        <v>543</v>
      </c>
      <c r="D304" s="46" t="s">
        <v>116</v>
      </c>
      <c r="E304" s="46" t="s">
        <v>87</v>
      </c>
      <c r="F304" s="46" t="s">
        <v>544</v>
      </c>
      <c r="G304" s="46" t="s">
        <v>541</v>
      </c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</row>
    <row r="305" spans="1:22" ht="15.75" customHeight="1" x14ac:dyDescent="0.2">
      <c r="A305" s="40"/>
      <c r="B305" s="45" t="s">
        <v>88</v>
      </c>
      <c r="C305" s="46" t="s">
        <v>545</v>
      </c>
      <c r="D305" s="46" t="s">
        <v>339</v>
      </c>
      <c r="E305" s="46" t="s">
        <v>546</v>
      </c>
      <c r="F305" s="46" t="s">
        <v>547</v>
      </c>
      <c r="G305" s="46" t="s">
        <v>541</v>
      </c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</row>
    <row r="306" spans="1:22" ht="15.75" customHeight="1" x14ac:dyDescent="0.2">
      <c r="A306" s="40"/>
      <c r="B306" s="45" t="s">
        <v>548</v>
      </c>
      <c r="C306" s="46" t="s">
        <v>545</v>
      </c>
      <c r="D306" s="46" t="s">
        <v>339</v>
      </c>
      <c r="E306" s="46" t="s">
        <v>546</v>
      </c>
      <c r="F306" s="46" t="s">
        <v>547</v>
      </c>
      <c r="G306" s="46" t="s">
        <v>541</v>
      </c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</row>
    <row r="307" spans="1:22" ht="15.75" customHeight="1" x14ac:dyDescent="0.2">
      <c r="A307" s="40">
        <v>167</v>
      </c>
      <c r="B307" s="41" t="s">
        <v>549</v>
      </c>
      <c r="C307" s="42" t="s">
        <v>550</v>
      </c>
      <c r="D307" s="42" t="s">
        <v>272</v>
      </c>
      <c r="E307" s="42" t="s">
        <v>112</v>
      </c>
      <c r="F307" s="42" t="s">
        <v>551</v>
      </c>
      <c r="G307" s="42" t="s">
        <v>541</v>
      </c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</row>
    <row r="308" spans="1:22" ht="15.75" customHeight="1" x14ac:dyDescent="0.2">
      <c r="A308" s="40">
        <v>169</v>
      </c>
      <c r="B308" s="41" t="s">
        <v>549</v>
      </c>
      <c r="C308" s="42" t="s">
        <v>550</v>
      </c>
      <c r="D308" s="42" t="s">
        <v>120</v>
      </c>
      <c r="E308" s="42" t="s">
        <v>112</v>
      </c>
      <c r="F308" s="42" t="s">
        <v>551</v>
      </c>
      <c r="G308" s="42" t="s">
        <v>541</v>
      </c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</row>
    <row r="309" spans="1:22" ht="15.75" customHeight="1" x14ac:dyDescent="0.2">
      <c r="A309" s="40">
        <v>295</v>
      </c>
      <c r="B309" s="41" t="s">
        <v>552</v>
      </c>
      <c r="C309" s="42" t="s">
        <v>550</v>
      </c>
      <c r="D309" s="42" t="s">
        <v>272</v>
      </c>
      <c r="E309" s="42" t="s">
        <v>112</v>
      </c>
      <c r="F309" s="42" t="s">
        <v>551</v>
      </c>
      <c r="G309" s="42" t="s">
        <v>541</v>
      </c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</row>
    <row r="310" spans="1:22" ht="15.75" customHeight="1" x14ac:dyDescent="0.2">
      <c r="A310" s="40">
        <v>297</v>
      </c>
      <c r="B310" s="41" t="s">
        <v>552</v>
      </c>
      <c r="C310" s="42" t="s">
        <v>550</v>
      </c>
      <c r="D310" s="42" t="s">
        <v>120</v>
      </c>
      <c r="E310" s="42" t="s">
        <v>112</v>
      </c>
      <c r="F310" s="42" t="s">
        <v>551</v>
      </c>
      <c r="G310" s="42" t="s">
        <v>541</v>
      </c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</row>
    <row r="311" spans="1:22" ht="15.75" customHeight="1" x14ac:dyDescent="0.2">
      <c r="A311" s="40">
        <v>387</v>
      </c>
      <c r="B311" s="41" t="s">
        <v>246</v>
      </c>
      <c r="C311" s="42" t="s">
        <v>553</v>
      </c>
      <c r="D311" s="42" t="s">
        <v>554</v>
      </c>
      <c r="E311" s="42" t="s">
        <v>393</v>
      </c>
      <c r="F311" s="42" t="s">
        <v>555</v>
      </c>
      <c r="G311" s="42" t="s">
        <v>541</v>
      </c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</row>
    <row r="312" spans="1:22" ht="15.75" customHeight="1" x14ac:dyDescent="0.2">
      <c r="A312" s="48">
        <v>3011</v>
      </c>
      <c r="B312" s="49" t="s">
        <v>290</v>
      </c>
      <c r="C312" s="50" t="s">
        <v>553</v>
      </c>
      <c r="D312" s="50" t="s">
        <v>554</v>
      </c>
      <c r="E312" s="50" t="s">
        <v>393</v>
      </c>
      <c r="F312" s="42" t="s">
        <v>555</v>
      </c>
      <c r="G312" s="42" t="s">
        <v>541</v>
      </c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</row>
    <row r="313" spans="1:22" ht="15.75" customHeight="1" x14ac:dyDescent="0.2">
      <c r="A313" s="40"/>
      <c r="B313" s="45" t="s">
        <v>303</v>
      </c>
      <c r="C313" s="46" t="s">
        <v>556</v>
      </c>
      <c r="D313" s="46" t="s">
        <v>557</v>
      </c>
      <c r="E313" s="46" t="s">
        <v>393</v>
      </c>
      <c r="F313" s="46" t="s">
        <v>558</v>
      </c>
      <c r="G313" s="46" t="s">
        <v>541</v>
      </c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</row>
    <row r="314" spans="1:22" ht="15.75" customHeight="1" x14ac:dyDescent="0.2">
      <c r="A314" s="40"/>
      <c r="B314" s="45" t="s">
        <v>94</v>
      </c>
      <c r="C314" s="46" t="s">
        <v>556</v>
      </c>
      <c r="D314" s="46" t="s">
        <v>557</v>
      </c>
      <c r="E314" s="46" t="s">
        <v>393</v>
      </c>
      <c r="F314" s="46" t="s">
        <v>558</v>
      </c>
      <c r="G314" s="46" t="s">
        <v>541</v>
      </c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</row>
    <row r="315" spans="1:22" ht="15.75" customHeight="1" x14ac:dyDescent="0.2">
      <c r="A315" s="40"/>
      <c r="B315" s="45" t="s">
        <v>88</v>
      </c>
      <c r="C315" s="46" t="s">
        <v>559</v>
      </c>
      <c r="D315" s="46" t="s">
        <v>353</v>
      </c>
      <c r="E315" s="46" t="s">
        <v>539</v>
      </c>
      <c r="F315" s="46" t="s">
        <v>560</v>
      </c>
      <c r="G315" s="46" t="s">
        <v>541</v>
      </c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</row>
    <row r="316" spans="1:22" ht="15.75" customHeight="1" x14ac:dyDescent="0.2">
      <c r="A316" s="40"/>
      <c r="B316" s="45" t="s">
        <v>94</v>
      </c>
      <c r="C316" s="46" t="s">
        <v>561</v>
      </c>
      <c r="D316" s="46" t="s">
        <v>562</v>
      </c>
      <c r="E316" s="46" t="s">
        <v>563</v>
      </c>
      <c r="F316" s="46" t="s">
        <v>564</v>
      </c>
      <c r="G316" s="46" t="s">
        <v>541</v>
      </c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</row>
    <row r="317" spans="1:22" ht="15.75" customHeight="1" x14ac:dyDescent="0.2">
      <c r="A317" s="40"/>
      <c r="B317" s="45" t="s">
        <v>88</v>
      </c>
      <c r="C317" s="46" t="s">
        <v>565</v>
      </c>
      <c r="D317" s="46" t="s">
        <v>566</v>
      </c>
      <c r="E317" s="46" t="s">
        <v>567</v>
      </c>
      <c r="F317" s="46" t="s">
        <v>568</v>
      </c>
      <c r="G317" s="46" t="s">
        <v>541</v>
      </c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</row>
    <row r="318" spans="1:22" ht="15.75" customHeight="1" x14ac:dyDescent="0.2">
      <c r="A318" s="40"/>
      <c r="B318" s="45" t="s">
        <v>94</v>
      </c>
      <c r="C318" s="46" t="s">
        <v>565</v>
      </c>
      <c r="D318" s="46" t="s">
        <v>566</v>
      </c>
      <c r="E318" s="46" t="s">
        <v>567</v>
      </c>
      <c r="F318" s="46" t="s">
        <v>568</v>
      </c>
      <c r="G318" s="46" t="s">
        <v>541</v>
      </c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</row>
    <row r="319" spans="1:22" ht="15.75" customHeight="1" x14ac:dyDescent="0.2">
      <c r="A319" s="40"/>
      <c r="B319" s="45" t="s">
        <v>88</v>
      </c>
      <c r="C319" s="46" t="s">
        <v>569</v>
      </c>
      <c r="D319" s="46" t="s">
        <v>333</v>
      </c>
      <c r="E319" s="46" t="s">
        <v>87</v>
      </c>
      <c r="F319" s="46" t="s">
        <v>568</v>
      </c>
      <c r="G319" s="46" t="s">
        <v>541</v>
      </c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</row>
    <row r="320" spans="1:22" ht="15.75" customHeight="1" x14ac:dyDescent="0.2">
      <c r="A320" s="40"/>
      <c r="B320" s="45" t="s">
        <v>303</v>
      </c>
      <c r="C320" s="46" t="s">
        <v>569</v>
      </c>
      <c r="D320" s="46" t="s">
        <v>333</v>
      </c>
      <c r="E320" s="46" t="s">
        <v>87</v>
      </c>
      <c r="F320" s="46" t="s">
        <v>568</v>
      </c>
      <c r="G320" s="46" t="s">
        <v>541</v>
      </c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</row>
    <row r="321" spans="1:22" ht="15.75" customHeight="1" x14ac:dyDescent="0.2">
      <c r="A321" s="40"/>
      <c r="B321" s="45" t="s">
        <v>94</v>
      </c>
      <c r="C321" s="46" t="s">
        <v>569</v>
      </c>
      <c r="D321" s="46" t="s">
        <v>333</v>
      </c>
      <c r="E321" s="46" t="s">
        <v>87</v>
      </c>
      <c r="F321" s="46" t="s">
        <v>568</v>
      </c>
      <c r="G321" s="46" t="s">
        <v>541</v>
      </c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</row>
    <row r="322" spans="1:22" ht="15.75" customHeight="1" x14ac:dyDescent="0.2">
      <c r="A322" s="40"/>
      <c r="B322" s="45" t="s">
        <v>108</v>
      </c>
      <c r="C322" s="46" t="s">
        <v>570</v>
      </c>
      <c r="D322" s="46" t="s">
        <v>292</v>
      </c>
      <c r="E322" s="46" t="s">
        <v>571</v>
      </c>
      <c r="F322" s="46" t="s">
        <v>568</v>
      </c>
      <c r="G322" s="46" t="s">
        <v>541</v>
      </c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</row>
    <row r="323" spans="1:22" ht="15.75" customHeight="1" x14ac:dyDescent="0.2">
      <c r="A323" s="40"/>
      <c r="B323" s="45" t="s">
        <v>88</v>
      </c>
      <c r="C323" s="46" t="s">
        <v>570</v>
      </c>
      <c r="D323" s="46" t="s">
        <v>292</v>
      </c>
      <c r="E323" s="46" t="s">
        <v>571</v>
      </c>
      <c r="F323" s="46" t="s">
        <v>568</v>
      </c>
      <c r="G323" s="46" t="s">
        <v>541</v>
      </c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</row>
    <row r="324" spans="1:22" ht="15.75" customHeight="1" x14ac:dyDescent="0.2">
      <c r="A324" s="40"/>
      <c r="B324" s="45" t="s">
        <v>303</v>
      </c>
      <c r="C324" s="46" t="s">
        <v>570</v>
      </c>
      <c r="D324" s="46" t="s">
        <v>292</v>
      </c>
      <c r="E324" s="46" t="s">
        <v>571</v>
      </c>
      <c r="F324" s="46" t="s">
        <v>568</v>
      </c>
      <c r="G324" s="46" t="s">
        <v>541</v>
      </c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</row>
    <row r="325" spans="1:22" ht="15.75" customHeight="1" x14ac:dyDescent="0.2">
      <c r="A325" s="40"/>
      <c r="B325" s="45" t="s">
        <v>94</v>
      </c>
      <c r="C325" s="46" t="s">
        <v>570</v>
      </c>
      <c r="D325" s="46" t="s">
        <v>292</v>
      </c>
      <c r="E325" s="46" t="s">
        <v>571</v>
      </c>
      <c r="F325" s="46" t="s">
        <v>568</v>
      </c>
      <c r="G325" s="46" t="s">
        <v>541</v>
      </c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</row>
    <row r="326" spans="1:22" ht="15.75" customHeight="1" x14ac:dyDescent="0.2">
      <c r="A326" s="40"/>
      <c r="B326" s="45" t="s">
        <v>117</v>
      </c>
      <c r="C326" s="46" t="s">
        <v>572</v>
      </c>
      <c r="D326" s="46" t="s">
        <v>116</v>
      </c>
      <c r="E326" s="46" t="s">
        <v>79</v>
      </c>
      <c r="F326" s="46" t="s">
        <v>568</v>
      </c>
      <c r="G326" s="46" t="s">
        <v>541</v>
      </c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</row>
    <row r="327" spans="1:22" ht="15.75" customHeight="1" x14ac:dyDescent="0.2">
      <c r="A327" s="40"/>
      <c r="B327" s="45" t="s">
        <v>88</v>
      </c>
      <c r="C327" s="46" t="s">
        <v>572</v>
      </c>
      <c r="D327" s="46" t="s">
        <v>116</v>
      </c>
      <c r="E327" s="46" t="s">
        <v>79</v>
      </c>
      <c r="F327" s="46" t="s">
        <v>568</v>
      </c>
      <c r="G327" s="46" t="s">
        <v>541</v>
      </c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</row>
    <row r="328" spans="1:22" ht="15.75" customHeight="1" x14ac:dyDescent="0.2">
      <c r="A328" s="40"/>
      <c r="B328" s="45" t="s">
        <v>303</v>
      </c>
      <c r="C328" s="46" t="s">
        <v>572</v>
      </c>
      <c r="D328" s="46" t="s">
        <v>116</v>
      </c>
      <c r="E328" s="46" t="s">
        <v>79</v>
      </c>
      <c r="F328" s="46" t="s">
        <v>568</v>
      </c>
      <c r="G328" s="46" t="s">
        <v>541</v>
      </c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</row>
    <row r="329" spans="1:22" ht="15.75" customHeight="1" x14ac:dyDescent="0.2">
      <c r="A329" s="40"/>
      <c r="B329" s="45" t="s">
        <v>94</v>
      </c>
      <c r="C329" s="46" t="s">
        <v>572</v>
      </c>
      <c r="D329" s="46" t="s">
        <v>116</v>
      </c>
      <c r="E329" s="46" t="s">
        <v>79</v>
      </c>
      <c r="F329" s="46" t="s">
        <v>568</v>
      </c>
      <c r="G329" s="46" t="s">
        <v>541</v>
      </c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</row>
    <row r="330" spans="1:22" ht="15.75" customHeight="1" x14ac:dyDescent="0.2">
      <c r="A330" s="40"/>
      <c r="B330" s="45" t="s">
        <v>108</v>
      </c>
      <c r="C330" s="46" t="s">
        <v>573</v>
      </c>
      <c r="D330" s="46" t="s">
        <v>574</v>
      </c>
      <c r="E330" s="46" t="s">
        <v>575</v>
      </c>
      <c r="F330" s="46" t="s">
        <v>568</v>
      </c>
      <c r="G330" s="46" t="s">
        <v>541</v>
      </c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</row>
    <row r="331" spans="1:22" ht="15.75" customHeight="1" x14ac:dyDescent="0.2">
      <c r="A331" s="40"/>
      <c r="B331" s="45" t="s">
        <v>88</v>
      </c>
      <c r="C331" s="46" t="s">
        <v>573</v>
      </c>
      <c r="D331" s="46" t="s">
        <v>574</v>
      </c>
      <c r="E331" s="46" t="s">
        <v>575</v>
      </c>
      <c r="F331" s="46" t="s">
        <v>568</v>
      </c>
      <c r="G331" s="46" t="s">
        <v>541</v>
      </c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</row>
    <row r="332" spans="1:22" ht="15.75" customHeight="1" x14ac:dyDescent="0.2">
      <c r="A332" s="40"/>
      <c r="B332" s="45" t="s">
        <v>303</v>
      </c>
      <c r="C332" s="46" t="s">
        <v>573</v>
      </c>
      <c r="D332" s="46" t="s">
        <v>574</v>
      </c>
      <c r="E332" s="46" t="s">
        <v>575</v>
      </c>
      <c r="F332" s="46" t="s">
        <v>568</v>
      </c>
      <c r="G332" s="46" t="s">
        <v>541</v>
      </c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</row>
    <row r="333" spans="1:22" ht="15.75" customHeight="1" x14ac:dyDescent="0.2">
      <c r="A333" s="40"/>
      <c r="B333" s="45" t="s">
        <v>94</v>
      </c>
      <c r="C333" s="46" t="s">
        <v>573</v>
      </c>
      <c r="D333" s="46" t="s">
        <v>574</v>
      </c>
      <c r="E333" s="46" t="s">
        <v>575</v>
      </c>
      <c r="F333" s="46" t="s">
        <v>568</v>
      </c>
      <c r="G333" s="46" t="s">
        <v>541</v>
      </c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</row>
    <row r="334" spans="1:22" ht="15.75" customHeight="1" x14ac:dyDescent="0.2">
      <c r="A334" s="40">
        <v>1457</v>
      </c>
      <c r="B334" s="41" t="s">
        <v>261</v>
      </c>
      <c r="C334" s="42" t="s">
        <v>576</v>
      </c>
      <c r="D334" s="42" t="s">
        <v>139</v>
      </c>
      <c r="E334" s="42" t="s">
        <v>40</v>
      </c>
      <c r="F334" s="42" t="s">
        <v>577</v>
      </c>
      <c r="G334" s="42" t="s">
        <v>541</v>
      </c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</row>
    <row r="335" spans="1:22" ht="15.75" customHeight="1" x14ac:dyDescent="0.2">
      <c r="A335" s="40">
        <v>1903</v>
      </c>
      <c r="B335" s="41" t="s">
        <v>277</v>
      </c>
      <c r="C335" s="42" t="s">
        <v>576</v>
      </c>
      <c r="D335" s="42" t="s">
        <v>139</v>
      </c>
      <c r="E335" s="42" t="s">
        <v>40</v>
      </c>
      <c r="F335" s="42" t="s">
        <v>577</v>
      </c>
      <c r="G335" s="42" t="s">
        <v>541</v>
      </c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</row>
    <row r="336" spans="1:22" ht="15.75" customHeight="1" x14ac:dyDescent="0.2">
      <c r="A336" s="40">
        <v>2155</v>
      </c>
      <c r="B336" s="41" t="s">
        <v>281</v>
      </c>
      <c r="C336" s="42" t="s">
        <v>576</v>
      </c>
      <c r="D336" s="42" t="s">
        <v>139</v>
      </c>
      <c r="E336" s="42" t="s">
        <v>40</v>
      </c>
      <c r="F336" s="42" t="s">
        <v>577</v>
      </c>
      <c r="G336" s="42" t="s">
        <v>541</v>
      </c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</row>
    <row r="337" spans="1:22" ht="15.75" customHeight="1" x14ac:dyDescent="0.2">
      <c r="A337" s="40"/>
      <c r="B337" s="45" t="s">
        <v>297</v>
      </c>
      <c r="C337" s="46" t="s">
        <v>578</v>
      </c>
      <c r="D337" s="46" t="s">
        <v>272</v>
      </c>
      <c r="E337" s="46" t="s">
        <v>424</v>
      </c>
      <c r="F337" s="46" t="s">
        <v>579</v>
      </c>
      <c r="G337" s="46" t="s">
        <v>541</v>
      </c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</row>
    <row r="338" spans="1:22" ht="15.75" customHeight="1" x14ac:dyDescent="0.2">
      <c r="A338" s="40"/>
      <c r="B338" s="45" t="s">
        <v>300</v>
      </c>
      <c r="C338" s="46" t="s">
        <v>578</v>
      </c>
      <c r="D338" s="46" t="s">
        <v>272</v>
      </c>
      <c r="E338" s="46" t="s">
        <v>424</v>
      </c>
      <c r="F338" s="46" t="s">
        <v>579</v>
      </c>
      <c r="G338" s="46" t="s">
        <v>541</v>
      </c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</row>
    <row r="339" spans="1:22" ht="15.75" customHeight="1" x14ac:dyDescent="0.2">
      <c r="A339" s="40"/>
      <c r="B339" s="45" t="s">
        <v>108</v>
      </c>
      <c r="C339" s="46" t="s">
        <v>578</v>
      </c>
      <c r="D339" s="46" t="s">
        <v>272</v>
      </c>
      <c r="E339" s="46" t="s">
        <v>424</v>
      </c>
      <c r="F339" s="46" t="s">
        <v>579</v>
      </c>
      <c r="G339" s="46" t="s">
        <v>541</v>
      </c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</row>
    <row r="340" spans="1:22" ht="15.75" customHeight="1" x14ac:dyDescent="0.2">
      <c r="A340" s="40"/>
      <c r="B340" s="45" t="s">
        <v>232</v>
      </c>
      <c r="C340" s="46" t="s">
        <v>580</v>
      </c>
      <c r="D340" s="46" t="s">
        <v>581</v>
      </c>
      <c r="E340" s="46" t="s">
        <v>259</v>
      </c>
      <c r="F340" s="46" t="s">
        <v>579</v>
      </c>
      <c r="G340" s="46" t="s">
        <v>541</v>
      </c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</row>
    <row r="341" spans="1:22" ht="15.75" customHeight="1" x14ac:dyDescent="0.2">
      <c r="A341" s="40"/>
      <c r="B341" s="45" t="s">
        <v>296</v>
      </c>
      <c r="C341" s="46" t="s">
        <v>580</v>
      </c>
      <c r="D341" s="46" t="s">
        <v>581</v>
      </c>
      <c r="E341" s="46" t="s">
        <v>259</v>
      </c>
      <c r="F341" s="46" t="s">
        <v>579</v>
      </c>
      <c r="G341" s="46" t="s">
        <v>541</v>
      </c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</row>
    <row r="342" spans="1:22" ht="15.75" customHeight="1" x14ac:dyDescent="0.2">
      <c r="A342" s="40"/>
      <c r="B342" s="45" t="s">
        <v>108</v>
      </c>
      <c r="C342" s="46" t="s">
        <v>580</v>
      </c>
      <c r="D342" s="46" t="s">
        <v>581</v>
      </c>
      <c r="E342" s="46" t="s">
        <v>259</v>
      </c>
      <c r="F342" s="46" t="s">
        <v>579</v>
      </c>
      <c r="G342" s="46" t="s">
        <v>541</v>
      </c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</row>
    <row r="343" spans="1:22" ht="15.75" customHeight="1" x14ac:dyDescent="0.2">
      <c r="A343" s="40"/>
      <c r="B343" s="45" t="s">
        <v>307</v>
      </c>
      <c r="C343" s="46" t="s">
        <v>582</v>
      </c>
      <c r="D343" s="46" t="s">
        <v>309</v>
      </c>
      <c r="E343" s="46" t="s">
        <v>125</v>
      </c>
      <c r="F343" s="46" t="s">
        <v>579</v>
      </c>
      <c r="G343" s="46" t="s">
        <v>541</v>
      </c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</row>
    <row r="344" spans="1:22" ht="15.75" customHeight="1" x14ac:dyDescent="0.2">
      <c r="A344" s="40"/>
      <c r="B344" s="45" t="s">
        <v>311</v>
      </c>
      <c r="C344" s="46" t="s">
        <v>582</v>
      </c>
      <c r="D344" s="46" t="s">
        <v>309</v>
      </c>
      <c r="E344" s="46" t="s">
        <v>125</v>
      </c>
      <c r="F344" s="46" t="s">
        <v>579</v>
      </c>
      <c r="G344" s="46" t="s">
        <v>541</v>
      </c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</row>
    <row r="345" spans="1:22" ht="15.75" customHeight="1" x14ac:dyDescent="0.2">
      <c r="A345" s="40"/>
      <c r="B345" s="45" t="s">
        <v>108</v>
      </c>
      <c r="C345" s="46" t="s">
        <v>582</v>
      </c>
      <c r="D345" s="46" t="s">
        <v>309</v>
      </c>
      <c r="E345" s="46" t="s">
        <v>125</v>
      </c>
      <c r="F345" s="46" t="s">
        <v>579</v>
      </c>
      <c r="G345" s="46" t="s">
        <v>541</v>
      </c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</row>
    <row r="346" spans="1:22" ht="15.75" customHeight="1" x14ac:dyDescent="0.2">
      <c r="A346" s="40"/>
      <c r="B346" s="45" t="s">
        <v>121</v>
      </c>
      <c r="C346" s="46" t="s">
        <v>583</v>
      </c>
      <c r="D346" s="46" t="s">
        <v>474</v>
      </c>
      <c r="E346" s="46" t="s">
        <v>348</v>
      </c>
      <c r="F346" s="46" t="s">
        <v>579</v>
      </c>
      <c r="G346" s="46" t="s">
        <v>541</v>
      </c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</row>
    <row r="347" spans="1:22" ht="15.75" customHeight="1" x14ac:dyDescent="0.2">
      <c r="A347" s="40"/>
      <c r="B347" s="45" t="s">
        <v>315</v>
      </c>
      <c r="C347" s="46" t="s">
        <v>583</v>
      </c>
      <c r="D347" s="46" t="s">
        <v>474</v>
      </c>
      <c r="E347" s="46" t="s">
        <v>348</v>
      </c>
      <c r="F347" s="46" t="s">
        <v>579</v>
      </c>
      <c r="G347" s="46" t="s">
        <v>541</v>
      </c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</row>
    <row r="348" spans="1:22" ht="15.75" customHeight="1" x14ac:dyDescent="0.2">
      <c r="A348" s="40"/>
      <c r="B348" s="45" t="s">
        <v>307</v>
      </c>
      <c r="C348" s="46" t="s">
        <v>584</v>
      </c>
      <c r="D348" s="46" t="s">
        <v>58</v>
      </c>
      <c r="E348" s="46" t="s">
        <v>306</v>
      </c>
      <c r="F348" s="46" t="s">
        <v>579</v>
      </c>
      <c r="G348" s="46" t="s">
        <v>541</v>
      </c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</row>
    <row r="349" spans="1:22" ht="15.75" customHeight="1" x14ac:dyDescent="0.2">
      <c r="A349" s="40"/>
      <c r="B349" s="45" t="s">
        <v>311</v>
      </c>
      <c r="C349" s="46" t="s">
        <v>584</v>
      </c>
      <c r="D349" s="46" t="s">
        <v>58</v>
      </c>
      <c r="E349" s="46" t="s">
        <v>306</v>
      </c>
      <c r="F349" s="46" t="s">
        <v>579</v>
      </c>
      <c r="G349" s="46" t="s">
        <v>541</v>
      </c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</row>
    <row r="350" spans="1:22" ht="15.75" customHeight="1" x14ac:dyDescent="0.2">
      <c r="A350" s="40"/>
      <c r="B350" s="45" t="s">
        <v>108</v>
      </c>
      <c r="C350" s="46" t="s">
        <v>584</v>
      </c>
      <c r="D350" s="46" t="s">
        <v>58</v>
      </c>
      <c r="E350" s="46" t="s">
        <v>306</v>
      </c>
      <c r="F350" s="46" t="s">
        <v>579</v>
      </c>
      <c r="G350" s="46" t="s">
        <v>541</v>
      </c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</row>
    <row r="351" spans="1:22" ht="15.75" customHeight="1" x14ac:dyDescent="0.2">
      <c r="A351" s="40">
        <v>1575</v>
      </c>
      <c r="B351" s="41" t="s">
        <v>585</v>
      </c>
      <c r="C351" s="42" t="s">
        <v>586</v>
      </c>
      <c r="D351" s="42" t="s">
        <v>513</v>
      </c>
      <c r="E351" s="42" t="s">
        <v>587</v>
      </c>
      <c r="F351" s="42" t="s">
        <v>588</v>
      </c>
      <c r="G351" s="42" t="s">
        <v>541</v>
      </c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</row>
    <row r="352" spans="1:22" ht="15.75" customHeight="1" x14ac:dyDescent="0.2">
      <c r="A352" s="40">
        <v>2331</v>
      </c>
      <c r="B352" s="41" t="s">
        <v>285</v>
      </c>
      <c r="C352" s="42" t="s">
        <v>586</v>
      </c>
      <c r="D352" s="42" t="s">
        <v>513</v>
      </c>
      <c r="E352" s="42" t="s">
        <v>587</v>
      </c>
      <c r="F352" s="42" t="s">
        <v>588</v>
      </c>
      <c r="G352" s="42" t="s">
        <v>541</v>
      </c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</row>
    <row r="353" spans="1:22" ht="15.75" customHeight="1" x14ac:dyDescent="0.2">
      <c r="A353" s="40">
        <v>2581</v>
      </c>
      <c r="B353" s="41" t="s">
        <v>287</v>
      </c>
      <c r="C353" s="42" t="s">
        <v>586</v>
      </c>
      <c r="D353" s="42" t="s">
        <v>513</v>
      </c>
      <c r="E353" s="42" t="s">
        <v>587</v>
      </c>
      <c r="F353" s="42" t="s">
        <v>588</v>
      </c>
      <c r="G353" s="42" t="s">
        <v>541</v>
      </c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</row>
    <row r="354" spans="1:22" ht="15.75" customHeight="1" x14ac:dyDescent="0.2">
      <c r="A354" s="40"/>
      <c r="B354" s="45" t="s">
        <v>102</v>
      </c>
      <c r="C354" s="46" t="s">
        <v>589</v>
      </c>
      <c r="D354" s="46" t="s">
        <v>116</v>
      </c>
      <c r="E354" s="46" t="s">
        <v>87</v>
      </c>
      <c r="F354" s="46" t="s">
        <v>590</v>
      </c>
      <c r="G354" s="46" t="s">
        <v>541</v>
      </c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</row>
    <row r="355" spans="1:22" ht="15.75" customHeight="1" x14ac:dyDescent="0.2">
      <c r="A355" s="40"/>
      <c r="B355" s="45" t="s">
        <v>102</v>
      </c>
      <c r="C355" s="46" t="s">
        <v>591</v>
      </c>
      <c r="D355" s="46" t="s">
        <v>78</v>
      </c>
      <c r="E355" s="46" t="s">
        <v>310</v>
      </c>
      <c r="F355" s="46" t="s">
        <v>590</v>
      </c>
      <c r="G355" s="46" t="s">
        <v>541</v>
      </c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</row>
    <row r="356" spans="1:22" ht="15.75" customHeight="1" x14ac:dyDescent="0.2">
      <c r="A356" s="40"/>
      <c r="B356" s="45" t="s">
        <v>232</v>
      </c>
      <c r="C356" s="46" t="s">
        <v>592</v>
      </c>
      <c r="D356" s="46" t="s">
        <v>593</v>
      </c>
      <c r="E356" s="46" t="s">
        <v>357</v>
      </c>
      <c r="F356" s="46" t="s">
        <v>594</v>
      </c>
      <c r="G356" s="46" t="s">
        <v>541</v>
      </c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</row>
    <row r="357" spans="1:22" ht="15.75" customHeight="1" x14ac:dyDescent="0.2">
      <c r="A357" s="40"/>
      <c r="B357" s="45" t="s">
        <v>303</v>
      </c>
      <c r="C357" s="46" t="s">
        <v>592</v>
      </c>
      <c r="D357" s="46" t="s">
        <v>593</v>
      </c>
      <c r="E357" s="46" t="s">
        <v>357</v>
      </c>
      <c r="F357" s="46" t="s">
        <v>594</v>
      </c>
      <c r="G357" s="46" t="s">
        <v>541</v>
      </c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</row>
    <row r="358" spans="1:22" ht="15.75" customHeight="1" x14ac:dyDescent="0.2">
      <c r="A358" s="40"/>
      <c r="B358" s="45" t="s">
        <v>94</v>
      </c>
      <c r="C358" s="46" t="s">
        <v>592</v>
      </c>
      <c r="D358" s="46" t="s">
        <v>593</v>
      </c>
      <c r="E358" s="46" t="s">
        <v>357</v>
      </c>
      <c r="F358" s="46" t="s">
        <v>594</v>
      </c>
      <c r="G358" s="46" t="s">
        <v>541</v>
      </c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</row>
    <row r="359" spans="1:22" ht="15.75" customHeight="1" x14ac:dyDescent="0.2">
      <c r="A359" s="40">
        <v>77</v>
      </c>
      <c r="B359" s="41" t="s">
        <v>226</v>
      </c>
      <c r="C359" s="42" t="s">
        <v>379</v>
      </c>
      <c r="D359" s="42" t="s">
        <v>325</v>
      </c>
      <c r="E359" s="42" t="s">
        <v>79</v>
      </c>
      <c r="F359" s="42" t="s">
        <v>594</v>
      </c>
      <c r="G359" s="42" t="s">
        <v>541</v>
      </c>
    </row>
    <row r="360" spans="1:22" ht="15.75" customHeight="1" x14ac:dyDescent="0.2">
      <c r="A360" s="40"/>
      <c r="B360" s="45" t="s">
        <v>121</v>
      </c>
      <c r="C360" s="46" t="s">
        <v>595</v>
      </c>
      <c r="D360" s="46" t="s">
        <v>468</v>
      </c>
      <c r="E360" s="46" t="s">
        <v>596</v>
      </c>
      <c r="F360" s="46" t="s">
        <v>597</v>
      </c>
      <c r="G360" s="46" t="s">
        <v>541</v>
      </c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</row>
    <row r="361" spans="1:22" ht="15.75" customHeight="1" x14ac:dyDescent="0.2">
      <c r="A361" s="40"/>
      <c r="B361" s="45" t="s">
        <v>315</v>
      </c>
      <c r="C361" s="46" t="s">
        <v>595</v>
      </c>
      <c r="D361" s="46" t="s">
        <v>468</v>
      </c>
      <c r="E361" s="46" t="s">
        <v>596</v>
      </c>
      <c r="F361" s="46" t="s">
        <v>597</v>
      </c>
      <c r="G361" s="46" t="s">
        <v>541</v>
      </c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</row>
    <row r="362" spans="1:22" ht="15.75" customHeight="1" x14ac:dyDescent="0.2">
      <c r="A362" s="40">
        <v>1643</v>
      </c>
      <c r="B362" s="41" t="s">
        <v>267</v>
      </c>
      <c r="C362" s="42" t="s">
        <v>598</v>
      </c>
      <c r="D362" s="42" t="s">
        <v>236</v>
      </c>
      <c r="E362" s="42" t="s">
        <v>306</v>
      </c>
      <c r="F362" s="42" t="s">
        <v>597</v>
      </c>
      <c r="G362" s="42" t="s">
        <v>541</v>
      </c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</row>
    <row r="363" spans="1:22" ht="15.75" customHeight="1" x14ac:dyDescent="0.2">
      <c r="A363" s="40">
        <v>2213</v>
      </c>
      <c r="B363" s="41" t="s">
        <v>282</v>
      </c>
      <c r="C363" s="42" t="s">
        <v>598</v>
      </c>
      <c r="D363" s="42" t="s">
        <v>236</v>
      </c>
      <c r="E363" s="42" t="s">
        <v>306</v>
      </c>
      <c r="F363" s="42" t="s">
        <v>597</v>
      </c>
      <c r="G363" s="42" t="s">
        <v>541</v>
      </c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</row>
    <row r="364" spans="1:22" ht="15.75" customHeight="1" x14ac:dyDescent="0.2">
      <c r="A364" s="40">
        <v>2795</v>
      </c>
      <c r="B364" s="41" t="s">
        <v>288</v>
      </c>
      <c r="C364" s="42" t="s">
        <v>598</v>
      </c>
      <c r="D364" s="42" t="s">
        <v>236</v>
      </c>
      <c r="E364" s="42" t="s">
        <v>306</v>
      </c>
      <c r="F364" s="42" t="s">
        <v>597</v>
      </c>
      <c r="G364" s="42" t="s">
        <v>541</v>
      </c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</row>
    <row r="365" spans="1:22" ht="15.75" customHeight="1" x14ac:dyDescent="0.2">
      <c r="A365" s="40"/>
      <c r="B365" s="45" t="s">
        <v>316</v>
      </c>
      <c r="C365" s="46" t="s">
        <v>599</v>
      </c>
      <c r="D365" s="46" t="s">
        <v>600</v>
      </c>
      <c r="E365" s="46" t="s">
        <v>348</v>
      </c>
      <c r="F365" s="46" t="s">
        <v>597</v>
      </c>
      <c r="G365" s="46" t="s">
        <v>541</v>
      </c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</row>
    <row r="366" spans="1:22" ht="15.75" customHeight="1" x14ac:dyDescent="0.2">
      <c r="A366" s="40"/>
      <c r="B366" s="45" t="s">
        <v>102</v>
      </c>
      <c r="C366" s="46" t="s">
        <v>599</v>
      </c>
      <c r="D366" s="46" t="s">
        <v>600</v>
      </c>
      <c r="E366" s="46" t="s">
        <v>348</v>
      </c>
      <c r="F366" s="46" t="s">
        <v>597</v>
      </c>
      <c r="G366" s="46" t="s">
        <v>541</v>
      </c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</row>
    <row r="367" spans="1:22" ht="15.75" customHeight="1" x14ac:dyDescent="0.2">
      <c r="A367" s="40">
        <v>1375</v>
      </c>
      <c r="B367" s="41" t="s">
        <v>601</v>
      </c>
      <c r="C367" s="42" t="s">
        <v>602</v>
      </c>
      <c r="D367" s="42" t="s">
        <v>603</v>
      </c>
      <c r="E367" s="42" t="s">
        <v>306</v>
      </c>
      <c r="F367" s="42" t="s">
        <v>597</v>
      </c>
      <c r="G367" s="42" t="s">
        <v>541</v>
      </c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</row>
    <row r="368" spans="1:22" ht="15.75" customHeight="1" x14ac:dyDescent="0.2">
      <c r="A368" s="40">
        <v>1861</v>
      </c>
      <c r="B368" s="41" t="s">
        <v>604</v>
      </c>
      <c r="C368" s="42" t="s">
        <v>602</v>
      </c>
      <c r="D368" s="42" t="s">
        <v>603</v>
      </c>
      <c r="E368" s="42" t="s">
        <v>306</v>
      </c>
      <c r="F368" s="42" t="s">
        <v>597</v>
      </c>
      <c r="G368" s="42" t="s">
        <v>541</v>
      </c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</row>
    <row r="369" spans="1:22" ht="15.75" customHeight="1" x14ac:dyDescent="0.2">
      <c r="A369" s="40"/>
      <c r="B369" s="45" t="s">
        <v>297</v>
      </c>
      <c r="C369" s="46" t="s">
        <v>537</v>
      </c>
      <c r="D369" s="46" t="s">
        <v>605</v>
      </c>
      <c r="E369" s="46" t="s">
        <v>134</v>
      </c>
      <c r="F369" s="46" t="s">
        <v>606</v>
      </c>
      <c r="G369" s="46" t="s">
        <v>541</v>
      </c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</row>
    <row r="370" spans="1:22" ht="15.75" customHeight="1" x14ac:dyDescent="0.2">
      <c r="A370" s="40"/>
      <c r="B370" s="45" t="s">
        <v>316</v>
      </c>
      <c r="C370" s="46" t="s">
        <v>537</v>
      </c>
      <c r="D370" s="46" t="s">
        <v>605</v>
      </c>
      <c r="E370" s="46" t="s">
        <v>134</v>
      </c>
      <c r="F370" s="46" t="s">
        <v>606</v>
      </c>
      <c r="G370" s="46" t="s">
        <v>541</v>
      </c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</row>
    <row r="371" spans="1:22" ht="15.75" customHeight="1" x14ac:dyDescent="0.2">
      <c r="A371" s="40"/>
      <c r="B371" s="45" t="s">
        <v>108</v>
      </c>
      <c r="C371" s="46" t="s">
        <v>537</v>
      </c>
      <c r="D371" s="46" t="s">
        <v>605</v>
      </c>
      <c r="E371" s="46" t="s">
        <v>134</v>
      </c>
      <c r="F371" s="46" t="s">
        <v>606</v>
      </c>
      <c r="G371" s="46" t="s">
        <v>541</v>
      </c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</row>
    <row r="372" spans="1:22" ht="15.75" customHeight="1" x14ac:dyDescent="0.2">
      <c r="A372" s="40"/>
      <c r="B372" s="45" t="s">
        <v>94</v>
      </c>
      <c r="C372" s="46" t="s">
        <v>301</v>
      </c>
      <c r="D372" s="46" t="s">
        <v>292</v>
      </c>
      <c r="E372" s="46" t="s">
        <v>306</v>
      </c>
      <c r="F372" s="46" t="s">
        <v>607</v>
      </c>
      <c r="G372" s="46" t="s">
        <v>541</v>
      </c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</row>
    <row r="373" spans="1:22" ht="15.75" customHeight="1" x14ac:dyDescent="0.2">
      <c r="A373" s="40"/>
      <c r="B373" s="45" t="s">
        <v>45</v>
      </c>
      <c r="C373" s="46" t="s">
        <v>608</v>
      </c>
      <c r="D373" s="46" t="s">
        <v>474</v>
      </c>
      <c r="E373" s="46" t="s">
        <v>357</v>
      </c>
      <c r="F373" s="46" t="s">
        <v>609</v>
      </c>
      <c r="G373" s="46" t="s">
        <v>541</v>
      </c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</row>
    <row r="374" spans="1:22" ht="15.75" customHeight="1" x14ac:dyDescent="0.2">
      <c r="A374" s="40">
        <v>797</v>
      </c>
      <c r="B374" s="41" t="s">
        <v>610</v>
      </c>
      <c r="C374" s="42" t="s">
        <v>611</v>
      </c>
      <c r="D374" s="42" t="s">
        <v>430</v>
      </c>
      <c r="E374" s="42" t="s">
        <v>612</v>
      </c>
      <c r="F374" s="42" t="s">
        <v>609</v>
      </c>
      <c r="G374" s="42" t="s">
        <v>541</v>
      </c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</row>
    <row r="375" spans="1:22" ht="15.75" customHeight="1" x14ac:dyDescent="0.2">
      <c r="A375" s="40">
        <v>393</v>
      </c>
      <c r="B375" s="41" t="s">
        <v>613</v>
      </c>
      <c r="C375" s="42" t="s">
        <v>614</v>
      </c>
      <c r="D375" s="42" t="s">
        <v>615</v>
      </c>
      <c r="E375" s="42" t="s">
        <v>616</v>
      </c>
      <c r="F375" s="42" t="s">
        <v>609</v>
      </c>
      <c r="G375" s="42" t="s">
        <v>541</v>
      </c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</row>
    <row r="376" spans="1:22" ht="15.75" customHeight="1" x14ac:dyDescent="0.2">
      <c r="A376" s="40"/>
      <c r="B376" s="45" t="s">
        <v>323</v>
      </c>
      <c r="C376" s="46" t="s">
        <v>617</v>
      </c>
      <c r="D376" s="46" t="s">
        <v>309</v>
      </c>
      <c r="E376" s="46" t="s">
        <v>618</v>
      </c>
      <c r="F376" s="46" t="s">
        <v>619</v>
      </c>
      <c r="G376" s="46" t="s">
        <v>541</v>
      </c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</row>
    <row r="377" spans="1:22" ht="15.75" customHeight="1" x14ac:dyDescent="0.2">
      <c r="A377" s="40"/>
      <c r="B377" s="45" t="s">
        <v>297</v>
      </c>
      <c r="C377" s="46" t="s">
        <v>617</v>
      </c>
      <c r="D377" s="46" t="s">
        <v>309</v>
      </c>
      <c r="E377" s="46" t="s">
        <v>618</v>
      </c>
      <c r="F377" s="46" t="s">
        <v>619</v>
      </c>
      <c r="G377" s="46" t="s">
        <v>541</v>
      </c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</row>
    <row r="378" spans="1:22" ht="15.75" customHeight="1" x14ac:dyDescent="0.2">
      <c r="A378" s="40">
        <v>1151</v>
      </c>
      <c r="B378" s="41" t="s">
        <v>433</v>
      </c>
      <c r="C378" s="42" t="s">
        <v>620</v>
      </c>
      <c r="D378" s="42" t="s">
        <v>388</v>
      </c>
      <c r="E378" s="42" t="s">
        <v>348</v>
      </c>
      <c r="F378" s="42" t="s">
        <v>619</v>
      </c>
      <c r="G378" s="42" t="s">
        <v>541</v>
      </c>
    </row>
    <row r="379" spans="1:22" ht="15.75" customHeight="1" x14ac:dyDescent="0.2">
      <c r="A379" s="40">
        <v>1827</v>
      </c>
      <c r="B379" s="41" t="s">
        <v>439</v>
      </c>
      <c r="C379" s="42" t="s">
        <v>620</v>
      </c>
      <c r="D379" s="42" t="s">
        <v>388</v>
      </c>
      <c r="E379" s="42" t="s">
        <v>348</v>
      </c>
      <c r="F379" s="42" t="s">
        <v>619</v>
      </c>
      <c r="G379" s="42" t="s">
        <v>541</v>
      </c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</row>
    <row r="380" spans="1:22" ht="15.75" customHeight="1" x14ac:dyDescent="0.2">
      <c r="A380" s="40">
        <v>2273</v>
      </c>
      <c r="B380" s="41" t="s">
        <v>283</v>
      </c>
      <c r="C380" s="42" t="s">
        <v>620</v>
      </c>
      <c r="D380" s="42" t="s">
        <v>388</v>
      </c>
      <c r="E380" s="42" t="s">
        <v>348</v>
      </c>
      <c r="F380" s="42" t="s">
        <v>619</v>
      </c>
      <c r="G380" s="42" t="s">
        <v>541</v>
      </c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</row>
    <row r="381" spans="1:22" ht="15.75" customHeight="1" x14ac:dyDescent="0.2">
      <c r="A381" s="40">
        <v>1597</v>
      </c>
      <c r="B381" s="41" t="s">
        <v>264</v>
      </c>
      <c r="C381" s="42" t="s">
        <v>621</v>
      </c>
      <c r="D381" s="42" t="s">
        <v>75</v>
      </c>
      <c r="E381" s="42" t="s">
        <v>622</v>
      </c>
      <c r="F381" s="42" t="s">
        <v>619</v>
      </c>
      <c r="G381" s="42" t="s">
        <v>541</v>
      </c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</row>
    <row r="382" spans="1:22" ht="15.75" customHeight="1" x14ac:dyDescent="0.2">
      <c r="A382" s="40">
        <v>2191</v>
      </c>
      <c r="B382" s="41" t="s">
        <v>282</v>
      </c>
      <c r="C382" s="42" t="s">
        <v>621</v>
      </c>
      <c r="D382" s="42" t="s">
        <v>75</v>
      </c>
      <c r="E382" s="42" t="s">
        <v>622</v>
      </c>
      <c r="F382" s="42" t="s">
        <v>619</v>
      </c>
      <c r="G382" s="42" t="s">
        <v>541</v>
      </c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</row>
    <row r="383" spans="1:22" ht="15.75" customHeight="1" x14ac:dyDescent="0.2">
      <c r="A383" s="40">
        <v>2765</v>
      </c>
      <c r="B383" s="41" t="s">
        <v>623</v>
      </c>
      <c r="C383" s="42" t="s">
        <v>621</v>
      </c>
      <c r="D383" s="42" t="s">
        <v>75</v>
      </c>
      <c r="E383" s="42" t="s">
        <v>622</v>
      </c>
      <c r="F383" s="42" t="s">
        <v>619</v>
      </c>
      <c r="G383" s="42" t="s">
        <v>541</v>
      </c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</row>
    <row r="384" spans="1:22" ht="15.75" customHeight="1" x14ac:dyDescent="0.2">
      <c r="A384" s="40">
        <v>995</v>
      </c>
      <c r="B384" s="41" t="s">
        <v>624</v>
      </c>
      <c r="C384" s="42" t="s">
        <v>625</v>
      </c>
      <c r="D384" s="42" t="s">
        <v>350</v>
      </c>
      <c r="E384" s="42" t="s">
        <v>626</v>
      </c>
      <c r="F384" s="42" t="s">
        <v>619</v>
      </c>
      <c r="G384" s="42" t="s">
        <v>541</v>
      </c>
    </row>
    <row r="385" spans="1:22" ht="15.75" customHeight="1" x14ac:dyDescent="0.2">
      <c r="A385" s="40">
        <v>2247</v>
      </c>
      <c r="B385" s="41" t="s">
        <v>627</v>
      </c>
      <c r="C385" s="42" t="s">
        <v>625</v>
      </c>
      <c r="D385" s="42" t="s">
        <v>350</v>
      </c>
      <c r="E385" s="42" t="s">
        <v>626</v>
      </c>
      <c r="F385" s="42" t="s">
        <v>619</v>
      </c>
      <c r="G385" s="42" t="s">
        <v>541</v>
      </c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</row>
    <row r="386" spans="1:22" ht="15.75" customHeight="1" x14ac:dyDescent="0.2">
      <c r="A386" s="40"/>
      <c r="B386" s="45" t="s">
        <v>315</v>
      </c>
      <c r="C386" s="46" t="s">
        <v>625</v>
      </c>
      <c r="D386" s="46" t="s">
        <v>474</v>
      </c>
      <c r="E386" s="46" t="s">
        <v>626</v>
      </c>
      <c r="F386" s="46" t="s">
        <v>619</v>
      </c>
      <c r="G386" s="46" t="s">
        <v>541</v>
      </c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</row>
    <row r="387" spans="1:22" ht="15.75" customHeight="1" x14ac:dyDescent="0.2">
      <c r="A387" s="40"/>
      <c r="B387" s="45" t="s">
        <v>316</v>
      </c>
      <c r="C387" s="46" t="s">
        <v>625</v>
      </c>
      <c r="D387" s="46" t="s">
        <v>474</v>
      </c>
      <c r="E387" s="46" t="s">
        <v>626</v>
      </c>
      <c r="F387" s="46" t="s">
        <v>619</v>
      </c>
      <c r="G387" s="46" t="s">
        <v>541</v>
      </c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</row>
    <row r="388" spans="1:22" ht="15.75" customHeight="1" x14ac:dyDescent="0.2">
      <c r="A388" s="40">
        <v>271</v>
      </c>
      <c r="B388" s="41" t="s">
        <v>628</v>
      </c>
      <c r="C388" s="42" t="s">
        <v>629</v>
      </c>
      <c r="D388" s="42" t="s">
        <v>339</v>
      </c>
      <c r="E388" s="42" t="s">
        <v>630</v>
      </c>
      <c r="F388" s="42" t="s">
        <v>631</v>
      </c>
      <c r="G388" s="42" t="s">
        <v>632</v>
      </c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</row>
    <row r="389" spans="1:22" ht="15.75" customHeight="1" x14ac:dyDescent="0.2">
      <c r="A389" s="40">
        <v>275</v>
      </c>
      <c r="B389" s="41" t="s">
        <v>628</v>
      </c>
      <c r="C389" s="42" t="s">
        <v>633</v>
      </c>
      <c r="D389" s="42" t="s">
        <v>86</v>
      </c>
      <c r="E389" s="42" t="s">
        <v>40</v>
      </c>
      <c r="F389" s="42" t="s">
        <v>631</v>
      </c>
      <c r="G389" s="42" t="s">
        <v>632</v>
      </c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</row>
    <row r="390" spans="1:22" ht="15.75" customHeight="1" x14ac:dyDescent="0.2">
      <c r="A390" s="40">
        <v>889</v>
      </c>
      <c r="B390" s="41" t="s">
        <v>634</v>
      </c>
      <c r="C390" s="42" t="s">
        <v>635</v>
      </c>
      <c r="D390" s="42" t="s">
        <v>636</v>
      </c>
      <c r="E390" s="42" t="s">
        <v>637</v>
      </c>
      <c r="F390" s="42" t="s">
        <v>631</v>
      </c>
      <c r="G390" s="42" t="s">
        <v>632</v>
      </c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</row>
    <row r="391" spans="1:22" ht="15.75" customHeight="1" x14ac:dyDescent="0.2">
      <c r="A391" s="40">
        <v>989</v>
      </c>
      <c r="B391" s="41" t="s">
        <v>624</v>
      </c>
      <c r="C391" s="42" t="s">
        <v>638</v>
      </c>
      <c r="D391" s="42" t="s">
        <v>574</v>
      </c>
      <c r="E391" s="42" t="s">
        <v>639</v>
      </c>
      <c r="F391" s="42" t="s">
        <v>631</v>
      </c>
      <c r="G391" s="42" t="s">
        <v>632</v>
      </c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</row>
    <row r="392" spans="1:22" ht="15.75" customHeight="1" x14ac:dyDescent="0.2">
      <c r="A392" s="40">
        <v>1029</v>
      </c>
      <c r="B392" s="41" t="s">
        <v>464</v>
      </c>
      <c r="C392" s="42" t="s">
        <v>629</v>
      </c>
      <c r="D392" s="42" t="s">
        <v>339</v>
      </c>
      <c r="E392" s="42" t="s">
        <v>630</v>
      </c>
      <c r="F392" s="42" t="s">
        <v>631</v>
      </c>
      <c r="G392" s="42" t="s">
        <v>632</v>
      </c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</row>
    <row r="393" spans="1:22" ht="15.75" customHeight="1" x14ac:dyDescent="0.2">
      <c r="A393" s="40">
        <v>1043</v>
      </c>
      <c r="B393" s="41" t="s">
        <v>464</v>
      </c>
      <c r="C393" s="42" t="s">
        <v>633</v>
      </c>
      <c r="D393" s="42" t="s">
        <v>86</v>
      </c>
      <c r="E393" s="42" t="s">
        <v>40</v>
      </c>
      <c r="F393" s="42" t="s">
        <v>631</v>
      </c>
      <c r="G393" s="42" t="s">
        <v>632</v>
      </c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</row>
    <row r="394" spans="1:22" ht="15.75" customHeight="1" x14ac:dyDescent="0.2">
      <c r="A394" s="40">
        <v>1045</v>
      </c>
      <c r="B394" s="41" t="s">
        <v>464</v>
      </c>
      <c r="C394" s="42" t="s">
        <v>640</v>
      </c>
      <c r="D394" s="42" t="s">
        <v>516</v>
      </c>
      <c r="E394" s="42" t="s">
        <v>40</v>
      </c>
      <c r="F394" s="42" t="s">
        <v>631</v>
      </c>
      <c r="G394" s="42" t="s">
        <v>632</v>
      </c>
    </row>
    <row r="395" spans="1:22" ht="15.75" customHeight="1" x14ac:dyDescent="0.2">
      <c r="A395" s="40">
        <v>1069</v>
      </c>
      <c r="B395" s="41" t="s">
        <v>458</v>
      </c>
      <c r="C395" s="42" t="s">
        <v>436</v>
      </c>
      <c r="D395" s="42" t="s">
        <v>236</v>
      </c>
      <c r="E395" s="42" t="s">
        <v>630</v>
      </c>
      <c r="F395" s="42" t="s">
        <v>631</v>
      </c>
      <c r="G395" s="42" t="s">
        <v>632</v>
      </c>
    </row>
    <row r="396" spans="1:22" ht="15.75" customHeight="1" x14ac:dyDescent="0.2">
      <c r="A396" s="40">
        <v>1101</v>
      </c>
      <c r="B396" s="41" t="s">
        <v>641</v>
      </c>
      <c r="C396" s="42" t="s">
        <v>642</v>
      </c>
      <c r="D396" s="42" t="s">
        <v>643</v>
      </c>
      <c r="E396" s="42" t="s">
        <v>424</v>
      </c>
      <c r="F396" s="42" t="s">
        <v>631</v>
      </c>
      <c r="G396" s="42" t="s">
        <v>632</v>
      </c>
    </row>
    <row r="397" spans="1:22" ht="15.75" customHeight="1" x14ac:dyDescent="0.2">
      <c r="A397" s="40">
        <v>1129</v>
      </c>
      <c r="B397" s="41" t="s">
        <v>449</v>
      </c>
      <c r="C397" s="42" t="s">
        <v>644</v>
      </c>
      <c r="D397" s="42" t="s">
        <v>133</v>
      </c>
      <c r="E397" s="42" t="s">
        <v>645</v>
      </c>
      <c r="F397" s="42" t="s">
        <v>631</v>
      </c>
      <c r="G397" s="42" t="s">
        <v>632</v>
      </c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</row>
    <row r="398" spans="1:22" ht="15.75" customHeight="1" x14ac:dyDescent="0.2">
      <c r="A398" s="40">
        <v>1161</v>
      </c>
      <c r="B398" s="41" t="s">
        <v>433</v>
      </c>
      <c r="C398" s="42" t="s">
        <v>646</v>
      </c>
      <c r="D398" s="42" t="s">
        <v>647</v>
      </c>
      <c r="E398" s="42" t="s">
        <v>255</v>
      </c>
      <c r="F398" s="42" t="s">
        <v>631</v>
      </c>
      <c r="G398" s="42" t="s">
        <v>632</v>
      </c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</row>
    <row r="399" spans="1:22" ht="15.75" customHeight="1" x14ac:dyDescent="0.2">
      <c r="A399" s="40">
        <v>1329</v>
      </c>
      <c r="B399" s="41" t="s">
        <v>260</v>
      </c>
      <c r="C399" s="42" t="s">
        <v>648</v>
      </c>
      <c r="D399" s="42" t="s">
        <v>75</v>
      </c>
      <c r="E399" s="42" t="s">
        <v>40</v>
      </c>
      <c r="F399" s="42" t="s">
        <v>631</v>
      </c>
      <c r="G399" s="42" t="s">
        <v>632</v>
      </c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</row>
    <row r="400" spans="1:22" ht="15.75" customHeight="1" x14ac:dyDescent="0.2">
      <c r="A400" s="40">
        <v>1385</v>
      </c>
      <c r="B400" s="41" t="s">
        <v>601</v>
      </c>
      <c r="C400" s="42" t="s">
        <v>649</v>
      </c>
      <c r="D400" s="42" t="s">
        <v>75</v>
      </c>
      <c r="E400" s="42" t="s">
        <v>650</v>
      </c>
      <c r="F400" s="42" t="s">
        <v>631</v>
      </c>
      <c r="G400" s="42" t="s">
        <v>632</v>
      </c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</row>
    <row r="401" spans="1:22" ht="15.75" customHeight="1" x14ac:dyDescent="0.2">
      <c r="A401" s="40">
        <v>1635</v>
      </c>
      <c r="B401" s="41" t="s">
        <v>267</v>
      </c>
      <c r="C401" s="42" t="s">
        <v>651</v>
      </c>
      <c r="D401" s="42" t="s">
        <v>183</v>
      </c>
      <c r="E401" s="42" t="s">
        <v>40</v>
      </c>
      <c r="F401" s="42" t="s">
        <v>631</v>
      </c>
      <c r="G401" s="42" t="s">
        <v>632</v>
      </c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</row>
    <row r="402" spans="1:22" ht="15.75" customHeight="1" x14ac:dyDescent="0.2">
      <c r="A402" s="40">
        <v>1723</v>
      </c>
      <c r="B402" s="41" t="s">
        <v>465</v>
      </c>
      <c r="C402" s="42" t="s">
        <v>629</v>
      </c>
      <c r="D402" s="42" t="s">
        <v>339</v>
      </c>
      <c r="E402" s="42" t="s">
        <v>630</v>
      </c>
      <c r="F402" s="42" t="s">
        <v>631</v>
      </c>
      <c r="G402" s="42" t="s">
        <v>632</v>
      </c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</row>
    <row r="403" spans="1:22" ht="15.75" customHeight="1" x14ac:dyDescent="0.2">
      <c r="A403" s="40">
        <v>1805</v>
      </c>
      <c r="B403" s="41" t="s">
        <v>276</v>
      </c>
      <c r="C403" s="42" t="s">
        <v>642</v>
      </c>
      <c r="D403" s="42" t="s">
        <v>643</v>
      </c>
      <c r="E403" s="42" t="s">
        <v>424</v>
      </c>
      <c r="F403" s="42" t="s">
        <v>631</v>
      </c>
      <c r="G403" s="42" t="s">
        <v>632</v>
      </c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</row>
    <row r="404" spans="1:22" ht="15.75" customHeight="1" x14ac:dyDescent="0.2">
      <c r="A404" s="40">
        <v>1807</v>
      </c>
      <c r="B404" s="41" t="s">
        <v>276</v>
      </c>
      <c r="C404" s="42" t="s">
        <v>648</v>
      </c>
      <c r="D404" s="42" t="s">
        <v>75</v>
      </c>
      <c r="E404" s="42" t="s">
        <v>40</v>
      </c>
      <c r="F404" s="42" t="s">
        <v>631</v>
      </c>
      <c r="G404" s="42" t="s">
        <v>632</v>
      </c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</row>
    <row r="405" spans="1:22" ht="15.75" customHeight="1" x14ac:dyDescent="0.2">
      <c r="A405" s="40">
        <v>1835</v>
      </c>
      <c r="B405" s="41" t="s">
        <v>439</v>
      </c>
      <c r="C405" s="42" t="s">
        <v>646</v>
      </c>
      <c r="D405" s="42" t="s">
        <v>647</v>
      </c>
      <c r="E405" s="42" t="s">
        <v>255</v>
      </c>
      <c r="F405" s="42" t="s">
        <v>631</v>
      </c>
      <c r="G405" s="42" t="s">
        <v>632</v>
      </c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</row>
    <row r="406" spans="1:22" ht="15.75" customHeight="1" x14ac:dyDescent="0.2">
      <c r="A406" s="40">
        <v>1865</v>
      </c>
      <c r="B406" s="41" t="s">
        <v>604</v>
      </c>
      <c r="C406" s="42" t="s">
        <v>649</v>
      </c>
      <c r="D406" s="42" t="s">
        <v>75</v>
      </c>
      <c r="E406" s="42" t="s">
        <v>650</v>
      </c>
      <c r="F406" s="42" t="s">
        <v>631</v>
      </c>
      <c r="G406" s="42" t="s">
        <v>632</v>
      </c>
    </row>
    <row r="407" spans="1:22" ht="15.75" customHeight="1" x14ac:dyDescent="0.2">
      <c r="A407" s="40">
        <v>1993</v>
      </c>
      <c r="B407" s="41" t="s">
        <v>652</v>
      </c>
      <c r="C407" s="42" t="s">
        <v>635</v>
      </c>
      <c r="D407" s="42" t="s">
        <v>636</v>
      </c>
      <c r="E407" s="42" t="s">
        <v>637</v>
      </c>
      <c r="F407" s="42" t="s">
        <v>631</v>
      </c>
      <c r="G407" s="42" t="s">
        <v>632</v>
      </c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</row>
    <row r="408" spans="1:22" ht="15.75" customHeight="1" x14ac:dyDescent="0.2">
      <c r="A408" s="40">
        <v>2057</v>
      </c>
      <c r="B408" s="41" t="s">
        <v>653</v>
      </c>
      <c r="C408" s="42" t="s">
        <v>629</v>
      </c>
      <c r="D408" s="42" t="s">
        <v>339</v>
      </c>
      <c r="E408" s="42" t="s">
        <v>630</v>
      </c>
      <c r="F408" s="42" t="s">
        <v>631</v>
      </c>
      <c r="G408" s="42" t="s">
        <v>632</v>
      </c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</row>
    <row r="409" spans="1:22" ht="15.75" customHeight="1" x14ac:dyDescent="0.2">
      <c r="A409" s="40">
        <v>2063</v>
      </c>
      <c r="B409" s="41" t="s">
        <v>653</v>
      </c>
      <c r="C409" s="42" t="s">
        <v>633</v>
      </c>
      <c r="D409" s="42" t="s">
        <v>86</v>
      </c>
      <c r="E409" s="42" t="s">
        <v>40</v>
      </c>
      <c r="F409" s="42" t="s">
        <v>631</v>
      </c>
      <c r="G409" s="42" t="s">
        <v>632</v>
      </c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</row>
    <row r="410" spans="1:22" ht="15.75" customHeight="1" x14ac:dyDescent="0.2">
      <c r="A410" s="40">
        <v>2065</v>
      </c>
      <c r="B410" s="41" t="s">
        <v>653</v>
      </c>
      <c r="C410" s="42" t="s">
        <v>640</v>
      </c>
      <c r="D410" s="42" t="s">
        <v>516</v>
      </c>
      <c r="E410" s="42" t="s">
        <v>40</v>
      </c>
      <c r="F410" s="42" t="s">
        <v>631</v>
      </c>
      <c r="G410" s="42" t="s">
        <v>632</v>
      </c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</row>
    <row r="411" spans="1:22" ht="15.75" customHeight="1" x14ac:dyDescent="0.2">
      <c r="A411" s="40">
        <v>2067</v>
      </c>
      <c r="B411" s="41" t="s">
        <v>653</v>
      </c>
      <c r="C411" s="42" t="s">
        <v>436</v>
      </c>
      <c r="D411" s="42" t="s">
        <v>236</v>
      </c>
      <c r="E411" s="42" t="s">
        <v>630</v>
      </c>
      <c r="F411" s="42" t="s">
        <v>631</v>
      </c>
      <c r="G411" s="42" t="s">
        <v>632</v>
      </c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</row>
    <row r="412" spans="1:22" ht="15.75" customHeight="1" x14ac:dyDescent="0.2">
      <c r="A412" s="40">
        <v>2073</v>
      </c>
      <c r="B412" s="41" t="s">
        <v>653</v>
      </c>
      <c r="C412" s="42" t="s">
        <v>642</v>
      </c>
      <c r="D412" s="42" t="s">
        <v>643</v>
      </c>
      <c r="E412" s="42" t="s">
        <v>424</v>
      </c>
      <c r="F412" s="42" t="s">
        <v>631</v>
      </c>
      <c r="G412" s="42" t="s">
        <v>632</v>
      </c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</row>
    <row r="413" spans="1:22" ht="15.75" customHeight="1" x14ac:dyDescent="0.2">
      <c r="A413" s="40">
        <v>2119</v>
      </c>
      <c r="B413" s="41" t="s">
        <v>280</v>
      </c>
      <c r="C413" s="42" t="s">
        <v>648</v>
      </c>
      <c r="D413" s="42" t="s">
        <v>75</v>
      </c>
      <c r="E413" s="42" t="s">
        <v>40</v>
      </c>
      <c r="F413" s="42" t="s">
        <v>631</v>
      </c>
      <c r="G413" s="42" t="s">
        <v>632</v>
      </c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</row>
    <row r="414" spans="1:22" ht="15.75" customHeight="1" x14ac:dyDescent="0.2">
      <c r="A414" s="40">
        <v>2163</v>
      </c>
      <c r="B414" s="41" t="s">
        <v>281</v>
      </c>
      <c r="C414" s="42" t="s">
        <v>649</v>
      </c>
      <c r="D414" s="42" t="s">
        <v>75</v>
      </c>
      <c r="E414" s="42" t="s">
        <v>650</v>
      </c>
      <c r="F414" s="42" t="s">
        <v>631</v>
      </c>
      <c r="G414" s="42" t="s">
        <v>632</v>
      </c>
    </row>
    <row r="415" spans="1:22" ht="15.75" customHeight="1" x14ac:dyDescent="0.2">
      <c r="A415" s="40">
        <v>2201</v>
      </c>
      <c r="B415" s="41" t="s">
        <v>282</v>
      </c>
      <c r="C415" s="42" t="s">
        <v>651</v>
      </c>
      <c r="D415" s="42" t="s">
        <v>183</v>
      </c>
      <c r="E415" s="42" t="s">
        <v>40</v>
      </c>
      <c r="F415" s="42" t="s">
        <v>631</v>
      </c>
      <c r="G415" s="42" t="s">
        <v>632</v>
      </c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</row>
    <row r="416" spans="1:22" ht="15.75" customHeight="1" x14ac:dyDescent="0.2">
      <c r="A416" s="40">
        <v>2243</v>
      </c>
      <c r="B416" s="41" t="s">
        <v>627</v>
      </c>
      <c r="C416" s="42" t="s">
        <v>638</v>
      </c>
      <c r="D416" s="42" t="s">
        <v>574</v>
      </c>
      <c r="E416" s="42" t="s">
        <v>639</v>
      </c>
      <c r="F416" s="42" t="s">
        <v>631</v>
      </c>
      <c r="G416" s="42" t="s">
        <v>632</v>
      </c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</row>
    <row r="417" spans="1:22" ht="15.75" customHeight="1" x14ac:dyDescent="0.2">
      <c r="A417" s="40">
        <v>2277</v>
      </c>
      <c r="B417" s="41" t="s">
        <v>283</v>
      </c>
      <c r="C417" s="42" t="s">
        <v>644</v>
      </c>
      <c r="D417" s="42" t="s">
        <v>133</v>
      </c>
      <c r="E417" s="42" t="s">
        <v>645</v>
      </c>
      <c r="F417" s="42" t="s">
        <v>631</v>
      </c>
      <c r="G417" s="42" t="s">
        <v>632</v>
      </c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</row>
    <row r="418" spans="1:22" ht="15.75" customHeight="1" x14ac:dyDescent="0.2">
      <c r="A418" s="40">
        <v>2279</v>
      </c>
      <c r="B418" s="41" t="s">
        <v>283</v>
      </c>
      <c r="C418" s="42" t="s">
        <v>646</v>
      </c>
      <c r="D418" s="42" t="s">
        <v>647</v>
      </c>
      <c r="E418" s="42" t="s">
        <v>255</v>
      </c>
      <c r="F418" s="42" t="s">
        <v>631</v>
      </c>
      <c r="G418" s="42" t="s">
        <v>632</v>
      </c>
    </row>
    <row r="419" spans="1:22" ht="15.75" customHeight="1" x14ac:dyDescent="0.2">
      <c r="A419" s="40">
        <v>2789</v>
      </c>
      <c r="B419" s="41" t="s">
        <v>288</v>
      </c>
      <c r="C419" s="42" t="s">
        <v>651</v>
      </c>
      <c r="D419" s="42" t="s">
        <v>183</v>
      </c>
      <c r="E419" s="42" t="s">
        <v>40</v>
      </c>
      <c r="F419" s="42" t="s">
        <v>631</v>
      </c>
      <c r="G419" s="42" t="s">
        <v>632</v>
      </c>
    </row>
    <row r="420" spans="1:22" ht="15.75" customHeight="1" x14ac:dyDescent="0.2">
      <c r="A420" s="40">
        <v>2841</v>
      </c>
      <c r="B420" s="41" t="s">
        <v>654</v>
      </c>
      <c r="C420" s="42" t="s">
        <v>635</v>
      </c>
      <c r="D420" s="42" t="s">
        <v>636</v>
      </c>
      <c r="E420" s="42" t="s">
        <v>637</v>
      </c>
      <c r="F420" s="42" t="s">
        <v>631</v>
      </c>
      <c r="G420" s="42" t="s">
        <v>632</v>
      </c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</row>
    <row r="421" spans="1:22" ht="15.75" customHeight="1" x14ac:dyDescent="0.2">
      <c r="A421" s="40">
        <v>2985</v>
      </c>
      <c r="B421" s="41" t="s">
        <v>289</v>
      </c>
      <c r="C421" s="42" t="s">
        <v>644</v>
      </c>
      <c r="D421" s="42" t="s">
        <v>133</v>
      </c>
      <c r="E421" s="42" t="s">
        <v>645</v>
      </c>
      <c r="F421" s="42" t="s">
        <v>631</v>
      </c>
      <c r="G421" s="42" t="s">
        <v>632</v>
      </c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</row>
    <row r="422" spans="1:22" ht="15.75" customHeight="1" x14ac:dyDescent="0.2">
      <c r="A422" s="40"/>
      <c r="B422" s="45" t="s">
        <v>315</v>
      </c>
      <c r="C422" s="46" t="s">
        <v>657</v>
      </c>
      <c r="D422" s="46" t="s">
        <v>399</v>
      </c>
      <c r="E422" s="46" t="s">
        <v>91</v>
      </c>
      <c r="F422" s="46" t="s">
        <v>631</v>
      </c>
      <c r="G422" s="46" t="s">
        <v>632</v>
      </c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</row>
    <row r="423" spans="1:22" ht="15.75" customHeight="1" x14ac:dyDescent="0.2">
      <c r="A423" s="40"/>
      <c r="B423" s="45" t="s">
        <v>316</v>
      </c>
      <c r="C423" s="46" t="s">
        <v>657</v>
      </c>
      <c r="D423" s="46" t="s">
        <v>399</v>
      </c>
      <c r="E423" s="46" t="s">
        <v>91</v>
      </c>
      <c r="F423" s="46" t="s">
        <v>631</v>
      </c>
      <c r="G423" s="46" t="s">
        <v>632</v>
      </c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</row>
    <row r="424" spans="1:22" ht="15.75" customHeight="1" x14ac:dyDescent="0.2">
      <c r="A424" s="40"/>
      <c r="B424" s="45" t="s">
        <v>421</v>
      </c>
      <c r="C424" s="46" t="s">
        <v>658</v>
      </c>
      <c r="D424" s="46" t="s">
        <v>116</v>
      </c>
      <c r="E424" s="46" t="s">
        <v>546</v>
      </c>
      <c r="F424" s="46" t="s">
        <v>631</v>
      </c>
      <c r="G424" s="46" t="s">
        <v>632</v>
      </c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</row>
    <row r="425" spans="1:22" ht="15.75" customHeight="1" x14ac:dyDescent="0.2">
      <c r="A425" s="40"/>
      <c r="B425" s="45" t="s">
        <v>307</v>
      </c>
      <c r="C425" s="46" t="s">
        <v>658</v>
      </c>
      <c r="D425" s="46" t="s">
        <v>116</v>
      </c>
      <c r="E425" s="46" t="s">
        <v>546</v>
      </c>
      <c r="F425" s="46" t="s">
        <v>631</v>
      </c>
      <c r="G425" s="46" t="s">
        <v>632</v>
      </c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</row>
    <row r="426" spans="1:22" ht="15.75" customHeight="1" x14ac:dyDescent="0.2">
      <c r="A426" s="40"/>
      <c r="B426" s="45" t="s">
        <v>315</v>
      </c>
      <c r="C426" s="46" t="s">
        <v>659</v>
      </c>
      <c r="D426" s="46" t="s">
        <v>339</v>
      </c>
      <c r="E426" s="46" t="s">
        <v>79</v>
      </c>
      <c r="F426" s="46" t="s">
        <v>631</v>
      </c>
      <c r="G426" s="46" t="s">
        <v>632</v>
      </c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</row>
    <row r="427" spans="1:22" ht="15.75" customHeight="1" x14ac:dyDescent="0.2">
      <c r="A427" s="40"/>
      <c r="B427" s="45" t="s">
        <v>108</v>
      </c>
      <c r="C427" s="46" t="s">
        <v>659</v>
      </c>
      <c r="D427" s="46" t="s">
        <v>339</v>
      </c>
      <c r="E427" s="46" t="s">
        <v>79</v>
      </c>
      <c r="F427" s="46" t="s">
        <v>631</v>
      </c>
      <c r="G427" s="46" t="s">
        <v>632</v>
      </c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</row>
    <row r="428" spans="1:22" ht="15.75" customHeight="1" x14ac:dyDescent="0.2">
      <c r="A428" s="40"/>
      <c r="B428" s="45" t="s">
        <v>121</v>
      </c>
      <c r="C428" s="46" t="s">
        <v>660</v>
      </c>
      <c r="D428" s="46" t="s">
        <v>183</v>
      </c>
      <c r="E428" s="46" t="s">
        <v>310</v>
      </c>
      <c r="F428" s="46" t="s">
        <v>631</v>
      </c>
      <c r="G428" s="46" t="s">
        <v>632</v>
      </c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</row>
    <row r="429" spans="1:22" ht="15.75" customHeight="1" x14ac:dyDescent="0.2">
      <c r="A429" s="40"/>
      <c r="B429" s="45" t="s">
        <v>315</v>
      </c>
      <c r="C429" s="46" t="s">
        <v>660</v>
      </c>
      <c r="D429" s="46" t="s">
        <v>183</v>
      </c>
      <c r="E429" s="46" t="s">
        <v>310</v>
      </c>
      <c r="F429" s="46" t="s">
        <v>631</v>
      </c>
      <c r="G429" s="46" t="s">
        <v>632</v>
      </c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</row>
    <row r="430" spans="1:22" ht="15.75" customHeight="1" x14ac:dyDescent="0.2">
      <c r="A430" s="40"/>
      <c r="B430" s="45" t="s">
        <v>421</v>
      </c>
      <c r="C430" s="46" t="s">
        <v>661</v>
      </c>
      <c r="D430" s="46" t="s">
        <v>39</v>
      </c>
      <c r="E430" s="46" t="s">
        <v>87</v>
      </c>
      <c r="F430" s="46" t="s">
        <v>631</v>
      </c>
      <c r="G430" s="46" t="s">
        <v>632</v>
      </c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</row>
    <row r="431" spans="1:22" ht="15.75" customHeight="1" x14ac:dyDescent="0.2">
      <c r="A431" s="40"/>
      <c r="B431" s="45" t="s">
        <v>307</v>
      </c>
      <c r="C431" s="46" t="s">
        <v>661</v>
      </c>
      <c r="D431" s="46" t="s">
        <v>39</v>
      </c>
      <c r="E431" s="46" t="s">
        <v>87</v>
      </c>
      <c r="F431" s="46" t="s">
        <v>631</v>
      </c>
      <c r="G431" s="46" t="s">
        <v>632</v>
      </c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</row>
    <row r="432" spans="1:22" ht="15.75" customHeight="1" x14ac:dyDescent="0.2">
      <c r="A432" s="40"/>
      <c r="B432" s="45" t="s">
        <v>109</v>
      </c>
      <c r="C432" s="46" t="s">
        <v>662</v>
      </c>
      <c r="D432" s="46" t="s">
        <v>39</v>
      </c>
      <c r="E432" s="46" t="s">
        <v>310</v>
      </c>
      <c r="F432" s="46" t="s">
        <v>631</v>
      </c>
      <c r="G432" s="46" t="s">
        <v>632</v>
      </c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</row>
    <row r="433" spans="1:22" ht="15.75" customHeight="1" x14ac:dyDescent="0.2">
      <c r="A433" s="40"/>
      <c r="B433" s="45" t="s">
        <v>108</v>
      </c>
      <c r="C433" s="46" t="s">
        <v>662</v>
      </c>
      <c r="D433" s="46" t="s">
        <v>39</v>
      </c>
      <c r="E433" s="46" t="s">
        <v>310</v>
      </c>
      <c r="F433" s="46" t="s">
        <v>631</v>
      </c>
      <c r="G433" s="46" t="s">
        <v>632</v>
      </c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</row>
    <row r="434" spans="1:22" ht="15.75" customHeight="1" x14ac:dyDescent="0.2">
      <c r="A434" s="40"/>
      <c r="B434" s="45" t="s">
        <v>421</v>
      </c>
      <c r="C434" s="46" t="s">
        <v>663</v>
      </c>
      <c r="D434" s="46" t="s">
        <v>39</v>
      </c>
      <c r="E434" s="46" t="s">
        <v>129</v>
      </c>
      <c r="F434" s="46" t="s">
        <v>631</v>
      </c>
      <c r="G434" s="46" t="s">
        <v>632</v>
      </c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</row>
    <row r="435" spans="1:22" ht="15.75" customHeight="1" x14ac:dyDescent="0.2">
      <c r="A435" s="40"/>
      <c r="B435" s="45" t="s">
        <v>307</v>
      </c>
      <c r="C435" s="46" t="s">
        <v>663</v>
      </c>
      <c r="D435" s="46" t="s">
        <v>39</v>
      </c>
      <c r="E435" s="46" t="s">
        <v>129</v>
      </c>
      <c r="F435" s="46" t="s">
        <v>631</v>
      </c>
      <c r="G435" s="46" t="s">
        <v>632</v>
      </c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</row>
    <row r="436" spans="1:22" ht="15.75" customHeight="1" x14ac:dyDescent="0.2">
      <c r="A436" s="40"/>
      <c r="B436" s="45" t="s">
        <v>232</v>
      </c>
      <c r="C436" s="46" t="s">
        <v>664</v>
      </c>
      <c r="D436" s="46" t="s">
        <v>124</v>
      </c>
      <c r="E436" s="46" t="s">
        <v>322</v>
      </c>
      <c r="F436" s="46" t="s">
        <v>631</v>
      </c>
      <c r="G436" s="46" t="s">
        <v>632</v>
      </c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</row>
    <row r="437" spans="1:22" ht="15.75" customHeight="1" x14ac:dyDescent="0.2">
      <c r="A437" s="40"/>
      <c r="B437" s="45" t="s">
        <v>109</v>
      </c>
      <c r="C437" s="46" t="s">
        <v>664</v>
      </c>
      <c r="D437" s="46" t="s">
        <v>124</v>
      </c>
      <c r="E437" s="46" t="s">
        <v>322</v>
      </c>
      <c r="F437" s="46" t="s">
        <v>631</v>
      </c>
      <c r="G437" s="46" t="s">
        <v>632</v>
      </c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</row>
    <row r="438" spans="1:22" ht="15.75" customHeight="1" x14ac:dyDescent="0.2">
      <c r="A438" s="40"/>
      <c r="B438" s="45" t="s">
        <v>108</v>
      </c>
      <c r="C438" s="46" t="s">
        <v>664</v>
      </c>
      <c r="D438" s="46" t="s">
        <v>124</v>
      </c>
      <c r="E438" s="46" t="s">
        <v>322</v>
      </c>
      <c r="F438" s="46" t="s">
        <v>631</v>
      </c>
      <c r="G438" s="46" t="s">
        <v>632</v>
      </c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</row>
    <row r="439" spans="1:22" ht="15.75" customHeight="1" x14ac:dyDescent="0.2">
      <c r="A439" s="40"/>
      <c r="B439" s="45" t="s">
        <v>300</v>
      </c>
      <c r="C439" s="46" t="s">
        <v>665</v>
      </c>
      <c r="D439" s="46" t="s">
        <v>183</v>
      </c>
      <c r="E439" s="46" t="s">
        <v>112</v>
      </c>
      <c r="F439" s="46" t="s">
        <v>631</v>
      </c>
      <c r="G439" s="46" t="s">
        <v>632</v>
      </c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</row>
    <row r="440" spans="1:22" ht="15.75" customHeight="1" x14ac:dyDescent="0.2">
      <c r="A440" s="40"/>
      <c r="B440" s="45" t="s">
        <v>102</v>
      </c>
      <c r="C440" s="46" t="s">
        <v>665</v>
      </c>
      <c r="D440" s="46" t="s">
        <v>183</v>
      </c>
      <c r="E440" s="46" t="s">
        <v>112</v>
      </c>
      <c r="F440" s="46" t="s">
        <v>631</v>
      </c>
      <c r="G440" s="46" t="s">
        <v>632</v>
      </c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</row>
    <row r="441" spans="1:22" ht="15.75" customHeight="1" x14ac:dyDescent="0.2">
      <c r="A441" s="40"/>
      <c r="B441" s="45" t="s">
        <v>307</v>
      </c>
      <c r="C441" s="46" t="s">
        <v>666</v>
      </c>
      <c r="D441" s="46" t="s">
        <v>21</v>
      </c>
      <c r="E441" s="46" t="s">
        <v>40</v>
      </c>
      <c r="F441" s="46" t="s">
        <v>631</v>
      </c>
      <c r="G441" s="46" t="s">
        <v>632</v>
      </c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</row>
    <row r="442" spans="1:22" ht="15.75" customHeight="1" x14ac:dyDescent="0.2">
      <c r="A442" s="40"/>
      <c r="B442" s="47" t="s">
        <v>311</v>
      </c>
      <c r="C442" s="46" t="s">
        <v>666</v>
      </c>
      <c r="D442" s="46" t="s">
        <v>21</v>
      </c>
      <c r="E442" s="46" t="s">
        <v>40</v>
      </c>
      <c r="F442" s="46" t="s">
        <v>631</v>
      </c>
      <c r="G442" s="46" t="s">
        <v>632</v>
      </c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</row>
    <row r="443" spans="1:22" ht="15.75" customHeight="1" x14ac:dyDescent="0.2">
      <c r="A443" s="40">
        <v>21</v>
      </c>
      <c r="B443" s="41" t="s">
        <v>411</v>
      </c>
      <c r="C443" s="42" t="s">
        <v>667</v>
      </c>
      <c r="D443" s="42" t="s">
        <v>78</v>
      </c>
      <c r="E443" s="42" t="s">
        <v>79</v>
      </c>
      <c r="F443" s="42" t="s">
        <v>668</v>
      </c>
      <c r="G443" s="42" t="s">
        <v>632</v>
      </c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</row>
    <row r="444" spans="1:22" ht="15.75" customHeight="1" x14ac:dyDescent="0.2">
      <c r="A444" s="40">
        <v>85</v>
      </c>
      <c r="B444" s="41" t="s">
        <v>226</v>
      </c>
      <c r="C444" s="42" t="s">
        <v>667</v>
      </c>
      <c r="D444" s="42" t="s">
        <v>78</v>
      </c>
      <c r="E444" s="42" t="s">
        <v>79</v>
      </c>
      <c r="F444" s="42" t="s">
        <v>668</v>
      </c>
      <c r="G444" s="42" t="s">
        <v>632</v>
      </c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</row>
    <row r="445" spans="1:22" ht="15.75" customHeight="1" x14ac:dyDescent="0.2">
      <c r="A445" s="40">
        <v>273</v>
      </c>
      <c r="B445" s="41" t="s">
        <v>628</v>
      </c>
      <c r="C445" s="42" t="s">
        <v>669</v>
      </c>
      <c r="D445" s="42" t="s">
        <v>670</v>
      </c>
      <c r="E445" s="42" t="s">
        <v>413</v>
      </c>
      <c r="F445" s="42" t="s">
        <v>671</v>
      </c>
      <c r="G445" s="42" t="s">
        <v>632</v>
      </c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</row>
    <row r="446" spans="1:22" ht="15.75" customHeight="1" x14ac:dyDescent="0.2">
      <c r="A446" s="40">
        <v>431</v>
      </c>
      <c r="B446" s="41" t="s">
        <v>672</v>
      </c>
      <c r="C446" s="42" t="s">
        <v>673</v>
      </c>
      <c r="D446" s="42" t="s">
        <v>513</v>
      </c>
      <c r="E446" s="42" t="s">
        <v>357</v>
      </c>
      <c r="F446" s="42" t="s">
        <v>671</v>
      </c>
      <c r="G446" s="42" t="s">
        <v>632</v>
      </c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</row>
    <row r="447" spans="1:22" ht="15.75" customHeight="1" x14ac:dyDescent="0.2">
      <c r="A447" s="40">
        <v>445</v>
      </c>
      <c r="B447" s="41" t="s">
        <v>674</v>
      </c>
      <c r="C447" s="42" t="s">
        <v>675</v>
      </c>
      <c r="D447" s="42" t="s">
        <v>656</v>
      </c>
      <c r="E447" s="42" t="s">
        <v>676</v>
      </c>
      <c r="F447" s="42" t="s">
        <v>671</v>
      </c>
      <c r="G447" s="42" t="s">
        <v>632</v>
      </c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</row>
    <row r="448" spans="1:22" ht="15.75" customHeight="1" x14ac:dyDescent="0.2">
      <c r="A448" s="40">
        <v>447</v>
      </c>
      <c r="B448" s="41" t="s">
        <v>674</v>
      </c>
      <c r="C448" s="42" t="s">
        <v>677</v>
      </c>
      <c r="D448" s="42" t="s">
        <v>104</v>
      </c>
      <c r="E448" s="42" t="s">
        <v>259</v>
      </c>
      <c r="F448" s="42" t="s">
        <v>671</v>
      </c>
      <c r="G448" s="42" t="s">
        <v>632</v>
      </c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</row>
    <row r="449" spans="1:22" ht="15.75" customHeight="1" x14ac:dyDescent="0.2">
      <c r="A449" s="40">
        <v>541</v>
      </c>
      <c r="B449" s="41" t="s">
        <v>678</v>
      </c>
      <c r="C449" s="42" t="s">
        <v>679</v>
      </c>
      <c r="D449" s="42" t="s">
        <v>680</v>
      </c>
      <c r="E449" s="42" t="s">
        <v>134</v>
      </c>
      <c r="F449" s="42" t="s">
        <v>671</v>
      </c>
      <c r="G449" s="42" t="s">
        <v>632</v>
      </c>
    </row>
    <row r="450" spans="1:22" ht="15.75" customHeight="1" x14ac:dyDescent="0.2">
      <c r="A450" s="40">
        <v>619</v>
      </c>
      <c r="B450" s="41" t="s">
        <v>428</v>
      </c>
      <c r="C450" s="42" t="s">
        <v>681</v>
      </c>
      <c r="D450" s="42" t="s">
        <v>513</v>
      </c>
      <c r="E450" s="42" t="s">
        <v>259</v>
      </c>
      <c r="F450" s="42" t="s">
        <v>671</v>
      </c>
      <c r="G450" s="42" t="s">
        <v>632</v>
      </c>
    </row>
    <row r="451" spans="1:22" ht="15.75" customHeight="1" x14ac:dyDescent="0.2">
      <c r="A451" s="40">
        <v>671</v>
      </c>
      <c r="B451" s="41" t="s">
        <v>252</v>
      </c>
      <c r="C451" s="42" t="s">
        <v>682</v>
      </c>
      <c r="D451" s="42" t="s">
        <v>471</v>
      </c>
      <c r="E451" s="42" t="s">
        <v>683</v>
      </c>
      <c r="F451" s="42" t="s">
        <v>671</v>
      </c>
      <c r="G451" s="42" t="s">
        <v>632</v>
      </c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</row>
    <row r="452" spans="1:22" ht="15.75" customHeight="1" x14ac:dyDescent="0.2">
      <c r="A452" s="40">
        <v>701</v>
      </c>
      <c r="B452" s="41" t="s">
        <v>684</v>
      </c>
      <c r="C452" s="42" t="s">
        <v>669</v>
      </c>
      <c r="D452" s="42" t="s">
        <v>670</v>
      </c>
      <c r="E452" s="42" t="s">
        <v>413</v>
      </c>
      <c r="F452" s="42" t="s">
        <v>671</v>
      </c>
      <c r="G452" s="42" t="s">
        <v>632</v>
      </c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</row>
    <row r="453" spans="1:22" ht="15.75" customHeight="1" x14ac:dyDescent="0.2">
      <c r="A453" s="40">
        <v>711</v>
      </c>
      <c r="B453" s="41" t="s">
        <v>685</v>
      </c>
      <c r="C453" s="42" t="s">
        <v>679</v>
      </c>
      <c r="D453" s="42" t="s">
        <v>680</v>
      </c>
      <c r="E453" s="42" t="s">
        <v>134</v>
      </c>
      <c r="F453" s="42" t="s">
        <v>671</v>
      </c>
      <c r="G453" s="42" t="s">
        <v>632</v>
      </c>
    </row>
    <row r="454" spans="1:22" ht="15.75" customHeight="1" x14ac:dyDescent="0.2">
      <c r="A454" s="40">
        <v>737</v>
      </c>
      <c r="B454" s="41" t="s">
        <v>686</v>
      </c>
      <c r="C454" s="42" t="s">
        <v>682</v>
      </c>
      <c r="D454" s="42" t="s">
        <v>471</v>
      </c>
      <c r="E454" s="42" t="s">
        <v>683</v>
      </c>
      <c r="F454" s="42" t="s">
        <v>671</v>
      </c>
      <c r="G454" s="42" t="s">
        <v>632</v>
      </c>
    </row>
    <row r="455" spans="1:22" ht="15.75" customHeight="1" x14ac:dyDescent="0.2">
      <c r="A455" s="40">
        <v>747</v>
      </c>
      <c r="B455" s="41" t="s">
        <v>687</v>
      </c>
      <c r="C455" s="42" t="s">
        <v>688</v>
      </c>
      <c r="D455" s="42" t="s">
        <v>104</v>
      </c>
      <c r="E455" s="42" t="s">
        <v>18</v>
      </c>
      <c r="F455" s="42" t="s">
        <v>671</v>
      </c>
      <c r="G455" s="42" t="s">
        <v>632</v>
      </c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</row>
    <row r="456" spans="1:22" ht="15.75" customHeight="1" x14ac:dyDescent="0.2">
      <c r="A456" s="40">
        <v>749</v>
      </c>
      <c r="B456" s="41" t="s">
        <v>687</v>
      </c>
      <c r="C456" s="42" t="s">
        <v>689</v>
      </c>
      <c r="D456" s="42" t="s">
        <v>133</v>
      </c>
      <c r="E456" s="42" t="s">
        <v>690</v>
      </c>
      <c r="F456" s="42" t="s">
        <v>671</v>
      </c>
      <c r="G456" s="42" t="s">
        <v>632</v>
      </c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</row>
    <row r="457" spans="1:22" ht="15.75" customHeight="1" x14ac:dyDescent="0.2">
      <c r="A457" s="40">
        <v>915</v>
      </c>
      <c r="B457" s="41" t="s">
        <v>694</v>
      </c>
      <c r="C457" s="42" t="s">
        <v>695</v>
      </c>
      <c r="D457" s="42" t="s">
        <v>86</v>
      </c>
      <c r="E457" s="42" t="s">
        <v>112</v>
      </c>
      <c r="F457" s="42" t="s">
        <v>671</v>
      </c>
      <c r="G457" s="42" t="s">
        <v>632</v>
      </c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</row>
    <row r="458" spans="1:22" ht="15.75" customHeight="1" x14ac:dyDescent="0.2">
      <c r="A458" s="40">
        <v>917</v>
      </c>
      <c r="B458" s="41" t="s">
        <v>694</v>
      </c>
      <c r="C458" s="42" t="s">
        <v>696</v>
      </c>
      <c r="D458" s="42" t="s">
        <v>697</v>
      </c>
      <c r="E458" s="42" t="s">
        <v>40</v>
      </c>
      <c r="F458" s="42" t="s">
        <v>671</v>
      </c>
      <c r="G458" s="42" t="s">
        <v>632</v>
      </c>
    </row>
    <row r="459" spans="1:22" ht="15.75" customHeight="1" x14ac:dyDescent="0.2">
      <c r="A459" s="40">
        <v>969</v>
      </c>
      <c r="B459" s="41" t="s">
        <v>698</v>
      </c>
      <c r="C459" s="42" t="s">
        <v>677</v>
      </c>
      <c r="D459" s="42" t="s">
        <v>104</v>
      </c>
      <c r="E459" s="42" t="s">
        <v>259</v>
      </c>
      <c r="F459" s="42" t="s">
        <v>671</v>
      </c>
      <c r="G459" s="42" t="s">
        <v>632</v>
      </c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</row>
    <row r="460" spans="1:22" ht="15.75" customHeight="1" x14ac:dyDescent="0.2">
      <c r="A460" s="40">
        <v>991</v>
      </c>
      <c r="B460" s="41" t="s">
        <v>624</v>
      </c>
      <c r="C460" s="42" t="s">
        <v>675</v>
      </c>
      <c r="D460" s="42" t="s">
        <v>656</v>
      </c>
      <c r="E460" s="42" t="s">
        <v>676</v>
      </c>
      <c r="F460" s="42" t="s">
        <v>671</v>
      </c>
      <c r="G460" s="42" t="s">
        <v>632</v>
      </c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</row>
    <row r="461" spans="1:22" ht="15.75" customHeight="1" x14ac:dyDescent="0.2">
      <c r="A461" s="40">
        <v>993</v>
      </c>
      <c r="B461" s="41" t="s">
        <v>624</v>
      </c>
      <c r="C461" s="42" t="s">
        <v>673</v>
      </c>
      <c r="D461" s="42" t="s">
        <v>513</v>
      </c>
      <c r="E461" s="42" t="s">
        <v>357</v>
      </c>
      <c r="F461" s="42" t="s">
        <v>671</v>
      </c>
      <c r="G461" s="42" t="s">
        <v>632</v>
      </c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</row>
    <row r="462" spans="1:22" ht="15.75" customHeight="1" x14ac:dyDescent="0.2">
      <c r="A462" s="40">
        <v>1239</v>
      </c>
      <c r="B462" s="41" t="s">
        <v>699</v>
      </c>
      <c r="C462" s="42" t="s">
        <v>669</v>
      </c>
      <c r="D462" s="42" t="s">
        <v>670</v>
      </c>
      <c r="E462" s="42" t="s">
        <v>413</v>
      </c>
      <c r="F462" s="42" t="s">
        <v>671</v>
      </c>
      <c r="G462" s="42" t="s">
        <v>632</v>
      </c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</row>
    <row r="463" spans="1:22" ht="15.75" customHeight="1" x14ac:dyDescent="0.2">
      <c r="A463" s="40">
        <v>1613</v>
      </c>
      <c r="B463" s="41" t="s">
        <v>264</v>
      </c>
      <c r="C463" s="42" t="s">
        <v>700</v>
      </c>
      <c r="D463" s="42" t="s">
        <v>139</v>
      </c>
      <c r="E463" s="42" t="s">
        <v>32</v>
      </c>
      <c r="F463" s="42" t="s">
        <v>671</v>
      </c>
      <c r="G463" s="42" t="s">
        <v>632</v>
      </c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</row>
    <row r="464" spans="1:22" ht="15.75" customHeight="1" x14ac:dyDescent="0.2">
      <c r="A464" s="40">
        <v>1733</v>
      </c>
      <c r="B464" s="41" t="s">
        <v>465</v>
      </c>
      <c r="C464" s="42" t="s">
        <v>669</v>
      </c>
      <c r="D464" s="42" t="s">
        <v>670</v>
      </c>
      <c r="E464" s="42" t="s">
        <v>413</v>
      </c>
      <c r="F464" s="42" t="s">
        <v>671</v>
      </c>
      <c r="G464" s="42" t="s">
        <v>632</v>
      </c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</row>
    <row r="465" spans="1:22" ht="15.75" customHeight="1" x14ac:dyDescent="0.2">
      <c r="A465" s="40">
        <v>1999</v>
      </c>
      <c r="B465" s="41" t="s">
        <v>652</v>
      </c>
      <c r="C465" s="42" t="s">
        <v>695</v>
      </c>
      <c r="D465" s="42" t="s">
        <v>86</v>
      </c>
      <c r="E465" s="42" t="s">
        <v>112</v>
      </c>
      <c r="F465" s="42" t="s">
        <v>671</v>
      </c>
      <c r="G465" s="42" t="s">
        <v>632</v>
      </c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</row>
    <row r="466" spans="1:22" ht="15.75" customHeight="1" x14ac:dyDescent="0.2">
      <c r="A466" s="40">
        <v>2039</v>
      </c>
      <c r="B466" s="41" t="s">
        <v>701</v>
      </c>
      <c r="C466" s="42" t="s">
        <v>696</v>
      </c>
      <c r="D466" s="42" t="s">
        <v>697</v>
      </c>
      <c r="E466" s="42" t="s">
        <v>40</v>
      </c>
      <c r="F466" s="42" t="s">
        <v>671</v>
      </c>
      <c r="G466" s="42" t="s">
        <v>632</v>
      </c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</row>
    <row r="467" spans="1:22" ht="15.75" customHeight="1" x14ac:dyDescent="0.2">
      <c r="A467" s="40">
        <v>2219</v>
      </c>
      <c r="B467" s="41" t="s">
        <v>282</v>
      </c>
      <c r="C467" s="42" t="s">
        <v>700</v>
      </c>
      <c r="D467" s="42" t="s">
        <v>139</v>
      </c>
      <c r="E467" s="42" t="s">
        <v>32</v>
      </c>
      <c r="F467" s="42" t="s">
        <v>671</v>
      </c>
      <c r="G467" s="42" t="s">
        <v>632</v>
      </c>
    </row>
    <row r="468" spans="1:22" ht="15.75" customHeight="1" x14ac:dyDescent="0.2">
      <c r="A468" s="40">
        <v>2245</v>
      </c>
      <c r="B468" s="41" t="s">
        <v>627</v>
      </c>
      <c r="C468" s="42" t="s">
        <v>675</v>
      </c>
      <c r="D468" s="42" t="s">
        <v>656</v>
      </c>
      <c r="E468" s="42" t="s">
        <v>676</v>
      </c>
      <c r="F468" s="42" t="s">
        <v>671</v>
      </c>
      <c r="G468" s="42" t="s">
        <v>632</v>
      </c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</row>
    <row r="469" spans="1:22" ht="15.75" customHeight="1" x14ac:dyDescent="0.2">
      <c r="A469" s="40">
        <v>2631</v>
      </c>
      <c r="B469" s="41" t="s">
        <v>702</v>
      </c>
      <c r="C469" s="42" t="s">
        <v>695</v>
      </c>
      <c r="D469" s="42" t="s">
        <v>86</v>
      </c>
      <c r="E469" s="42" t="s">
        <v>112</v>
      </c>
      <c r="F469" s="42" t="s">
        <v>671</v>
      </c>
      <c r="G469" s="42" t="s">
        <v>632</v>
      </c>
    </row>
    <row r="470" spans="1:22" ht="15.75" customHeight="1" x14ac:dyDescent="0.2">
      <c r="A470" s="40">
        <v>2633</v>
      </c>
      <c r="B470" s="41" t="s">
        <v>702</v>
      </c>
      <c r="C470" s="42" t="s">
        <v>696</v>
      </c>
      <c r="D470" s="42" t="s">
        <v>697</v>
      </c>
      <c r="E470" s="42" t="s">
        <v>40</v>
      </c>
      <c r="F470" s="42" t="s">
        <v>671</v>
      </c>
      <c r="G470" s="42" t="s">
        <v>632</v>
      </c>
    </row>
    <row r="471" spans="1:22" ht="15.75" customHeight="1" x14ac:dyDescent="0.2">
      <c r="A471" s="40">
        <v>2725</v>
      </c>
      <c r="B471" s="41" t="s">
        <v>703</v>
      </c>
      <c r="C471" s="42" t="s">
        <v>688</v>
      </c>
      <c r="D471" s="42" t="s">
        <v>104</v>
      </c>
      <c r="E471" s="42" t="s">
        <v>18</v>
      </c>
      <c r="F471" s="42" t="s">
        <v>671</v>
      </c>
      <c r="G471" s="42" t="s">
        <v>632</v>
      </c>
    </row>
    <row r="472" spans="1:22" ht="15.75" customHeight="1" x14ac:dyDescent="0.2">
      <c r="A472" s="40">
        <v>2727</v>
      </c>
      <c r="B472" s="41" t="s">
        <v>703</v>
      </c>
      <c r="C472" s="42" t="s">
        <v>689</v>
      </c>
      <c r="D472" s="42" t="s">
        <v>133</v>
      </c>
      <c r="E472" s="42" t="s">
        <v>690</v>
      </c>
      <c r="F472" s="42" t="s">
        <v>671</v>
      </c>
      <c r="G472" s="42" t="s">
        <v>632</v>
      </c>
    </row>
    <row r="473" spans="1:22" ht="15.75" customHeight="1" x14ac:dyDescent="0.2">
      <c r="A473" s="40">
        <v>2799</v>
      </c>
      <c r="B473" s="41" t="s">
        <v>288</v>
      </c>
      <c r="C473" s="42" t="s">
        <v>700</v>
      </c>
      <c r="D473" s="42" t="s">
        <v>139</v>
      </c>
      <c r="E473" s="42" t="s">
        <v>32</v>
      </c>
      <c r="F473" s="42" t="s">
        <v>671</v>
      </c>
      <c r="G473" s="42" t="s">
        <v>632</v>
      </c>
    </row>
    <row r="474" spans="1:22" ht="15.75" customHeight="1" x14ac:dyDescent="0.2">
      <c r="A474" s="40">
        <v>2843</v>
      </c>
      <c r="B474" s="41" t="s">
        <v>654</v>
      </c>
      <c r="C474" s="42" t="s">
        <v>695</v>
      </c>
      <c r="D474" s="42" t="s">
        <v>86</v>
      </c>
      <c r="E474" s="42" t="s">
        <v>112</v>
      </c>
      <c r="F474" s="42" t="s">
        <v>671</v>
      </c>
      <c r="G474" s="42" t="s">
        <v>632</v>
      </c>
    </row>
    <row r="475" spans="1:22" ht="15.75" customHeight="1" x14ac:dyDescent="0.2">
      <c r="A475" s="40">
        <v>5</v>
      </c>
      <c r="B475" s="41" t="s">
        <v>704</v>
      </c>
      <c r="C475" s="42" t="s">
        <v>705</v>
      </c>
      <c r="D475" s="42" t="s">
        <v>339</v>
      </c>
      <c r="E475" s="42" t="s">
        <v>650</v>
      </c>
      <c r="F475" s="42" t="s">
        <v>706</v>
      </c>
      <c r="G475" s="42" t="s">
        <v>632</v>
      </c>
    </row>
    <row r="476" spans="1:22" ht="15.75" customHeight="1" x14ac:dyDescent="0.2">
      <c r="A476" s="40">
        <v>87</v>
      </c>
      <c r="B476" s="41" t="s">
        <v>707</v>
      </c>
      <c r="C476" s="42" t="s">
        <v>705</v>
      </c>
      <c r="D476" s="42" t="s">
        <v>272</v>
      </c>
      <c r="E476" s="42" t="s">
        <v>650</v>
      </c>
      <c r="F476" s="42" t="s">
        <v>706</v>
      </c>
      <c r="G476" s="42" t="s">
        <v>632</v>
      </c>
    </row>
    <row r="477" spans="1:22" ht="15.75" customHeight="1" x14ac:dyDescent="0.2">
      <c r="A477" s="40">
        <v>151</v>
      </c>
      <c r="B477" s="41" t="s">
        <v>460</v>
      </c>
      <c r="C477" s="42" t="s">
        <v>659</v>
      </c>
      <c r="D477" s="42" t="s">
        <v>516</v>
      </c>
      <c r="E477" s="42" t="s">
        <v>79</v>
      </c>
      <c r="F477" s="42" t="s">
        <v>706</v>
      </c>
      <c r="G477" s="42" t="s">
        <v>632</v>
      </c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</row>
    <row r="478" spans="1:22" ht="15.75" customHeight="1" x14ac:dyDescent="0.2">
      <c r="A478" s="40">
        <v>385</v>
      </c>
      <c r="B478" s="41" t="s">
        <v>246</v>
      </c>
      <c r="C478" s="42" t="s">
        <v>708</v>
      </c>
      <c r="D478" s="42" t="s">
        <v>58</v>
      </c>
      <c r="E478" s="42" t="s">
        <v>32</v>
      </c>
      <c r="F478" s="42" t="s">
        <v>706</v>
      </c>
      <c r="G478" s="42" t="s">
        <v>632</v>
      </c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</row>
    <row r="479" spans="1:22" ht="15.75" customHeight="1" x14ac:dyDescent="0.2">
      <c r="A479" s="40">
        <v>949</v>
      </c>
      <c r="B479" s="41" t="s">
        <v>709</v>
      </c>
      <c r="C479" s="42" t="s">
        <v>705</v>
      </c>
      <c r="D479" s="42" t="s">
        <v>272</v>
      </c>
      <c r="E479" s="42" t="s">
        <v>650</v>
      </c>
      <c r="F479" s="42" t="s">
        <v>706</v>
      </c>
      <c r="G479" s="42" t="s">
        <v>632</v>
      </c>
    </row>
    <row r="480" spans="1:22" ht="15.75" customHeight="1" x14ac:dyDescent="0.2">
      <c r="A480" s="40">
        <v>1089</v>
      </c>
      <c r="B480" s="41" t="s">
        <v>710</v>
      </c>
      <c r="C480" s="42" t="s">
        <v>659</v>
      </c>
      <c r="D480" s="42" t="s">
        <v>516</v>
      </c>
      <c r="E480" s="42" t="s">
        <v>79</v>
      </c>
      <c r="F480" s="42" t="s">
        <v>706</v>
      </c>
      <c r="G480" s="42" t="s">
        <v>632</v>
      </c>
    </row>
    <row r="481" spans="1:22" ht="15.75" customHeight="1" x14ac:dyDescent="0.2">
      <c r="A481" s="40">
        <v>1417</v>
      </c>
      <c r="B481" s="41" t="s">
        <v>386</v>
      </c>
      <c r="C481" s="42" t="s">
        <v>708</v>
      </c>
      <c r="D481" s="42" t="s">
        <v>58</v>
      </c>
      <c r="E481" s="42" t="s">
        <v>32</v>
      </c>
      <c r="F481" s="42" t="s">
        <v>706</v>
      </c>
      <c r="G481" s="42" t="s">
        <v>632</v>
      </c>
    </row>
    <row r="482" spans="1:22" ht="15.75" customHeight="1" x14ac:dyDescent="0.2">
      <c r="A482" s="40">
        <v>1787</v>
      </c>
      <c r="B482" s="41" t="s">
        <v>442</v>
      </c>
      <c r="C482" s="42" t="s">
        <v>659</v>
      </c>
      <c r="D482" s="42" t="s">
        <v>516</v>
      </c>
      <c r="E482" s="42" t="s">
        <v>79</v>
      </c>
      <c r="F482" s="42" t="s">
        <v>706</v>
      </c>
      <c r="G482" s="42" t="s">
        <v>632</v>
      </c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</row>
    <row r="483" spans="1:22" ht="15.75" customHeight="1" x14ac:dyDescent="0.2">
      <c r="A483" s="40">
        <v>1881</v>
      </c>
      <c r="B483" s="41" t="s">
        <v>711</v>
      </c>
      <c r="C483" s="42" t="s">
        <v>708</v>
      </c>
      <c r="D483" s="42" t="s">
        <v>58</v>
      </c>
      <c r="E483" s="42" t="s">
        <v>32</v>
      </c>
      <c r="F483" s="42" t="s">
        <v>706</v>
      </c>
      <c r="G483" s="42" t="s">
        <v>632</v>
      </c>
    </row>
    <row r="484" spans="1:22" ht="15.75" customHeight="1" x14ac:dyDescent="0.2">
      <c r="A484" s="40">
        <v>2051</v>
      </c>
      <c r="B484" s="41" t="s">
        <v>701</v>
      </c>
      <c r="C484" s="42" t="s">
        <v>705</v>
      </c>
      <c r="D484" s="42" t="s">
        <v>272</v>
      </c>
      <c r="E484" s="42" t="s">
        <v>650</v>
      </c>
      <c r="F484" s="42" t="s">
        <v>706</v>
      </c>
      <c r="G484" s="42" t="s">
        <v>632</v>
      </c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</row>
    <row r="485" spans="1:22" ht="15.75" customHeight="1" x14ac:dyDescent="0.2">
      <c r="A485" s="40">
        <v>2075</v>
      </c>
      <c r="B485" s="41" t="s">
        <v>653</v>
      </c>
      <c r="C485" s="42" t="s">
        <v>659</v>
      </c>
      <c r="D485" s="42" t="s">
        <v>516</v>
      </c>
      <c r="E485" s="42" t="s">
        <v>79</v>
      </c>
      <c r="F485" s="42" t="s">
        <v>706</v>
      </c>
      <c r="G485" s="42" t="s">
        <v>632</v>
      </c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</row>
    <row r="486" spans="1:22" ht="15.75" customHeight="1" x14ac:dyDescent="0.2">
      <c r="A486" s="40">
        <v>2157</v>
      </c>
      <c r="B486" s="41" t="s">
        <v>281</v>
      </c>
      <c r="C486" s="42" t="s">
        <v>708</v>
      </c>
      <c r="D486" s="42" t="s">
        <v>58</v>
      </c>
      <c r="E486" s="42" t="s">
        <v>32</v>
      </c>
      <c r="F486" s="42" t="s">
        <v>706</v>
      </c>
      <c r="G486" s="42" t="s">
        <v>632</v>
      </c>
    </row>
    <row r="487" spans="1:22" ht="15.75" customHeight="1" x14ac:dyDescent="0.2">
      <c r="A487" s="40">
        <v>1197</v>
      </c>
      <c r="B487" s="41" t="s">
        <v>256</v>
      </c>
      <c r="C487" s="42" t="s">
        <v>712</v>
      </c>
      <c r="D487" s="42" t="s">
        <v>713</v>
      </c>
      <c r="E487" s="42" t="s">
        <v>714</v>
      </c>
      <c r="F487" s="42" t="s">
        <v>715</v>
      </c>
      <c r="G487" s="42" t="s">
        <v>632</v>
      </c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</row>
    <row r="488" spans="1:22" ht="15.75" customHeight="1" x14ac:dyDescent="0.2">
      <c r="A488" s="40">
        <v>1297</v>
      </c>
      <c r="B488" s="41" t="s">
        <v>453</v>
      </c>
      <c r="C488" s="42" t="s">
        <v>716</v>
      </c>
      <c r="D488" s="42" t="s">
        <v>78</v>
      </c>
      <c r="E488" s="42" t="s">
        <v>40</v>
      </c>
      <c r="F488" s="42" t="s">
        <v>715</v>
      </c>
      <c r="G488" s="42" t="s">
        <v>632</v>
      </c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</row>
    <row r="489" spans="1:22" ht="15.75" customHeight="1" x14ac:dyDescent="0.2">
      <c r="A489" s="40">
        <v>1343</v>
      </c>
      <c r="B489" s="41" t="s">
        <v>260</v>
      </c>
      <c r="C489" s="42" t="s">
        <v>717</v>
      </c>
      <c r="D489" s="42" t="s">
        <v>309</v>
      </c>
      <c r="E489" s="42" t="s">
        <v>87</v>
      </c>
      <c r="F489" s="42" t="s">
        <v>715</v>
      </c>
      <c r="G489" s="42" t="s">
        <v>632</v>
      </c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</row>
    <row r="490" spans="1:22" ht="15.75" customHeight="1" x14ac:dyDescent="0.2">
      <c r="A490" s="40">
        <v>1519</v>
      </c>
      <c r="B490" s="41" t="s">
        <v>262</v>
      </c>
      <c r="C490" s="42" t="s">
        <v>718</v>
      </c>
      <c r="D490" s="42" t="s">
        <v>719</v>
      </c>
      <c r="E490" s="42" t="s">
        <v>720</v>
      </c>
      <c r="F490" s="42" t="s">
        <v>715</v>
      </c>
      <c r="G490" s="42" t="s">
        <v>632</v>
      </c>
    </row>
    <row r="491" spans="1:22" ht="15.75" customHeight="1" x14ac:dyDescent="0.2">
      <c r="A491" s="40">
        <v>1521</v>
      </c>
      <c r="B491" s="41" t="s">
        <v>262</v>
      </c>
      <c r="C491" s="42" t="s">
        <v>718</v>
      </c>
      <c r="D491" s="42" t="s">
        <v>656</v>
      </c>
      <c r="E491" s="42" t="s">
        <v>720</v>
      </c>
      <c r="F491" s="42" t="s">
        <v>715</v>
      </c>
      <c r="G491" s="42" t="s">
        <v>632</v>
      </c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</row>
    <row r="492" spans="1:22" ht="15.75" customHeight="1" x14ac:dyDescent="0.2">
      <c r="A492" s="40">
        <v>1815</v>
      </c>
      <c r="B492" s="41" t="s">
        <v>276</v>
      </c>
      <c r="C492" s="42" t="s">
        <v>717</v>
      </c>
      <c r="D492" s="42" t="s">
        <v>309</v>
      </c>
      <c r="E492" s="42" t="s">
        <v>87</v>
      </c>
      <c r="F492" s="42" t="s">
        <v>715</v>
      </c>
      <c r="G492" s="42" t="s">
        <v>632</v>
      </c>
    </row>
    <row r="493" spans="1:22" ht="15.75" customHeight="1" x14ac:dyDescent="0.2">
      <c r="A493" s="40">
        <v>1969</v>
      </c>
      <c r="B493" s="41" t="s">
        <v>721</v>
      </c>
      <c r="C493" s="42" t="s">
        <v>718</v>
      </c>
      <c r="D493" s="42" t="s">
        <v>719</v>
      </c>
      <c r="E493" s="42" t="s">
        <v>720</v>
      </c>
      <c r="F493" s="42" t="s">
        <v>715</v>
      </c>
      <c r="G493" s="42" t="s">
        <v>632</v>
      </c>
    </row>
    <row r="494" spans="1:22" ht="15.75" customHeight="1" x14ac:dyDescent="0.2">
      <c r="A494" s="40">
        <v>1971</v>
      </c>
      <c r="B494" s="41" t="s">
        <v>721</v>
      </c>
      <c r="C494" s="42" t="s">
        <v>718</v>
      </c>
      <c r="D494" s="42" t="s">
        <v>656</v>
      </c>
      <c r="E494" s="42" t="s">
        <v>720</v>
      </c>
      <c r="F494" s="42" t="s">
        <v>715</v>
      </c>
      <c r="G494" s="42" t="s">
        <v>632</v>
      </c>
    </row>
    <row r="495" spans="1:22" ht="15.75" customHeight="1" x14ac:dyDescent="0.2">
      <c r="A495" s="40">
        <v>2133</v>
      </c>
      <c r="B495" s="41" t="s">
        <v>280</v>
      </c>
      <c r="C495" s="42" t="s">
        <v>716</v>
      </c>
      <c r="D495" s="42" t="s">
        <v>78</v>
      </c>
      <c r="E495" s="42" t="s">
        <v>40</v>
      </c>
      <c r="F495" s="42" t="s">
        <v>715</v>
      </c>
      <c r="G495" s="42" t="s">
        <v>632</v>
      </c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</row>
    <row r="496" spans="1:22" ht="15.75" customHeight="1" x14ac:dyDescent="0.2">
      <c r="A496" s="40">
        <v>2135</v>
      </c>
      <c r="B496" s="41" t="s">
        <v>280</v>
      </c>
      <c r="C496" s="42" t="s">
        <v>717</v>
      </c>
      <c r="D496" s="42" t="s">
        <v>309</v>
      </c>
      <c r="E496" s="42" t="s">
        <v>87</v>
      </c>
      <c r="F496" s="42" t="s">
        <v>715</v>
      </c>
      <c r="G496" s="42" t="s">
        <v>632</v>
      </c>
    </row>
    <row r="497" spans="1:22" ht="15.75" customHeight="1" x14ac:dyDescent="0.2">
      <c r="A497" s="40">
        <v>2263</v>
      </c>
      <c r="B497" s="41" t="s">
        <v>517</v>
      </c>
      <c r="C497" s="42" t="s">
        <v>712</v>
      </c>
      <c r="D497" s="42" t="s">
        <v>713</v>
      </c>
      <c r="E497" s="42" t="s">
        <v>714</v>
      </c>
      <c r="F497" s="42" t="s">
        <v>715</v>
      </c>
      <c r="G497" s="42" t="s">
        <v>632</v>
      </c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</row>
    <row r="498" spans="1:22" ht="15.75" customHeight="1" x14ac:dyDescent="0.2">
      <c r="A498" s="40">
        <v>2573</v>
      </c>
      <c r="B498" s="41" t="s">
        <v>286</v>
      </c>
      <c r="C498" s="42" t="s">
        <v>712</v>
      </c>
      <c r="D498" s="42" t="s">
        <v>713</v>
      </c>
      <c r="E498" s="42" t="s">
        <v>714</v>
      </c>
      <c r="F498" s="42" t="s">
        <v>715</v>
      </c>
      <c r="G498" s="42" t="s">
        <v>632</v>
      </c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</row>
    <row r="499" spans="1:22" ht="15.75" customHeight="1" x14ac:dyDescent="0.2">
      <c r="A499" s="40">
        <v>2937</v>
      </c>
      <c r="B499" s="41" t="s">
        <v>722</v>
      </c>
      <c r="C499" s="42" t="s">
        <v>716</v>
      </c>
      <c r="D499" s="42" t="s">
        <v>78</v>
      </c>
      <c r="E499" s="42" t="s">
        <v>40</v>
      </c>
      <c r="F499" s="42" t="s">
        <v>715</v>
      </c>
      <c r="G499" s="42" t="s">
        <v>632</v>
      </c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</row>
    <row r="500" spans="1:22" ht="15.75" customHeight="1" x14ac:dyDescent="0.2">
      <c r="A500" s="40">
        <v>1</v>
      </c>
      <c r="B500" s="41" t="s">
        <v>411</v>
      </c>
      <c r="C500" s="42" t="s">
        <v>723</v>
      </c>
      <c r="D500" s="42" t="s">
        <v>139</v>
      </c>
      <c r="E500" s="42" t="s">
        <v>630</v>
      </c>
      <c r="F500" s="42" t="s">
        <v>724</v>
      </c>
      <c r="G500" s="42" t="s">
        <v>725</v>
      </c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</row>
    <row r="501" spans="1:22" ht="15.75" customHeight="1" x14ac:dyDescent="0.2">
      <c r="A501" s="40">
        <v>289</v>
      </c>
      <c r="B501" s="41" t="s">
        <v>726</v>
      </c>
      <c r="C501" s="42" t="s">
        <v>723</v>
      </c>
      <c r="D501" s="42" t="s">
        <v>139</v>
      </c>
      <c r="E501" s="42" t="s">
        <v>630</v>
      </c>
      <c r="F501" s="42" t="s">
        <v>724</v>
      </c>
      <c r="G501" s="42" t="s">
        <v>725</v>
      </c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</row>
    <row r="502" spans="1:22" ht="15.75" customHeight="1" x14ac:dyDescent="0.2">
      <c r="A502" s="40"/>
      <c r="B502" s="45" t="s">
        <v>548</v>
      </c>
      <c r="C502" s="46" t="s">
        <v>727</v>
      </c>
      <c r="D502" s="46" t="s">
        <v>292</v>
      </c>
      <c r="E502" s="46" t="s">
        <v>273</v>
      </c>
      <c r="F502" s="46" t="s">
        <v>724</v>
      </c>
      <c r="G502" s="46" t="s">
        <v>725</v>
      </c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</row>
    <row r="503" spans="1:22" ht="15.75" customHeight="1" x14ac:dyDescent="0.2">
      <c r="A503" s="40"/>
      <c r="B503" s="45" t="s">
        <v>728</v>
      </c>
      <c r="C503" s="46" t="s">
        <v>727</v>
      </c>
      <c r="D503" s="46" t="s">
        <v>292</v>
      </c>
      <c r="E503" s="46" t="s">
        <v>273</v>
      </c>
      <c r="F503" s="46" t="s">
        <v>724</v>
      </c>
      <c r="G503" s="46" t="s">
        <v>725</v>
      </c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</row>
    <row r="504" spans="1:22" ht="15.75" customHeight="1" x14ac:dyDescent="0.2">
      <c r="A504" s="40"/>
      <c r="B504" s="45" t="s">
        <v>88</v>
      </c>
      <c r="C504" s="46" t="s">
        <v>723</v>
      </c>
      <c r="D504" s="46" t="s">
        <v>139</v>
      </c>
      <c r="E504" s="46" t="s">
        <v>630</v>
      </c>
      <c r="F504" s="46" t="s">
        <v>724</v>
      </c>
      <c r="G504" s="46" t="s">
        <v>725</v>
      </c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</row>
    <row r="505" spans="1:22" ht="15.75" customHeight="1" x14ac:dyDescent="0.2">
      <c r="A505" s="40">
        <v>19</v>
      </c>
      <c r="B505" s="41" t="s">
        <v>411</v>
      </c>
      <c r="C505" s="42" t="s">
        <v>729</v>
      </c>
      <c r="D505" s="42" t="s">
        <v>730</v>
      </c>
      <c r="E505" s="42" t="s">
        <v>322</v>
      </c>
      <c r="F505" s="42" t="s">
        <v>731</v>
      </c>
      <c r="G505" s="42" t="s">
        <v>725</v>
      </c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</row>
    <row r="506" spans="1:22" ht="15.75" customHeight="1" x14ac:dyDescent="0.2">
      <c r="A506" s="40">
        <v>297</v>
      </c>
      <c r="B506" s="41" t="s">
        <v>726</v>
      </c>
      <c r="C506" s="42" t="s">
        <v>729</v>
      </c>
      <c r="D506" s="42" t="s">
        <v>730</v>
      </c>
      <c r="E506" s="42" t="s">
        <v>322</v>
      </c>
      <c r="F506" s="42" t="s">
        <v>731</v>
      </c>
      <c r="G506" s="42" t="s">
        <v>725</v>
      </c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</row>
    <row r="507" spans="1:22" ht="15.75" customHeight="1" x14ac:dyDescent="0.2">
      <c r="A507" s="40"/>
      <c r="B507" s="45" t="s">
        <v>523</v>
      </c>
      <c r="C507" s="46" t="s">
        <v>732</v>
      </c>
      <c r="D507" s="46" t="s">
        <v>86</v>
      </c>
      <c r="E507" s="46" t="s">
        <v>733</v>
      </c>
      <c r="F507" s="46" t="s">
        <v>734</v>
      </c>
      <c r="G507" s="46" t="s">
        <v>735</v>
      </c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</row>
    <row r="508" spans="1:22" ht="15.75" customHeight="1" x14ac:dyDescent="0.2">
      <c r="A508" s="40"/>
      <c r="B508" s="45" t="s">
        <v>736</v>
      </c>
      <c r="C508" s="46" t="s">
        <v>737</v>
      </c>
      <c r="D508" s="46" t="s">
        <v>272</v>
      </c>
      <c r="E508" s="46" t="s">
        <v>306</v>
      </c>
      <c r="F508" s="46" t="s">
        <v>734</v>
      </c>
      <c r="G508" s="46" t="s">
        <v>735</v>
      </c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</row>
    <row r="509" spans="1:22" ht="15.75" customHeight="1" x14ac:dyDescent="0.2">
      <c r="A509" s="40"/>
      <c r="B509" s="45" t="s">
        <v>300</v>
      </c>
      <c r="C509" s="46" t="s">
        <v>738</v>
      </c>
      <c r="D509" s="46" t="s">
        <v>739</v>
      </c>
      <c r="E509" s="46" t="s">
        <v>251</v>
      </c>
      <c r="F509" s="46" t="s">
        <v>740</v>
      </c>
      <c r="G509" s="46" t="s">
        <v>735</v>
      </c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</row>
    <row r="510" spans="1:22" ht="15.75" customHeight="1" x14ac:dyDescent="0.2">
      <c r="A510" s="40"/>
      <c r="B510" s="45" t="s">
        <v>108</v>
      </c>
      <c r="C510" s="46" t="s">
        <v>738</v>
      </c>
      <c r="D510" s="46" t="s">
        <v>739</v>
      </c>
      <c r="E510" s="46" t="s">
        <v>251</v>
      </c>
      <c r="F510" s="46" t="s">
        <v>740</v>
      </c>
      <c r="G510" s="46" t="s">
        <v>735</v>
      </c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</row>
    <row r="511" spans="1:22" ht="15.75" customHeight="1" x14ac:dyDescent="0.2">
      <c r="A511" s="40"/>
      <c r="B511" s="45" t="s">
        <v>94</v>
      </c>
      <c r="C511" s="46" t="s">
        <v>738</v>
      </c>
      <c r="D511" s="46" t="s">
        <v>739</v>
      </c>
      <c r="E511" s="46" t="s">
        <v>251</v>
      </c>
      <c r="F511" s="46" t="s">
        <v>740</v>
      </c>
      <c r="G511" s="46" t="s">
        <v>735</v>
      </c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</row>
    <row r="512" spans="1:22" ht="15.75" customHeight="1" x14ac:dyDescent="0.2">
      <c r="A512" s="40"/>
      <c r="B512" s="45" t="s">
        <v>102</v>
      </c>
      <c r="C512" s="46" t="s">
        <v>741</v>
      </c>
      <c r="D512" s="46" t="s">
        <v>742</v>
      </c>
      <c r="E512" s="46" t="s">
        <v>743</v>
      </c>
      <c r="F512" s="46" t="s">
        <v>740</v>
      </c>
      <c r="G512" s="46" t="s">
        <v>735</v>
      </c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</row>
    <row r="513" spans="1:22" ht="15.75" customHeight="1" x14ac:dyDescent="0.2">
      <c r="A513" s="40"/>
      <c r="B513" s="45" t="s">
        <v>108</v>
      </c>
      <c r="C513" s="46" t="s">
        <v>741</v>
      </c>
      <c r="D513" s="46" t="s">
        <v>742</v>
      </c>
      <c r="E513" s="46" t="s">
        <v>743</v>
      </c>
      <c r="F513" s="46" t="s">
        <v>740</v>
      </c>
      <c r="G513" s="46" t="s">
        <v>735</v>
      </c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</row>
    <row r="514" spans="1:22" ht="15.75" customHeight="1" x14ac:dyDescent="0.2">
      <c r="A514" s="40"/>
      <c r="B514" s="45" t="s">
        <v>94</v>
      </c>
      <c r="C514" s="46" t="s">
        <v>741</v>
      </c>
      <c r="D514" s="46" t="s">
        <v>742</v>
      </c>
      <c r="E514" s="46" t="s">
        <v>743</v>
      </c>
      <c r="F514" s="46" t="s">
        <v>740</v>
      </c>
      <c r="G514" s="46" t="s">
        <v>735</v>
      </c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</row>
    <row r="515" spans="1:22" ht="15.75" customHeight="1" x14ac:dyDescent="0.2">
      <c r="A515" s="40"/>
      <c r="B515" s="45" t="s">
        <v>26</v>
      </c>
      <c r="C515" s="46" t="s">
        <v>744</v>
      </c>
      <c r="D515" s="46" t="s">
        <v>58</v>
      </c>
      <c r="E515" s="46" t="s">
        <v>637</v>
      </c>
      <c r="F515" s="46" t="s">
        <v>745</v>
      </c>
      <c r="G515" s="46" t="s">
        <v>735</v>
      </c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</row>
    <row r="516" spans="1:22" ht="15.75" customHeight="1" x14ac:dyDescent="0.2">
      <c r="A516" s="40"/>
      <c r="B516" s="45" t="s">
        <v>41</v>
      </c>
      <c r="C516" s="46" t="s">
        <v>746</v>
      </c>
      <c r="D516" s="46" t="s">
        <v>747</v>
      </c>
      <c r="E516" s="46" t="s">
        <v>748</v>
      </c>
      <c r="F516" s="46" t="s">
        <v>749</v>
      </c>
      <c r="G516" s="46" t="s">
        <v>735</v>
      </c>
    </row>
    <row r="517" spans="1:22" ht="15.75" customHeight="1" x14ac:dyDescent="0.2">
      <c r="A517" s="40"/>
      <c r="B517" s="45" t="s">
        <v>26</v>
      </c>
      <c r="C517" s="46" t="s">
        <v>750</v>
      </c>
      <c r="D517" s="46" t="s">
        <v>751</v>
      </c>
      <c r="E517" s="46" t="s">
        <v>752</v>
      </c>
      <c r="F517" s="46" t="s">
        <v>749</v>
      </c>
      <c r="G517" s="46" t="s">
        <v>735</v>
      </c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</row>
    <row r="518" spans="1:22" ht="15.75" customHeight="1" x14ac:dyDescent="0.2">
      <c r="A518" s="40"/>
      <c r="B518" s="45" t="s">
        <v>33</v>
      </c>
      <c r="C518" s="46" t="s">
        <v>196</v>
      </c>
      <c r="D518" s="46" t="s">
        <v>753</v>
      </c>
      <c r="E518" s="46" t="s">
        <v>754</v>
      </c>
      <c r="F518" s="46" t="s">
        <v>749</v>
      </c>
      <c r="G518" s="46" t="s">
        <v>735</v>
      </c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</row>
    <row r="519" spans="1:22" ht="15.75" customHeight="1" x14ac:dyDescent="0.2">
      <c r="A519" s="40"/>
      <c r="B519" s="45" t="s">
        <v>33</v>
      </c>
      <c r="C519" s="46" t="s">
        <v>755</v>
      </c>
      <c r="D519" s="46" t="s">
        <v>756</v>
      </c>
      <c r="E519" s="46" t="s">
        <v>757</v>
      </c>
      <c r="F519" s="46" t="s">
        <v>749</v>
      </c>
      <c r="G519" s="46" t="s">
        <v>735</v>
      </c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</row>
    <row r="520" spans="1:22" ht="15.75" customHeight="1" x14ac:dyDescent="0.2">
      <c r="A520" s="40"/>
      <c r="B520" s="45" t="s">
        <v>71</v>
      </c>
      <c r="C520" s="46" t="s">
        <v>758</v>
      </c>
      <c r="D520" s="46" t="s">
        <v>759</v>
      </c>
      <c r="E520" s="46" t="s">
        <v>160</v>
      </c>
      <c r="F520" s="46" t="s">
        <v>749</v>
      </c>
      <c r="G520" s="46" t="s">
        <v>735</v>
      </c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</row>
    <row r="521" spans="1:22" ht="15.75" customHeight="1" x14ac:dyDescent="0.2">
      <c r="A521" s="40"/>
      <c r="B521" s="45" t="s">
        <v>71</v>
      </c>
      <c r="C521" s="46" t="s">
        <v>760</v>
      </c>
      <c r="D521" s="46" t="s">
        <v>761</v>
      </c>
      <c r="E521" s="46" t="s">
        <v>193</v>
      </c>
      <c r="F521" s="46" t="s">
        <v>749</v>
      </c>
      <c r="G521" s="46" t="s">
        <v>735</v>
      </c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</row>
    <row r="522" spans="1:22" ht="15.75" customHeight="1" x14ac:dyDescent="0.2">
      <c r="A522" s="40"/>
      <c r="B522" s="45" t="s">
        <v>37</v>
      </c>
      <c r="C522" s="46" t="s">
        <v>147</v>
      </c>
      <c r="D522" s="46" t="s">
        <v>762</v>
      </c>
      <c r="E522" s="46" t="s">
        <v>149</v>
      </c>
      <c r="F522" s="46" t="s">
        <v>749</v>
      </c>
      <c r="G522" s="46" t="s">
        <v>735</v>
      </c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</row>
    <row r="523" spans="1:22" ht="15.75" customHeight="1" x14ac:dyDescent="0.2">
      <c r="A523" s="40"/>
      <c r="B523" s="45" t="s">
        <v>26</v>
      </c>
      <c r="C523" s="46" t="s">
        <v>763</v>
      </c>
      <c r="D523" s="46" t="s">
        <v>764</v>
      </c>
      <c r="E523" s="46" t="s">
        <v>149</v>
      </c>
      <c r="F523" s="46" t="s">
        <v>749</v>
      </c>
      <c r="G523" s="46" t="s">
        <v>735</v>
      </c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</row>
    <row r="524" spans="1:22" ht="15.75" customHeight="1" x14ac:dyDescent="0.2">
      <c r="A524" s="40"/>
      <c r="B524" s="45" t="s">
        <v>26</v>
      </c>
      <c r="C524" s="46" t="s">
        <v>765</v>
      </c>
      <c r="D524" s="46" t="s">
        <v>762</v>
      </c>
      <c r="E524" s="46" t="s">
        <v>766</v>
      </c>
      <c r="F524" s="46" t="s">
        <v>749</v>
      </c>
      <c r="G524" s="46" t="s">
        <v>735</v>
      </c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</row>
    <row r="525" spans="1:22" ht="15.75" customHeight="1" x14ac:dyDescent="0.2">
      <c r="A525" s="40"/>
      <c r="B525" s="45" t="s">
        <v>41</v>
      </c>
      <c r="C525" s="46" t="s">
        <v>767</v>
      </c>
      <c r="D525" s="46" t="s">
        <v>768</v>
      </c>
      <c r="E525" s="46" t="s">
        <v>769</v>
      </c>
      <c r="F525" s="46" t="s">
        <v>749</v>
      </c>
      <c r="G525" s="46" t="s">
        <v>735</v>
      </c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</row>
    <row r="526" spans="1:22" ht="15.75" customHeight="1" x14ac:dyDescent="0.2">
      <c r="A526" s="40"/>
      <c r="B526" s="45" t="s">
        <v>46</v>
      </c>
      <c r="C526" s="46" t="s">
        <v>770</v>
      </c>
      <c r="D526" s="46" t="s">
        <v>771</v>
      </c>
      <c r="E526" s="46" t="s">
        <v>772</v>
      </c>
      <c r="F526" s="46" t="s">
        <v>749</v>
      </c>
      <c r="G526" s="46" t="s">
        <v>735</v>
      </c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</row>
    <row r="527" spans="1:22" ht="15.75" customHeight="1" x14ac:dyDescent="0.2">
      <c r="A527" s="40"/>
      <c r="B527" s="45" t="s">
        <v>46</v>
      </c>
      <c r="C527" s="46" t="s">
        <v>773</v>
      </c>
      <c r="D527" s="46" t="s">
        <v>759</v>
      </c>
      <c r="E527" s="46" t="s">
        <v>774</v>
      </c>
      <c r="F527" s="46" t="s">
        <v>749</v>
      </c>
      <c r="G527" s="46" t="s">
        <v>735</v>
      </c>
    </row>
    <row r="528" spans="1:22" ht="15.75" customHeight="1" x14ac:dyDescent="0.2">
      <c r="A528" s="40"/>
      <c r="B528" s="45" t="s">
        <v>26</v>
      </c>
      <c r="C528" s="46" t="s">
        <v>775</v>
      </c>
      <c r="D528" s="46" t="s">
        <v>776</v>
      </c>
      <c r="E528" s="46" t="s">
        <v>777</v>
      </c>
      <c r="F528" s="46" t="s">
        <v>749</v>
      </c>
      <c r="G528" s="46" t="s">
        <v>735</v>
      </c>
    </row>
    <row r="529" spans="1:22" ht="15.75" customHeight="1" x14ac:dyDescent="0.2">
      <c r="A529" s="40"/>
      <c r="B529" s="45" t="s">
        <v>26</v>
      </c>
      <c r="C529" s="46" t="s">
        <v>778</v>
      </c>
      <c r="D529" s="46" t="s">
        <v>156</v>
      </c>
      <c r="E529" s="46" t="s">
        <v>193</v>
      </c>
      <c r="F529" s="46" t="s">
        <v>749</v>
      </c>
      <c r="G529" s="46" t="s">
        <v>735</v>
      </c>
    </row>
    <row r="530" spans="1:22" ht="15.75" customHeight="1" x14ac:dyDescent="0.2">
      <c r="A530" s="40"/>
      <c r="B530" s="45" t="s">
        <v>41</v>
      </c>
      <c r="C530" s="46" t="s">
        <v>779</v>
      </c>
      <c r="D530" s="46" t="s">
        <v>780</v>
      </c>
      <c r="E530" s="46" t="s">
        <v>781</v>
      </c>
      <c r="F530" s="46" t="s">
        <v>782</v>
      </c>
      <c r="G530" s="46" t="s">
        <v>735</v>
      </c>
    </row>
    <row r="531" spans="1:22" ht="15.75" customHeight="1" x14ac:dyDescent="0.2">
      <c r="A531" s="40"/>
      <c r="B531" s="45" t="s">
        <v>37</v>
      </c>
      <c r="C531" s="46" t="s">
        <v>783</v>
      </c>
      <c r="D531" s="46" t="s">
        <v>784</v>
      </c>
      <c r="E531" s="46" t="s">
        <v>452</v>
      </c>
      <c r="F531" s="46" t="s">
        <v>782</v>
      </c>
      <c r="G531" s="46" t="s">
        <v>735</v>
      </c>
    </row>
    <row r="532" spans="1:22" ht="15.75" customHeight="1" x14ac:dyDescent="0.2">
      <c r="A532" s="40"/>
      <c r="B532" s="45" t="s">
        <v>307</v>
      </c>
      <c r="C532" s="46" t="s">
        <v>301</v>
      </c>
      <c r="D532" s="46" t="s">
        <v>78</v>
      </c>
      <c r="E532" s="46" t="s">
        <v>393</v>
      </c>
      <c r="F532" s="46" t="s">
        <v>785</v>
      </c>
      <c r="G532" s="46" t="s">
        <v>735</v>
      </c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</row>
    <row r="533" spans="1:22" ht="15.75" customHeight="1" x14ac:dyDescent="0.2">
      <c r="A533" s="40"/>
      <c r="B533" s="45" t="s">
        <v>102</v>
      </c>
      <c r="C533" s="46" t="s">
        <v>786</v>
      </c>
      <c r="D533" s="46" t="s">
        <v>430</v>
      </c>
      <c r="E533" s="46" t="s">
        <v>787</v>
      </c>
      <c r="F533" s="46" t="s">
        <v>785</v>
      </c>
      <c r="G533" s="46" t="s">
        <v>735</v>
      </c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</row>
    <row r="534" spans="1:22" ht="15.75" customHeight="1" x14ac:dyDescent="0.2">
      <c r="A534" s="40"/>
      <c r="B534" s="45" t="s">
        <v>108</v>
      </c>
      <c r="C534" s="46" t="s">
        <v>786</v>
      </c>
      <c r="D534" s="46" t="s">
        <v>430</v>
      </c>
      <c r="E534" s="46" t="s">
        <v>787</v>
      </c>
      <c r="F534" s="46" t="s">
        <v>785</v>
      </c>
      <c r="G534" s="46" t="s">
        <v>735</v>
      </c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</row>
    <row r="535" spans="1:22" ht="15.75" customHeight="1" x14ac:dyDescent="0.2">
      <c r="A535" s="40"/>
      <c r="B535" s="45" t="s">
        <v>118</v>
      </c>
      <c r="C535" s="46" t="s">
        <v>786</v>
      </c>
      <c r="D535" s="46" t="s">
        <v>353</v>
      </c>
      <c r="E535" s="46" t="s">
        <v>787</v>
      </c>
      <c r="F535" s="46" t="s">
        <v>785</v>
      </c>
      <c r="G535" s="46" t="s">
        <v>735</v>
      </c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</row>
    <row r="536" spans="1:22" ht="15.75" customHeight="1" x14ac:dyDescent="0.2">
      <c r="A536" s="40"/>
      <c r="B536" s="45" t="s">
        <v>108</v>
      </c>
      <c r="C536" s="46" t="s">
        <v>786</v>
      </c>
      <c r="D536" s="46" t="s">
        <v>353</v>
      </c>
      <c r="E536" s="46" t="s">
        <v>787</v>
      </c>
      <c r="F536" s="46" t="s">
        <v>785</v>
      </c>
      <c r="G536" s="46" t="s">
        <v>735</v>
      </c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</row>
    <row r="537" spans="1:22" ht="15.75" customHeight="1" x14ac:dyDescent="0.2">
      <c r="A537" s="40"/>
      <c r="B537" s="45" t="s">
        <v>80</v>
      </c>
      <c r="C537" s="46" t="s">
        <v>788</v>
      </c>
      <c r="D537" s="46" t="s">
        <v>789</v>
      </c>
      <c r="E537" s="46" t="s">
        <v>790</v>
      </c>
      <c r="F537" s="46" t="s">
        <v>791</v>
      </c>
      <c r="G537" s="46" t="s">
        <v>735</v>
      </c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</row>
    <row r="538" spans="1:22" ht="15.75" customHeight="1" x14ac:dyDescent="0.2">
      <c r="A538" s="40"/>
      <c r="B538" s="45" t="s">
        <v>80</v>
      </c>
      <c r="C538" s="46" t="s">
        <v>792</v>
      </c>
      <c r="D538" s="46" t="s">
        <v>793</v>
      </c>
      <c r="E538" s="46"/>
      <c r="F538" s="46" t="s">
        <v>791</v>
      </c>
      <c r="G538" s="46" t="s">
        <v>735</v>
      </c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</row>
    <row r="539" spans="1:22" ht="15.75" customHeight="1" x14ac:dyDescent="0.2">
      <c r="A539" s="40"/>
      <c r="B539" s="45" t="s">
        <v>84</v>
      </c>
      <c r="C539" s="46" t="s">
        <v>794</v>
      </c>
      <c r="D539" s="46" t="s">
        <v>795</v>
      </c>
      <c r="E539" s="46" t="s">
        <v>796</v>
      </c>
      <c r="F539" s="46" t="s">
        <v>791</v>
      </c>
      <c r="G539" s="46" t="s">
        <v>735</v>
      </c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</row>
    <row r="540" spans="1:22" ht="15.75" customHeight="1" x14ac:dyDescent="0.2">
      <c r="A540" s="40"/>
      <c r="B540" s="45" t="s">
        <v>80</v>
      </c>
      <c r="C540" s="46" t="s">
        <v>797</v>
      </c>
      <c r="D540" s="46" t="s">
        <v>798</v>
      </c>
      <c r="E540" s="46" t="s">
        <v>799</v>
      </c>
      <c r="F540" s="46" t="s">
        <v>791</v>
      </c>
      <c r="G540" s="46" t="s">
        <v>735</v>
      </c>
    </row>
    <row r="541" spans="1:22" ht="15.75" customHeight="1" x14ac:dyDescent="0.2">
      <c r="A541" s="40"/>
      <c r="B541" s="45" t="s">
        <v>80</v>
      </c>
      <c r="C541" s="46" t="s">
        <v>800</v>
      </c>
      <c r="D541" s="46" t="s">
        <v>801</v>
      </c>
      <c r="E541" s="46" t="s">
        <v>802</v>
      </c>
      <c r="F541" s="46" t="s">
        <v>791</v>
      </c>
      <c r="G541" s="46" t="s">
        <v>735</v>
      </c>
    </row>
    <row r="542" spans="1:22" ht="15.75" customHeight="1" x14ac:dyDescent="0.2">
      <c r="A542" s="40"/>
      <c r="B542" s="45" t="s">
        <v>126</v>
      </c>
      <c r="C542" s="46" t="s">
        <v>803</v>
      </c>
      <c r="D542" s="46" t="s">
        <v>313</v>
      </c>
      <c r="E542" s="46" t="s">
        <v>575</v>
      </c>
      <c r="F542" s="46" t="s">
        <v>804</v>
      </c>
      <c r="G542" s="46" t="s">
        <v>735</v>
      </c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</row>
    <row r="543" spans="1:22" ht="15.75" customHeight="1" x14ac:dyDescent="0.2">
      <c r="A543" s="40"/>
      <c r="B543" s="45" t="s">
        <v>736</v>
      </c>
      <c r="C543" s="46" t="s">
        <v>805</v>
      </c>
      <c r="D543" s="46" t="s">
        <v>75</v>
      </c>
      <c r="E543" s="46" t="s">
        <v>806</v>
      </c>
      <c r="F543" s="46" t="s">
        <v>804</v>
      </c>
      <c r="G543" s="46" t="s">
        <v>735</v>
      </c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</row>
    <row r="544" spans="1:22" ht="15.75" customHeight="1" x14ac:dyDescent="0.2">
      <c r="A544" s="40"/>
      <c r="B544" s="45" t="s">
        <v>807</v>
      </c>
      <c r="C544" s="46" t="s">
        <v>808</v>
      </c>
      <c r="D544" s="46" t="s">
        <v>809</v>
      </c>
      <c r="E544" s="46" t="s">
        <v>125</v>
      </c>
      <c r="F544" s="46" t="s">
        <v>804</v>
      </c>
      <c r="G544" s="46" t="s">
        <v>735</v>
      </c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</row>
    <row r="545" spans="1:22" ht="15.75" customHeight="1" x14ac:dyDescent="0.2">
      <c r="A545" s="40"/>
      <c r="B545" s="45" t="s">
        <v>114</v>
      </c>
      <c r="C545" s="46" t="s">
        <v>810</v>
      </c>
      <c r="D545" s="46" t="s">
        <v>236</v>
      </c>
      <c r="E545" s="46" t="s">
        <v>306</v>
      </c>
      <c r="F545" s="46" t="s">
        <v>804</v>
      </c>
      <c r="G545" s="46" t="s">
        <v>735</v>
      </c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</row>
    <row r="546" spans="1:22" ht="15.75" customHeight="1" x14ac:dyDescent="0.2">
      <c r="A546" s="40"/>
      <c r="B546" s="45" t="s">
        <v>118</v>
      </c>
      <c r="C546" s="46" t="s">
        <v>811</v>
      </c>
      <c r="D546" s="46" t="s">
        <v>39</v>
      </c>
      <c r="E546" s="46" t="s">
        <v>32</v>
      </c>
      <c r="F546" s="46" t="s">
        <v>804</v>
      </c>
      <c r="G546" s="46" t="s">
        <v>735</v>
      </c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</row>
    <row r="547" spans="1:22" ht="15.75" customHeight="1" x14ac:dyDescent="0.2">
      <c r="A547" s="40"/>
      <c r="B547" s="45" t="s">
        <v>315</v>
      </c>
      <c r="C547" s="46" t="s">
        <v>812</v>
      </c>
      <c r="D547" s="46" t="s">
        <v>557</v>
      </c>
      <c r="E547" s="46" t="s">
        <v>40</v>
      </c>
      <c r="F547" s="46" t="s">
        <v>804</v>
      </c>
      <c r="G547" s="46" t="s">
        <v>735</v>
      </c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</row>
    <row r="548" spans="1:22" ht="15.75" customHeight="1" x14ac:dyDescent="0.2">
      <c r="A548" s="40"/>
      <c r="B548" s="45" t="s">
        <v>94</v>
      </c>
      <c r="C548" s="46" t="s">
        <v>812</v>
      </c>
      <c r="D548" s="46" t="s">
        <v>557</v>
      </c>
      <c r="E548" s="46" t="s">
        <v>40</v>
      </c>
      <c r="F548" s="46" t="s">
        <v>804</v>
      </c>
      <c r="G548" s="46" t="s">
        <v>735</v>
      </c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</row>
    <row r="549" spans="1:22" ht="15.75" customHeight="1" x14ac:dyDescent="0.2">
      <c r="A549" s="40"/>
      <c r="B549" s="45" t="s">
        <v>126</v>
      </c>
      <c r="C549" s="46" t="s">
        <v>813</v>
      </c>
      <c r="D549" s="46" t="s">
        <v>506</v>
      </c>
      <c r="E549" s="46" t="s">
        <v>571</v>
      </c>
      <c r="F549" s="46" t="s">
        <v>804</v>
      </c>
      <c r="G549" s="46" t="s">
        <v>735</v>
      </c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</row>
    <row r="550" spans="1:22" ht="15.75" customHeight="1" x14ac:dyDescent="0.2">
      <c r="A550" s="40"/>
      <c r="B550" s="45" t="s">
        <v>108</v>
      </c>
      <c r="C550" s="46" t="s">
        <v>814</v>
      </c>
      <c r="D550" s="46" t="s">
        <v>605</v>
      </c>
      <c r="E550" s="46" t="s">
        <v>259</v>
      </c>
      <c r="F550" s="46" t="s">
        <v>804</v>
      </c>
      <c r="G550" s="46" t="s">
        <v>735</v>
      </c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</row>
    <row r="551" spans="1:22" ht="15.75" customHeight="1" x14ac:dyDescent="0.2">
      <c r="A551" s="40"/>
      <c r="B551" s="45" t="s">
        <v>815</v>
      </c>
      <c r="C551" s="46" t="s">
        <v>816</v>
      </c>
      <c r="D551" s="46" t="s">
        <v>58</v>
      </c>
      <c r="E551" s="46" t="s">
        <v>79</v>
      </c>
      <c r="F551" s="46" t="s">
        <v>817</v>
      </c>
      <c r="G551" s="46" t="s">
        <v>735</v>
      </c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</row>
    <row r="552" spans="1:22" ht="15.75" customHeight="1" x14ac:dyDescent="0.2">
      <c r="A552" s="40"/>
      <c r="B552" s="45" t="s">
        <v>818</v>
      </c>
      <c r="C552" s="46" t="s">
        <v>819</v>
      </c>
      <c r="D552" s="46" t="s">
        <v>120</v>
      </c>
      <c r="E552" s="46" t="s">
        <v>326</v>
      </c>
      <c r="F552" s="46" t="s">
        <v>817</v>
      </c>
      <c r="G552" s="46" t="s">
        <v>735</v>
      </c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</row>
    <row r="553" spans="1:22" ht="15.75" customHeight="1" x14ac:dyDescent="0.2">
      <c r="A553" s="40"/>
      <c r="B553" s="45" t="s">
        <v>736</v>
      </c>
      <c r="C553" s="46" t="s">
        <v>820</v>
      </c>
      <c r="D553" s="46" t="s">
        <v>86</v>
      </c>
      <c r="E553" s="46" t="s">
        <v>273</v>
      </c>
      <c r="F553" s="46" t="s">
        <v>817</v>
      </c>
      <c r="G553" s="46" t="s">
        <v>735</v>
      </c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</row>
    <row r="554" spans="1:22" ht="15.75" customHeight="1" x14ac:dyDescent="0.2">
      <c r="A554" s="40"/>
      <c r="B554" s="45" t="s">
        <v>122</v>
      </c>
      <c r="C554" s="46" t="s">
        <v>821</v>
      </c>
      <c r="D554" s="46" t="s">
        <v>822</v>
      </c>
      <c r="E554" s="46" t="s">
        <v>129</v>
      </c>
      <c r="F554" s="46" t="s">
        <v>817</v>
      </c>
      <c r="G554" s="46" t="s">
        <v>735</v>
      </c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</row>
    <row r="555" spans="1:22" ht="15.75" customHeight="1" x14ac:dyDescent="0.2">
      <c r="A555" s="40"/>
      <c r="B555" s="45" t="s">
        <v>823</v>
      </c>
      <c r="C555" s="46" t="s">
        <v>821</v>
      </c>
      <c r="D555" s="46" t="s">
        <v>822</v>
      </c>
      <c r="E555" s="46" t="s">
        <v>129</v>
      </c>
      <c r="F555" s="46" t="s">
        <v>817</v>
      </c>
      <c r="G555" s="46" t="s">
        <v>735</v>
      </c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</row>
    <row r="556" spans="1:22" ht="15.75" customHeight="1" x14ac:dyDescent="0.2">
      <c r="A556" s="40"/>
      <c r="B556" s="45" t="s">
        <v>818</v>
      </c>
      <c r="C556" s="46" t="s">
        <v>824</v>
      </c>
      <c r="D556" s="46" t="s">
        <v>825</v>
      </c>
      <c r="E556" s="46" t="s">
        <v>826</v>
      </c>
      <c r="F556" s="46" t="s">
        <v>817</v>
      </c>
      <c r="G556" s="46" t="s">
        <v>735</v>
      </c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</row>
    <row r="557" spans="1:22" ht="15.75" customHeight="1" x14ac:dyDescent="0.2">
      <c r="A557" s="40"/>
      <c r="B557" s="45" t="s">
        <v>118</v>
      </c>
      <c r="C557" s="46" t="s">
        <v>827</v>
      </c>
      <c r="D557" s="46" t="s">
        <v>325</v>
      </c>
      <c r="E557" s="46" t="s">
        <v>187</v>
      </c>
      <c r="F557" s="46" t="s">
        <v>817</v>
      </c>
      <c r="G557" s="46" t="s">
        <v>735</v>
      </c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</row>
    <row r="558" spans="1:22" ht="15.75" customHeight="1" x14ac:dyDescent="0.2">
      <c r="A558" s="40"/>
      <c r="B558" s="45" t="s">
        <v>828</v>
      </c>
      <c r="C558" s="46" t="s">
        <v>827</v>
      </c>
      <c r="D558" s="46" t="s">
        <v>325</v>
      </c>
      <c r="E558" s="46" t="s">
        <v>187</v>
      </c>
      <c r="F558" s="46" t="s">
        <v>817</v>
      </c>
      <c r="G558" s="46" t="s">
        <v>735</v>
      </c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</row>
    <row r="559" spans="1:22" ht="15.75" customHeight="1" x14ac:dyDescent="0.2">
      <c r="A559" s="40"/>
      <c r="B559" s="45" t="s">
        <v>736</v>
      </c>
      <c r="C559" s="46" t="s">
        <v>820</v>
      </c>
      <c r="D559" s="46" t="s">
        <v>309</v>
      </c>
      <c r="E559" s="46" t="s">
        <v>273</v>
      </c>
      <c r="F559" s="46" t="s">
        <v>829</v>
      </c>
      <c r="G559" s="46" t="s">
        <v>735</v>
      </c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</row>
    <row r="560" spans="1:22" ht="15.75" customHeight="1" x14ac:dyDescent="0.2">
      <c r="A560" s="40"/>
      <c r="B560" s="45" t="s">
        <v>818</v>
      </c>
      <c r="C560" s="46" t="s">
        <v>824</v>
      </c>
      <c r="D560" s="46" t="s">
        <v>825</v>
      </c>
      <c r="E560" s="46" t="s">
        <v>826</v>
      </c>
      <c r="F560" s="51" t="s">
        <v>829</v>
      </c>
      <c r="G560" s="46" t="s">
        <v>735</v>
      </c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</row>
    <row r="561" spans="1:22" ht="15.75" customHeight="1" x14ac:dyDescent="0.2">
      <c r="A561" s="40"/>
      <c r="B561" s="45" t="s">
        <v>830</v>
      </c>
      <c r="C561" s="46" t="s">
        <v>831</v>
      </c>
      <c r="D561" s="46" t="s">
        <v>339</v>
      </c>
      <c r="E561" s="46" t="s">
        <v>306</v>
      </c>
      <c r="F561" s="46" t="s">
        <v>829</v>
      </c>
      <c r="G561" s="46" t="s">
        <v>735</v>
      </c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</row>
    <row r="562" spans="1:22" ht="15.75" customHeight="1" x14ac:dyDescent="0.2">
      <c r="A562" s="40"/>
      <c r="B562" s="45" t="s">
        <v>815</v>
      </c>
      <c r="C562" s="46" t="s">
        <v>832</v>
      </c>
      <c r="D562" s="46" t="s">
        <v>39</v>
      </c>
      <c r="E562" s="46" t="s">
        <v>306</v>
      </c>
      <c r="F562" s="46" t="s">
        <v>829</v>
      </c>
      <c r="G562" s="46" t="s">
        <v>735</v>
      </c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</row>
    <row r="563" spans="1:22" ht="15.75" customHeight="1" x14ac:dyDescent="0.2">
      <c r="A563" s="40"/>
      <c r="B563" s="45" t="s">
        <v>118</v>
      </c>
      <c r="C563" s="46" t="s">
        <v>833</v>
      </c>
      <c r="D563" s="46" t="s">
        <v>474</v>
      </c>
      <c r="E563" s="46" t="s">
        <v>18</v>
      </c>
      <c r="F563" s="46" t="s">
        <v>834</v>
      </c>
      <c r="G563" s="46" t="s">
        <v>735</v>
      </c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</row>
    <row r="564" spans="1:22" ht="15.75" customHeight="1" x14ac:dyDescent="0.2">
      <c r="A564" s="40"/>
      <c r="B564" s="45" t="s">
        <v>94</v>
      </c>
      <c r="C564" s="46" t="s">
        <v>833</v>
      </c>
      <c r="D564" s="46" t="s">
        <v>474</v>
      </c>
      <c r="E564" s="46" t="s">
        <v>18</v>
      </c>
      <c r="F564" s="46" t="s">
        <v>834</v>
      </c>
      <c r="G564" s="46" t="s">
        <v>735</v>
      </c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</row>
    <row r="565" spans="1:22" ht="15.75" customHeight="1" x14ac:dyDescent="0.2">
      <c r="A565" s="40"/>
      <c r="B565" s="45" t="s">
        <v>94</v>
      </c>
      <c r="C565" s="46" t="s">
        <v>835</v>
      </c>
      <c r="D565" s="46" t="s">
        <v>471</v>
      </c>
      <c r="E565" s="46" t="s">
        <v>836</v>
      </c>
      <c r="F565" s="46" t="s">
        <v>837</v>
      </c>
      <c r="G565" s="46" t="s">
        <v>735</v>
      </c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</row>
    <row r="566" spans="1:22" ht="15.75" customHeight="1" x14ac:dyDescent="0.2">
      <c r="A566" s="40"/>
      <c r="B566" s="45" t="s">
        <v>71</v>
      </c>
      <c r="C566" s="46" t="s">
        <v>838</v>
      </c>
      <c r="D566" s="46" t="s">
        <v>839</v>
      </c>
      <c r="E566" s="46" t="s">
        <v>840</v>
      </c>
      <c r="F566" s="46" t="s">
        <v>841</v>
      </c>
      <c r="G566" s="46" t="s">
        <v>735</v>
      </c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</row>
    <row r="567" spans="1:22" ht="15.75" customHeight="1" x14ac:dyDescent="0.2">
      <c r="A567" s="40"/>
      <c r="B567" s="45" t="s">
        <v>303</v>
      </c>
      <c r="C567" s="46" t="s">
        <v>842</v>
      </c>
      <c r="D567" s="46" t="s">
        <v>399</v>
      </c>
      <c r="E567" s="46" t="s">
        <v>539</v>
      </c>
      <c r="F567" s="46" t="s">
        <v>843</v>
      </c>
      <c r="G567" s="46" t="s">
        <v>735</v>
      </c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</row>
    <row r="568" spans="1:22" ht="15.75" customHeight="1" x14ac:dyDescent="0.2">
      <c r="A568" s="40"/>
      <c r="B568" s="45" t="s">
        <v>94</v>
      </c>
      <c r="C568" s="46" t="s">
        <v>842</v>
      </c>
      <c r="D568" s="46" t="s">
        <v>399</v>
      </c>
      <c r="E568" s="46" t="s">
        <v>539</v>
      </c>
      <c r="F568" s="46" t="s">
        <v>843</v>
      </c>
      <c r="G568" s="46" t="s">
        <v>735</v>
      </c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</row>
    <row r="569" spans="1:22" ht="15.75" customHeight="1" x14ac:dyDescent="0.2">
      <c r="A569" s="40"/>
      <c r="B569" s="45" t="s">
        <v>303</v>
      </c>
      <c r="C569" s="46" t="s">
        <v>844</v>
      </c>
      <c r="D569" s="46" t="s">
        <v>845</v>
      </c>
      <c r="E569" s="46" t="s">
        <v>846</v>
      </c>
      <c r="F569" s="46" t="s">
        <v>843</v>
      </c>
      <c r="G569" s="46" t="s">
        <v>735</v>
      </c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</row>
    <row r="570" spans="1:22" ht="15.75" customHeight="1" x14ac:dyDescent="0.2">
      <c r="A570" s="40"/>
      <c r="B570" s="45" t="s">
        <v>94</v>
      </c>
      <c r="C570" s="46" t="s">
        <v>844</v>
      </c>
      <c r="D570" s="46" t="s">
        <v>845</v>
      </c>
      <c r="E570" s="46" t="s">
        <v>846</v>
      </c>
      <c r="F570" s="46" t="s">
        <v>843</v>
      </c>
      <c r="G570" s="46" t="s">
        <v>735</v>
      </c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</row>
    <row r="571" spans="1:22" ht="15.75" customHeight="1" x14ac:dyDescent="0.2">
      <c r="A571" s="40"/>
      <c r="B571" s="45" t="s">
        <v>122</v>
      </c>
      <c r="C571" s="46" t="s">
        <v>847</v>
      </c>
      <c r="D571" s="46" t="s">
        <v>75</v>
      </c>
      <c r="E571" s="46" t="s">
        <v>571</v>
      </c>
      <c r="F571" s="46" t="s">
        <v>848</v>
      </c>
      <c r="G571" s="46" t="s">
        <v>735</v>
      </c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</row>
    <row r="572" spans="1:22" ht="15.75" customHeight="1" x14ac:dyDescent="0.2">
      <c r="A572" s="40"/>
      <c r="B572" s="45" t="s">
        <v>126</v>
      </c>
      <c r="C572" s="46" t="s">
        <v>847</v>
      </c>
      <c r="D572" s="46" t="s">
        <v>75</v>
      </c>
      <c r="E572" s="46" t="s">
        <v>571</v>
      </c>
      <c r="F572" s="46" t="s">
        <v>848</v>
      </c>
      <c r="G572" s="46" t="s">
        <v>735</v>
      </c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</row>
    <row r="573" spans="1:22" ht="15.75" customHeight="1" x14ac:dyDescent="0.2">
      <c r="A573" s="40"/>
      <c r="B573" s="45" t="s">
        <v>315</v>
      </c>
      <c r="C573" s="46" t="s">
        <v>849</v>
      </c>
      <c r="D573" s="46" t="s">
        <v>850</v>
      </c>
      <c r="E573" s="46" t="s">
        <v>259</v>
      </c>
      <c r="F573" s="46" t="s">
        <v>848</v>
      </c>
      <c r="G573" s="46" t="s">
        <v>735</v>
      </c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</row>
    <row r="574" spans="1:22" ht="15.75" customHeight="1" x14ac:dyDescent="0.2">
      <c r="A574" s="40"/>
      <c r="B574" s="45" t="s">
        <v>316</v>
      </c>
      <c r="C574" s="46" t="s">
        <v>849</v>
      </c>
      <c r="D574" s="46" t="s">
        <v>850</v>
      </c>
      <c r="E574" s="46" t="s">
        <v>259</v>
      </c>
      <c r="F574" s="46" t="s">
        <v>848</v>
      </c>
      <c r="G574" s="46" t="s">
        <v>735</v>
      </c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</row>
    <row r="575" spans="1:22" ht="15.75" customHeight="1" x14ac:dyDescent="0.2">
      <c r="A575" s="40"/>
      <c r="B575" s="45" t="s">
        <v>118</v>
      </c>
      <c r="C575" s="46" t="s">
        <v>851</v>
      </c>
      <c r="D575" s="46" t="s">
        <v>852</v>
      </c>
      <c r="E575" s="46" t="s">
        <v>853</v>
      </c>
      <c r="F575" s="46" t="s">
        <v>848</v>
      </c>
      <c r="G575" s="46" t="s">
        <v>735</v>
      </c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</row>
    <row r="576" spans="1:22" ht="15.75" customHeight="1" x14ac:dyDescent="0.2">
      <c r="A576" s="40"/>
      <c r="B576" s="45" t="s">
        <v>121</v>
      </c>
      <c r="C576" s="46" t="s">
        <v>851</v>
      </c>
      <c r="D576" s="46" t="s">
        <v>852</v>
      </c>
      <c r="E576" s="46" t="s">
        <v>853</v>
      </c>
      <c r="F576" s="46" t="s">
        <v>848</v>
      </c>
      <c r="G576" s="46" t="s">
        <v>735</v>
      </c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</row>
    <row r="577" spans="1:22" ht="15.75" customHeight="1" x14ac:dyDescent="0.2">
      <c r="A577" s="40"/>
      <c r="B577" s="45" t="s">
        <v>315</v>
      </c>
      <c r="C577" s="46" t="s">
        <v>854</v>
      </c>
      <c r="D577" s="46" t="s">
        <v>855</v>
      </c>
      <c r="E577" s="46" t="s">
        <v>87</v>
      </c>
      <c r="F577" s="46" t="s">
        <v>848</v>
      </c>
      <c r="G577" s="46" t="s">
        <v>735</v>
      </c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</row>
    <row r="578" spans="1:22" ht="15.75" customHeight="1" x14ac:dyDescent="0.2">
      <c r="A578" s="40"/>
      <c r="B578" s="45" t="s">
        <v>108</v>
      </c>
      <c r="C578" s="46" t="s">
        <v>854</v>
      </c>
      <c r="D578" s="46" t="s">
        <v>855</v>
      </c>
      <c r="E578" s="46" t="s">
        <v>87</v>
      </c>
      <c r="F578" s="46" t="s">
        <v>848</v>
      </c>
      <c r="G578" s="46" t="s">
        <v>735</v>
      </c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</row>
    <row r="579" spans="1:22" ht="15.75" customHeight="1" x14ac:dyDescent="0.2">
      <c r="A579" s="40"/>
      <c r="B579" s="45" t="s">
        <v>315</v>
      </c>
      <c r="C579" s="46" t="s">
        <v>856</v>
      </c>
      <c r="D579" s="46" t="s">
        <v>116</v>
      </c>
      <c r="E579" s="46" t="s">
        <v>79</v>
      </c>
      <c r="F579" s="46" t="s">
        <v>848</v>
      </c>
      <c r="G579" s="46" t="s">
        <v>735</v>
      </c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</row>
    <row r="580" spans="1:22" ht="15.75" customHeight="1" x14ac:dyDescent="0.2">
      <c r="A580" s="40"/>
      <c r="B580" s="45" t="s">
        <v>323</v>
      </c>
      <c r="C580" s="46" t="s">
        <v>856</v>
      </c>
      <c r="D580" s="46" t="s">
        <v>116</v>
      </c>
      <c r="E580" s="46" t="s">
        <v>79</v>
      </c>
      <c r="F580" s="46" t="s">
        <v>848</v>
      </c>
      <c r="G580" s="46" t="s">
        <v>735</v>
      </c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</row>
    <row r="581" spans="1:22" ht="15.75" customHeight="1" x14ac:dyDescent="0.2">
      <c r="A581" s="40"/>
      <c r="B581" s="45" t="s">
        <v>297</v>
      </c>
      <c r="C581" s="46" t="s">
        <v>857</v>
      </c>
      <c r="D581" s="46" t="s">
        <v>534</v>
      </c>
      <c r="E581" s="46" t="s">
        <v>18</v>
      </c>
      <c r="F581" s="46" t="s">
        <v>848</v>
      </c>
      <c r="G581" s="46" t="s">
        <v>735</v>
      </c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</row>
    <row r="582" spans="1:22" ht="15.75" customHeight="1" x14ac:dyDescent="0.2">
      <c r="A582" s="40"/>
      <c r="B582" s="45" t="s">
        <v>316</v>
      </c>
      <c r="C582" s="46" t="s">
        <v>857</v>
      </c>
      <c r="D582" s="46" t="s">
        <v>534</v>
      </c>
      <c r="E582" s="46" t="s">
        <v>18</v>
      </c>
      <c r="F582" s="46" t="s">
        <v>848</v>
      </c>
      <c r="G582" s="46" t="s">
        <v>735</v>
      </c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</row>
    <row r="583" spans="1:22" ht="15.75" customHeight="1" x14ac:dyDescent="0.2">
      <c r="A583" s="40"/>
      <c r="B583" s="45" t="s">
        <v>736</v>
      </c>
      <c r="C583" s="46" t="s">
        <v>858</v>
      </c>
      <c r="D583" s="46" t="s">
        <v>58</v>
      </c>
      <c r="E583" s="46" t="s">
        <v>306</v>
      </c>
      <c r="F583" s="46" t="s">
        <v>859</v>
      </c>
      <c r="G583" s="46" t="s">
        <v>735</v>
      </c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</row>
    <row r="584" spans="1:22" ht="15.75" customHeight="1" x14ac:dyDescent="0.2">
      <c r="A584" s="40"/>
      <c r="B584" s="45" t="s">
        <v>815</v>
      </c>
      <c r="C584" s="46" t="s">
        <v>860</v>
      </c>
      <c r="D584" s="46" t="s">
        <v>295</v>
      </c>
      <c r="E584" s="46" t="s">
        <v>259</v>
      </c>
      <c r="F584" s="46" t="s">
        <v>859</v>
      </c>
      <c r="G584" s="46" t="s">
        <v>735</v>
      </c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</row>
    <row r="585" spans="1:22" ht="15.75" customHeight="1" x14ac:dyDescent="0.2">
      <c r="A585" s="40"/>
      <c r="B585" s="45" t="s">
        <v>823</v>
      </c>
      <c r="C585" s="46" t="s">
        <v>450</v>
      </c>
      <c r="D585" s="46" t="s">
        <v>861</v>
      </c>
      <c r="E585" s="46" t="s">
        <v>413</v>
      </c>
      <c r="F585" s="46" t="s">
        <v>859</v>
      </c>
      <c r="G585" s="46" t="s">
        <v>735</v>
      </c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</row>
    <row r="586" spans="1:22" ht="15.75" customHeight="1" x14ac:dyDescent="0.2">
      <c r="A586" s="40"/>
      <c r="B586" s="45" t="s">
        <v>807</v>
      </c>
      <c r="C586" s="46" t="s">
        <v>862</v>
      </c>
      <c r="D586" s="46" t="s">
        <v>407</v>
      </c>
      <c r="E586" s="46" t="s">
        <v>40</v>
      </c>
      <c r="F586" s="46" t="s">
        <v>859</v>
      </c>
      <c r="G586" s="46" t="s">
        <v>735</v>
      </c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</row>
    <row r="587" spans="1:22" ht="15.75" customHeight="1" x14ac:dyDescent="0.2">
      <c r="A587" s="40"/>
      <c r="B587" s="45" t="s">
        <v>818</v>
      </c>
      <c r="C587" s="46" t="s">
        <v>863</v>
      </c>
      <c r="D587" s="46" t="s">
        <v>554</v>
      </c>
      <c r="E587" s="46" t="s">
        <v>306</v>
      </c>
      <c r="F587" s="46" t="s">
        <v>859</v>
      </c>
      <c r="G587" s="46" t="s">
        <v>735</v>
      </c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</row>
    <row r="588" spans="1:22" ht="15.75" customHeight="1" x14ac:dyDescent="0.2">
      <c r="A588" s="40"/>
      <c r="B588" s="45" t="s">
        <v>71</v>
      </c>
      <c r="C588" s="46" t="s">
        <v>864</v>
      </c>
      <c r="D588" s="46" t="s">
        <v>28</v>
      </c>
      <c r="E588" s="46" t="s">
        <v>865</v>
      </c>
      <c r="F588" s="46" t="s">
        <v>866</v>
      </c>
      <c r="G588" s="46" t="s">
        <v>735</v>
      </c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</row>
    <row r="589" spans="1:22" ht="15.75" customHeight="1" x14ac:dyDescent="0.2">
      <c r="A589" s="40"/>
      <c r="B589" s="45" t="s">
        <v>815</v>
      </c>
      <c r="C589" s="46" t="s">
        <v>867</v>
      </c>
      <c r="D589" s="46" t="s">
        <v>869</v>
      </c>
      <c r="E589" s="46" t="s">
        <v>868</v>
      </c>
      <c r="F589" s="46" t="s">
        <v>866</v>
      </c>
      <c r="G589" s="46" t="s">
        <v>735</v>
      </c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</row>
    <row r="590" spans="1:22" ht="15.75" customHeight="1" x14ac:dyDescent="0.2">
      <c r="A590" s="40"/>
      <c r="B590" s="45" t="s">
        <v>45</v>
      </c>
      <c r="C590" s="46" t="s">
        <v>870</v>
      </c>
      <c r="D590" s="46" t="s">
        <v>871</v>
      </c>
      <c r="E590" s="46" t="s">
        <v>79</v>
      </c>
      <c r="F590" s="46" t="s">
        <v>866</v>
      </c>
      <c r="G590" s="46" t="s">
        <v>735</v>
      </c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</row>
    <row r="591" spans="1:22" ht="15.75" customHeight="1" x14ac:dyDescent="0.2">
      <c r="A591" s="40"/>
      <c r="B591" s="45" t="s">
        <v>71</v>
      </c>
      <c r="C591" s="46" t="s">
        <v>872</v>
      </c>
      <c r="D591" s="46" t="s">
        <v>58</v>
      </c>
      <c r="E591" s="46" t="s">
        <v>393</v>
      </c>
      <c r="F591" s="46" t="s">
        <v>866</v>
      </c>
      <c r="G591" s="46" t="s">
        <v>735</v>
      </c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</row>
    <row r="592" spans="1:22" ht="15.75" customHeight="1" x14ac:dyDescent="0.2">
      <c r="A592" s="40"/>
      <c r="B592" s="45" t="s">
        <v>45</v>
      </c>
      <c r="C592" s="46" t="s">
        <v>872</v>
      </c>
      <c r="D592" s="46" t="s">
        <v>58</v>
      </c>
      <c r="E592" s="46" t="s">
        <v>393</v>
      </c>
      <c r="F592" s="46" t="s">
        <v>866</v>
      </c>
      <c r="G592" s="46" t="s">
        <v>735</v>
      </c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</row>
    <row r="593" spans="1:22" ht="15.75" customHeight="1" x14ac:dyDescent="0.2">
      <c r="A593" s="40"/>
      <c r="B593" s="45" t="s">
        <v>26</v>
      </c>
      <c r="C593" s="46" t="s">
        <v>873</v>
      </c>
      <c r="D593" s="46" t="s">
        <v>295</v>
      </c>
      <c r="E593" s="46" t="s">
        <v>575</v>
      </c>
      <c r="F593" s="46" t="s">
        <v>866</v>
      </c>
      <c r="G593" s="46" t="s">
        <v>735</v>
      </c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</row>
    <row r="594" spans="1:22" ht="15.75" customHeight="1" x14ac:dyDescent="0.2">
      <c r="A594" s="40"/>
      <c r="B594" s="45" t="s">
        <v>41</v>
      </c>
      <c r="C594" s="46" t="s">
        <v>874</v>
      </c>
      <c r="D594" s="46" t="s">
        <v>58</v>
      </c>
      <c r="E594" s="46" t="s">
        <v>32</v>
      </c>
      <c r="F594" s="46" t="s">
        <v>866</v>
      </c>
      <c r="G594" s="46" t="s">
        <v>735</v>
      </c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</row>
    <row r="595" spans="1:22" ht="15.75" customHeight="1" x14ac:dyDescent="0.2">
      <c r="A595" s="40"/>
      <c r="B595" s="45" t="s">
        <v>336</v>
      </c>
      <c r="C595" s="46" t="s">
        <v>667</v>
      </c>
      <c r="D595" s="46" t="s">
        <v>506</v>
      </c>
      <c r="E595" s="46" t="s">
        <v>650</v>
      </c>
      <c r="F595" s="46" t="s">
        <v>866</v>
      </c>
      <c r="G595" s="46" t="s">
        <v>735</v>
      </c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</row>
    <row r="596" spans="1:22" ht="15.75" customHeight="1" x14ac:dyDescent="0.2">
      <c r="A596" s="40"/>
      <c r="B596" s="45" t="s">
        <v>523</v>
      </c>
      <c r="C596" s="46" t="s">
        <v>875</v>
      </c>
      <c r="D596" s="46" t="s">
        <v>516</v>
      </c>
      <c r="E596" s="46" t="s">
        <v>876</v>
      </c>
      <c r="F596" s="46" t="s">
        <v>866</v>
      </c>
      <c r="G596" s="46" t="s">
        <v>735</v>
      </c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</row>
    <row r="597" spans="1:22" ht="15.75" customHeight="1" x14ac:dyDescent="0.2">
      <c r="A597" s="40"/>
      <c r="B597" s="45" t="s">
        <v>33</v>
      </c>
      <c r="C597" s="46" t="s">
        <v>877</v>
      </c>
      <c r="D597" s="46" t="s">
        <v>292</v>
      </c>
      <c r="E597" s="46" t="s">
        <v>306</v>
      </c>
      <c r="F597" s="46" t="s">
        <v>866</v>
      </c>
      <c r="G597" s="46" t="s">
        <v>735</v>
      </c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</row>
    <row r="598" spans="1:22" ht="15.75" customHeight="1" x14ac:dyDescent="0.2">
      <c r="A598" s="40"/>
      <c r="B598" s="45" t="s">
        <v>45</v>
      </c>
      <c r="C598" s="46" t="s">
        <v>877</v>
      </c>
      <c r="D598" s="46" t="s">
        <v>292</v>
      </c>
      <c r="E598" s="46" t="s">
        <v>306</v>
      </c>
      <c r="F598" s="46" t="s">
        <v>866</v>
      </c>
      <c r="G598" s="46" t="s">
        <v>735</v>
      </c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</row>
    <row r="599" spans="1:22" ht="15.75" customHeight="1" x14ac:dyDescent="0.2">
      <c r="A599" s="40"/>
      <c r="B599" s="45" t="s">
        <v>71</v>
      </c>
      <c r="C599" s="46" t="s">
        <v>878</v>
      </c>
      <c r="D599" s="46" t="s">
        <v>516</v>
      </c>
      <c r="E599" s="46" t="s">
        <v>187</v>
      </c>
      <c r="F599" s="46" t="s">
        <v>866</v>
      </c>
      <c r="G599" s="46" t="s">
        <v>735</v>
      </c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</row>
    <row r="600" spans="1:22" ht="15.75" customHeight="1" x14ac:dyDescent="0.2">
      <c r="A600" s="40"/>
      <c r="B600" s="45" t="s">
        <v>828</v>
      </c>
      <c r="C600" s="46" t="s">
        <v>879</v>
      </c>
      <c r="D600" s="46" t="s">
        <v>471</v>
      </c>
      <c r="E600" s="46" t="s">
        <v>251</v>
      </c>
      <c r="F600" s="46" t="s">
        <v>866</v>
      </c>
      <c r="G600" s="46" t="s">
        <v>735</v>
      </c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</row>
    <row r="601" spans="1:22" ht="15.75" customHeight="1" x14ac:dyDescent="0.2">
      <c r="A601" s="40"/>
      <c r="B601" s="45" t="s">
        <v>46</v>
      </c>
      <c r="C601" s="46" t="s">
        <v>880</v>
      </c>
      <c r="D601" s="46" t="s">
        <v>383</v>
      </c>
      <c r="E601" s="46" t="s">
        <v>881</v>
      </c>
      <c r="F601" s="46" t="s">
        <v>866</v>
      </c>
      <c r="G601" s="46" t="s">
        <v>735</v>
      </c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</row>
    <row r="602" spans="1:22" ht="15.75" customHeight="1" x14ac:dyDescent="0.2">
      <c r="A602" s="40"/>
      <c r="B602" s="45" t="s">
        <v>71</v>
      </c>
      <c r="C602" s="46" t="s">
        <v>882</v>
      </c>
      <c r="D602" s="46" t="s">
        <v>529</v>
      </c>
      <c r="E602" s="46" t="s">
        <v>134</v>
      </c>
      <c r="F602" s="46" t="s">
        <v>883</v>
      </c>
      <c r="G602" s="46" t="s">
        <v>735</v>
      </c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</row>
    <row r="603" spans="1:22" ht="15.75" customHeight="1" x14ac:dyDescent="0.2">
      <c r="A603" s="40"/>
      <c r="B603" s="45" t="s">
        <v>26</v>
      </c>
      <c r="C603" s="46" t="s">
        <v>545</v>
      </c>
      <c r="D603" s="46" t="s">
        <v>884</v>
      </c>
      <c r="E603" s="46" t="s">
        <v>79</v>
      </c>
      <c r="F603" s="46" t="s">
        <v>883</v>
      </c>
      <c r="G603" s="46" t="s">
        <v>735</v>
      </c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</row>
    <row r="604" spans="1:22" ht="15.75" customHeight="1" x14ac:dyDescent="0.2">
      <c r="A604" s="40"/>
      <c r="B604" s="45" t="s">
        <v>336</v>
      </c>
      <c r="C604" s="46" t="s">
        <v>887</v>
      </c>
      <c r="D604" s="46" t="s">
        <v>116</v>
      </c>
      <c r="E604" s="46" t="s">
        <v>40</v>
      </c>
      <c r="F604" s="46" t="s">
        <v>883</v>
      </c>
      <c r="G604" s="46" t="s">
        <v>735</v>
      </c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</row>
    <row r="605" spans="1:22" ht="15.75" customHeight="1" x14ac:dyDescent="0.2">
      <c r="A605" s="40"/>
      <c r="B605" s="45" t="s">
        <v>45</v>
      </c>
      <c r="C605" s="46" t="s">
        <v>887</v>
      </c>
      <c r="D605" s="46" t="s">
        <v>116</v>
      </c>
      <c r="E605" s="46" t="s">
        <v>40</v>
      </c>
      <c r="F605" s="46" t="s">
        <v>883</v>
      </c>
      <c r="G605" s="46" t="s">
        <v>735</v>
      </c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</row>
    <row r="606" spans="1:22" ht="15.75" customHeight="1" x14ac:dyDescent="0.2">
      <c r="A606" s="40"/>
      <c r="B606" s="45" t="s">
        <v>33</v>
      </c>
      <c r="C606" s="46" t="s">
        <v>888</v>
      </c>
      <c r="D606" s="46" t="s">
        <v>871</v>
      </c>
      <c r="E606" s="46" t="s">
        <v>306</v>
      </c>
      <c r="F606" s="46" t="s">
        <v>883</v>
      </c>
      <c r="G606" s="46" t="s">
        <v>735</v>
      </c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</row>
    <row r="607" spans="1:22" ht="15.75" customHeight="1" x14ac:dyDescent="0.2">
      <c r="A607" s="40"/>
      <c r="B607" s="45" t="s">
        <v>45</v>
      </c>
      <c r="C607" s="46" t="s">
        <v>889</v>
      </c>
      <c r="D607" s="46" t="s">
        <v>647</v>
      </c>
      <c r="E607" s="46" t="s">
        <v>348</v>
      </c>
      <c r="F607" s="46" t="s">
        <v>883</v>
      </c>
      <c r="G607" s="46" t="s">
        <v>735</v>
      </c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</row>
    <row r="608" spans="1:22" ht="15.75" customHeight="1" x14ac:dyDescent="0.2">
      <c r="A608" s="40"/>
      <c r="B608" s="45" t="s">
        <v>80</v>
      </c>
      <c r="C608" s="46" t="s">
        <v>890</v>
      </c>
      <c r="D608" s="46" t="s">
        <v>39</v>
      </c>
      <c r="E608" s="46" t="s">
        <v>546</v>
      </c>
      <c r="F608" s="46" t="s">
        <v>883</v>
      </c>
      <c r="G608" s="46" t="s">
        <v>735</v>
      </c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</row>
    <row r="609" spans="1:22" ht="15.75" customHeight="1" x14ac:dyDescent="0.2">
      <c r="A609" s="40"/>
      <c r="B609" s="45" t="s">
        <v>45</v>
      </c>
      <c r="C609" s="46" t="s">
        <v>890</v>
      </c>
      <c r="D609" s="46" t="s">
        <v>39</v>
      </c>
      <c r="E609" s="46" t="s">
        <v>546</v>
      </c>
      <c r="F609" s="46" t="s">
        <v>883</v>
      </c>
      <c r="G609" s="46" t="s">
        <v>735</v>
      </c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</row>
    <row r="610" spans="1:22" ht="15.75" customHeight="1" x14ac:dyDescent="0.2">
      <c r="A610" s="40"/>
      <c r="B610" s="45" t="s">
        <v>41</v>
      </c>
      <c r="C610" s="46" t="s">
        <v>891</v>
      </c>
      <c r="D610" s="46" t="s">
        <v>396</v>
      </c>
      <c r="E610" s="46" t="s">
        <v>892</v>
      </c>
      <c r="F610" s="46" t="s">
        <v>883</v>
      </c>
      <c r="G610" s="46" t="s">
        <v>735</v>
      </c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</row>
    <row r="611" spans="1:22" ht="15.75" customHeight="1" x14ac:dyDescent="0.2">
      <c r="A611" s="40"/>
      <c r="B611" s="45" t="s">
        <v>41</v>
      </c>
      <c r="C611" s="46" t="s">
        <v>893</v>
      </c>
      <c r="D611" s="46" t="s">
        <v>313</v>
      </c>
      <c r="E611" s="46" t="s">
        <v>894</v>
      </c>
      <c r="F611" s="46" t="s">
        <v>883</v>
      </c>
      <c r="G611" s="46" t="s">
        <v>735</v>
      </c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</row>
    <row r="612" spans="1:22" ht="15.75" customHeight="1" x14ac:dyDescent="0.2">
      <c r="A612" s="40"/>
      <c r="B612" s="45" t="s">
        <v>45</v>
      </c>
      <c r="C612" s="46" t="s">
        <v>893</v>
      </c>
      <c r="D612" s="46" t="s">
        <v>313</v>
      </c>
      <c r="E612" s="46" t="s">
        <v>894</v>
      </c>
      <c r="F612" s="46" t="s">
        <v>883</v>
      </c>
      <c r="G612" s="46" t="s">
        <v>735</v>
      </c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</row>
    <row r="613" spans="1:22" ht="15.75" customHeight="1" x14ac:dyDescent="0.2">
      <c r="A613" s="40"/>
      <c r="B613" s="45" t="s">
        <v>41</v>
      </c>
      <c r="C613" s="46" t="s">
        <v>895</v>
      </c>
      <c r="D613" s="46" t="s">
        <v>104</v>
      </c>
      <c r="E613" s="46" t="s">
        <v>836</v>
      </c>
      <c r="F613" s="46" t="s">
        <v>883</v>
      </c>
      <c r="G613" s="46" t="s">
        <v>735</v>
      </c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</row>
    <row r="614" spans="1:22" ht="15.75" customHeight="1" x14ac:dyDescent="0.2">
      <c r="A614" s="40"/>
      <c r="B614" s="45" t="s">
        <v>45</v>
      </c>
      <c r="C614" s="46" t="s">
        <v>895</v>
      </c>
      <c r="D614" s="46" t="s">
        <v>104</v>
      </c>
      <c r="E614" s="46" t="s">
        <v>836</v>
      </c>
      <c r="F614" s="46" t="s">
        <v>883</v>
      </c>
      <c r="G614" s="46" t="s">
        <v>735</v>
      </c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</row>
    <row r="615" spans="1:22" ht="15.75" customHeight="1" x14ac:dyDescent="0.2">
      <c r="A615" s="40">
        <v>279</v>
      </c>
      <c r="B615" s="41" t="s">
        <v>896</v>
      </c>
      <c r="C615" s="42" t="s">
        <v>897</v>
      </c>
      <c r="D615" s="42" t="s">
        <v>898</v>
      </c>
      <c r="E615" s="42" t="s">
        <v>306</v>
      </c>
      <c r="F615" s="42" t="s">
        <v>899</v>
      </c>
      <c r="G615" s="42" t="s">
        <v>735</v>
      </c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</row>
    <row r="616" spans="1:22" ht="15.75" customHeight="1" x14ac:dyDescent="0.2">
      <c r="A616" s="40"/>
      <c r="B616" s="45" t="s">
        <v>807</v>
      </c>
      <c r="C616" s="46" t="s">
        <v>900</v>
      </c>
      <c r="D616" s="46" t="s">
        <v>901</v>
      </c>
      <c r="E616" s="46" t="s">
        <v>902</v>
      </c>
      <c r="F616" s="46" t="s">
        <v>903</v>
      </c>
      <c r="G616" s="46" t="s">
        <v>735</v>
      </c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</row>
    <row r="617" spans="1:22" ht="15.75" customHeight="1" x14ac:dyDescent="0.2">
      <c r="A617" s="40"/>
      <c r="B617" s="45" t="s">
        <v>830</v>
      </c>
      <c r="C617" s="46" t="s">
        <v>904</v>
      </c>
      <c r="D617" s="46" t="s">
        <v>116</v>
      </c>
      <c r="E617" s="46" t="s">
        <v>87</v>
      </c>
      <c r="F617" s="46" t="s">
        <v>903</v>
      </c>
      <c r="G617" s="46" t="s">
        <v>735</v>
      </c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</row>
    <row r="618" spans="1:22" ht="15.75" customHeight="1" x14ac:dyDescent="0.2">
      <c r="A618" s="40"/>
      <c r="B618" s="45" t="s">
        <v>830</v>
      </c>
      <c r="C618" s="46" t="s">
        <v>904</v>
      </c>
      <c r="D618" s="46" t="s">
        <v>516</v>
      </c>
      <c r="E618" s="46" t="s">
        <v>87</v>
      </c>
      <c r="F618" s="46" t="s">
        <v>903</v>
      </c>
      <c r="G618" s="46" t="s">
        <v>735</v>
      </c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</row>
    <row r="619" spans="1:22" ht="15.75" customHeight="1" x14ac:dyDescent="0.2">
      <c r="A619" s="40"/>
      <c r="B619" s="45" t="s">
        <v>807</v>
      </c>
      <c r="C619" s="46" t="s">
        <v>905</v>
      </c>
      <c r="D619" s="46" t="s">
        <v>906</v>
      </c>
      <c r="E619" s="46" t="s">
        <v>164</v>
      </c>
      <c r="F619" s="46" t="s">
        <v>903</v>
      </c>
      <c r="G619" s="46" t="s">
        <v>735</v>
      </c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</row>
    <row r="620" spans="1:22" ht="15.75" customHeight="1" x14ac:dyDescent="0.2">
      <c r="A620" s="40"/>
      <c r="B620" s="45" t="s">
        <v>307</v>
      </c>
      <c r="C620" s="46" t="s">
        <v>907</v>
      </c>
      <c r="D620" s="46" t="s">
        <v>898</v>
      </c>
      <c r="E620" s="46" t="s">
        <v>237</v>
      </c>
      <c r="F620" s="46" t="s">
        <v>908</v>
      </c>
      <c r="G620" s="46" t="s">
        <v>735</v>
      </c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</row>
    <row r="621" spans="1:22" ht="15.75" customHeight="1" x14ac:dyDescent="0.2">
      <c r="A621" s="40"/>
      <c r="B621" s="45" t="s">
        <v>108</v>
      </c>
      <c r="C621" s="46" t="s">
        <v>907</v>
      </c>
      <c r="D621" s="46" t="s">
        <v>898</v>
      </c>
      <c r="E621" s="46" t="s">
        <v>237</v>
      </c>
      <c r="F621" s="46" t="s">
        <v>908</v>
      </c>
      <c r="G621" s="46" t="s">
        <v>735</v>
      </c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</row>
    <row r="622" spans="1:22" ht="15.75" customHeight="1" x14ac:dyDescent="0.2">
      <c r="A622" s="40"/>
      <c r="B622" s="45" t="s">
        <v>297</v>
      </c>
      <c r="C622" s="46" t="s">
        <v>909</v>
      </c>
      <c r="D622" s="46" t="s">
        <v>910</v>
      </c>
      <c r="E622" s="46" t="s">
        <v>911</v>
      </c>
      <c r="F622" s="46" t="s">
        <v>908</v>
      </c>
      <c r="G622" s="46" t="s">
        <v>735</v>
      </c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</row>
    <row r="623" spans="1:22" ht="15.75" customHeight="1" x14ac:dyDescent="0.2">
      <c r="A623" s="40"/>
      <c r="B623" s="45" t="s">
        <v>108</v>
      </c>
      <c r="C623" s="46" t="s">
        <v>909</v>
      </c>
      <c r="D623" s="46" t="s">
        <v>910</v>
      </c>
      <c r="E623" s="46" t="s">
        <v>911</v>
      </c>
      <c r="F623" s="46" t="s">
        <v>908</v>
      </c>
      <c r="G623" s="46" t="s">
        <v>735</v>
      </c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</row>
    <row r="624" spans="1:22" ht="15.75" customHeight="1" x14ac:dyDescent="0.2">
      <c r="A624" s="40"/>
      <c r="B624" s="45" t="s">
        <v>315</v>
      </c>
      <c r="C624" s="46" t="s">
        <v>912</v>
      </c>
      <c r="D624" s="46" t="s">
        <v>913</v>
      </c>
      <c r="E624" s="46" t="s">
        <v>40</v>
      </c>
      <c r="F624" s="46" t="s">
        <v>908</v>
      </c>
      <c r="G624" s="46" t="s">
        <v>735</v>
      </c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</row>
    <row r="625" spans="1:22" ht="15.75" customHeight="1" x14ac:dyDescent="0.2">
      <c r="A625" s="40"/>
      <c r="B625" s="45" t="s">
        <v>108</v>
      </c>
      <c r="C625" s="46" t="s">
        <v>912</v>
      </c>
      <c r="D625" s="46" t="s">
        <v>913</v>
      </c>
      <c r="E625" s="46" t="s">
        <v>40</v>
      </c>
      <c r="F625" s="46" t="s">
        <v>908</v>
      </c>
      <c r="G625" s="46" t="s">
        <v>735</v>
      </c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</row>
    <row r="626" spans="1:22" ht="15.75" customHeight="1" x14ac:dyDescent="0.2">
      <c r="A626" s="40"/>
      <c r="B626" s="45" t="s">
        <v>315</v>
      </c>
      <c r="C626" s="46" t="s">
        <v>914</v>
      </c>
      <c r="D626" s="46" t="s">
        <v>86</v>
      </c>
      <c r="E626" s="46" t="s">
        <v>129</v>
      </c>
      <c r="F626" s="46" t="s">
        <v>908</v>
      </c>
      <c r="G626" s="46" t="s">
        <v>735</v>
      </c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</row>
    <row r="627" spans="1:22" ht="15.75" customHeight="1" x14ac:dyDescent="0.2">
      <c r="A627" s="40"/>
      <c r="B627" s="45" t="s">
        <v>102</v>
      </c>
      <c r="C627" s="46" t="s">
        <v>915</v>
      </c>
      <c r="D627" s="46" t="s">
        <v>292</v>
      </c>
      <c r="E627" s="46" t="s">
        <v>424</v>
      </c>
      <c r="F627" s="46" t="s">
        <v>908</v>
      </c>
      <c r="G627" s="46" t="s">
        <v>735</v>
      </c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</row>
    <row r="628" spans="1:22" ht="15.75" customHeight="1" x14ac:dyDescent="0.2">
      <c r="A628" s="40"/>
      <c r="B628" s="45" t="s">
        <v>108</v>
      </c>
      <c r="C628" s="46" t="s">
        <v>915</v>
      </c>
      <c r="D628" s="46" t="s">
        <v>292</v>
      </c>
      <c r="E628" s="46" t="s">
        <v>424</v>
      </c>
      <c r="F628" s="46" t="s">
        <v>908</v>
      </c>
      <c r="G628" s="46" t="s">
        <v>735</v>
      </c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</row>
    <row r="629" spans="1:22" ht="15.75" customHeight="1" x14ac:dyDescent="0.2">
      <c r="A629" s="40"/>
      <c r="B629" s="45" t="s">
        <v>126</v>
      </c>
      <c r="C629" s="46" t="s">
        <v>916</v>
      </c>
      <c r="D629" s="46" t="s">
        <v>917</v>
      </c>
      <c r="E629" s="46" t="s">
        <v>918</v>
      </c>
      <c r="F629" s="46" t="s">
        <v>908</v>
      </c>
      <c r="G629" s="46" t="s">
        <v>735</v>
      </c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</row>
    <row r="630" spans="1:22" ht="15.75" customHeight="1" x14ac:dyDescent="0.2">
      <c r="A630" s="40"/>
      <c r="B630" s="45" t="s">
        <v>102</v>
      </c>
      <c r="C630" s="46" t="s">
        <v>919</v>
      </c>
      <c r="D630" s="46" t="s">
        <v>822</v>
      </c>
      <c r="E630" s="46" t="s">
        <v>306</v>
      </c>
      <c r="F630" s="46" t="s">
        <v>908</v>
      </c>
      <c r="G630" s="46" t="s">
        <v>735</v>
      </c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</row>
    <row r="631" spans="1:22" ht="15.75" customHeight="1" x14ac:dyDescent="0.2">
      <c r="A631" s="40"/>
      <c r="B631" s="45" t="s">
        <v>108</v>
      </c>
      <c r="C631" s="46" t="s">
        <v>919</v>
      </c>
      <c r="D631" s="46" t="s">
        <v>822</v>
      </c>
      <c r="E631" s="46" t="s">
        <v>306</v>
      </c>
      <c r="F631" s="46" t="s">
        <v>908</v>
      </c>
      <c r="G631" s="46" t="s">
        <v>735</v>
      </c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</row>
    <row r="632" spans="1:22" ht="15.75" customHeight="1" x14ac:dyDescent="0.2">
      <c r="A632" s="40"/>
      <c r="B632" s="45" t="s">
        <v>920</v>
      </c>
      <c r="C632" s="46" t="s">
        <v>921</v>
      </c>
      <c r="D632" s="46" t="s">
        <v>557</v>
      </c>
      <c r="E632" s="46" t="s">
        <v>413</v>
      </c>
      <c r="F632" s="46" t="s">
        <v>922</v>
      </c>
      <c r="G632" s="46" t="s">
        <v>735</v>
      </c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</row>
    <row r="633" spans="1:22" ht="15.75" customHeight="1" x14ac:dyDescent="0.2">
      <c r="A633" s="40">
        <v>2367</v>
      </c>
      <c r="B633" s="41" t="s">
        <v>142</v>
      </c>
      <c r="C633" s="42" t="s">
        <v>923</v>
      </c>
      <c r="D633" s="42" t="s">
        <v>128</v>
      </c>
      <c r="E633" s="42" t="s">
        <v>924</v>
      </c>
      <c r="F633" s="42" t="s">
        <v>925</v>
      </c>
      <c r="G633" s="42" t="s">
        <v>926</v>
      </c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</row>
    <row r="634" spans="1:22" ht="15.75" customHeight="1" x14ac:dyDescent="0.2">
      <c r="A634" s="40">
        <v>2397</v>
      </c>
      <c r="B634" s="41" t="s">
        <v>154</v>
      </c>
      <c r="C634" s="42" t="s">
        <v>927</v>
      </c>
      <c r="D634" s="42" t="s">
        <v>928</v>
      </c>
      <c r="E634" s="42" t="s">
        <v>929</v>
      </c>
      <c r="F634" s="42" t="s">
        <v>925</v>
      </c>
      <c r="G634" s="42" t="s">
        <v>926</v>
      </c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</row>
    <row r="635" spans="1:22" ht="15.75" customHeight="1" x14ac:dyDescent="0.2">
      <c r="A635" s="40">
        <v>2359</v>
      </c>
      <c r="B635" s="41" t="s">
        <v>137</v>
      </c>
      <c r="C635" s="42" t="s">
        <v>930</v>
      </c>
      <c r="D635" s="42" t="s">
        <v>557</v>
      </c>
      <c r="E635" s="42" t="s">
        <v>40</v>
      </c>
      <c r="F635" s="42" t="s">
        <v>925</v>
      </c>
      <c r="G635" s="42" t="s">
        <v>926</v>
      </c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</row>
    <row r="636" spans="1:22" ht="15.75" customHeight="1" x14ac:dyDescent="0.2">
      <c r="A636" s="40">
        <v>2377</v>
      </c>
      <c r="B636" s="41" t="s">
        <v>195</v>
      </c>
      <c r="C636" s="42" t="s">
        <v>931</v>
      </c>
      <c r="D636" s="42" t="s">
        <v>31</v>
      </c>
      <c r="E636" s="42" t="s">
        <v>630</v>
      </c>
      <c r="F636" s="42" t="s">
        <v>925</v>
      </c>
      <c r="G636" s="42" t="s">
        <v>926</v>
      </c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</row>
    <row r="637" spans="1:22" ht="15.75" customHeight="1" x14ac:dyDescent="0.2">
      <c r="A637" s="40">
        <v>2431</v>
      </c>
      <c r="B637" s="41" t="s">
        <v>201</v>
      </c>
      <c r="C637" s="42" t="s">
        <v>932</v>
      </c>
      <c r="D637" s="42" t="s">
        <v>516</v>
      </c>
      <c r="E637" s="42" t="s">
        <v>306</v>
      </c>
      <c r="F637" s="42" t="s">
        <v>925</v>
      </c>
      <c r="G637" s="42" t="s">
        <v>926</v>
      </c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</row>
    <row r="638" spans="1:22" ht="15.75" customHeight="1" x14ac:dyDescent="0.2">
      <c r="A638" s="40">
        <v>1357</v>
      </c>
      <c r="B638" s="41" t="s">
        <v>601</v>
      </c>
      <c r="C638" s="42" t="s">
        <v>57</v>
      </c>
      <c r="D638" s="42" t="s">
        <v>441</v>
      </c>
      <c r="E638" s="42" t="s">
        <v>40</v>
      </c>
      <c r="F638" s="42" t="s">
        <v>785</v>
      </c>
      <c r="G638" s="42" t="s">
        <v>926</v>
      </c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</row>
    <row r="639" spans="1:22" ht="15.75" customHeight="1" x14ac:dyDescent="0.2">
      <c r="A639" s="40">
        <v>2147</v>
      </c>
      <c r="B639" s="41" t="s">
        <v>281</v>
      </c>
      <c r="C639" s="42" t="s">
        <v>57</v>
      </c>
      <c r="D639" s="42" t="s">
        <v>441</v>
      </c>
      <c r="E639" s="42" t="s">
        <v>40</v>
      </c>
      <c r="F639" s="42" t="s">
        <v>785</v>
      </c>
      <c r="G639" s="42" t="s">
        <v>926</v>
      </c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</row>
    <row r="640" spans="1:22" ht="15.75" customHeight="1" x14ac:dyDescent="0.2">
      <c r="A640" s="40">
        <v>1621</v>
      </c>
      <c r="B640" s="41" t="s">
        <v>264</v>
      </c>
      <c r="C640" s="42" t="s">
        <v>933</v>
      </c>
      <c r="D640" s="42" t="s">
        <v>78</v>
      </c>
      <c r="E640" s="42" t="s">
        <v>79</v>
      </c>
      <c r="F640" s="42" t="s">
        <v>785</v>
      </c>
      <c r="G640" s="42" t="s">
        <v>926</v>
      </c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</row>
    <row r="641" spans="1:22" ht="15.75" customHeight="1" x14ac:dyDescent="0.2">
      <c r="A641" s="40">
        <v>2235</v>
      </c>
      <c r="B641" s="41" t="s">
        <v>282</v>
      </c>
      <c r="C641" s="42" t="s">
        <v>933</v>
      </c>
      <c r="D641" s="42" t="s">
        <v>78</v>
      </c>
      <c r="E641" s="42" t="s">
        <v>79</v>
      </c>
      <c r="F641" s="42" t="s">
        <v>785</v>
      </c>
      <c r="G641" s="42" t="s">
        <v>926</v>
      </c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</row>
    <row r="642" spans="1:22" ht="15.75" customHeight="1" x14ac:dyDescent="0.2">
      <c r="A642" s="40">
        <v>1503</v>
      </c>
      <c r="B642" s="41" t="s">
        <v>262</v>
      </c>
      <c r="C642" s="42" t="s">
        <v>803</v>
      </c>
      <c r="D642" s="42" t="s">
        <v>934</v>
      </c>
      <c r="E642" s="42" t="s">
        <v>575</v>
      </c>
      <c r="F642" s="42" t="s">
        <v>804</v>
      </c>
      <c r="G642" s="42" t="s">
        <v>926</v>
      </c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</row>
    <row r="643" spans="1:22" ht="15.75" customHeight="1" x14ac:dyDescent="0.2">
      <c r="A643" s="40">
        <v>1699</v>
      </c>
      <c r="B643" s="41" t="s">
        <v>270</v>
      </c>
      <c r="C643" s="42" t="s">
        <v>417</v>
      </c>
      <c r="D643" s="42" t="s">
        <v>935</v>
      </c>
      <c r="E643" s="42" t="s">
        <v>334</v>
      </c>
      <c r="F643" s="42" t="s">
        <v>804</v>
      </c>
      <c r="G643" s="42" t="s">
        <v>926</v>
      </c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</row>
    <row r="644" spans="1:22" ht="15.75" customHeight="1" x14ac:dyDescent="0.2">
      <c r="A644" s="40">
        <v>1321</v>
      </c>
      <c r="B644" s="41" t="s">
        <v>936</v>
      </c>
      <c r="C644" s="42" t="s">
        <v>937</v>
      </c>
      <c r="D644" s="42" t="s">
        <v>861</v>
      </c>
      <c r="E644" s="42" t="s">
        <v>938</v>
      </c>
      <c r="F644" s="42" t="s">
        <v>804</v>
      </c>
      <c r="G644" s="42" t="s">
        <v>926</v>
      </c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</row>
    <row r="645" spans="1:22" ht="15.75" customHeight="1" x14ac:dyDescent="0.2">
      <c r="A645" s="40">
        <v>37</v>
      </c>
      <c r="B645" s="41" t="s">
        <v>939</v>
      </c>
      <c r="C645" s="42" t="s">
        <v>57</v>
      </c>
      <c r="D645" s="42" t="s">
        <v>75</v>
      </c>
      <c r="E645" s="42" t="s">
        <v>337</v>
      </c>
      <c r="F645" s="42" t="s">
        <v>804</v>
      </c>
      <c r="G645" s="42" t="s">
        <v>926</v>
      </c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</row>
    <row r="646" spans="1:22" ht="15.75" customHeight="1" x14ac:dyDescent="0.2">
      <c r="A646" s="40">
        <v>893</v>
      </c>
      <c r="B646" s="41" t="s">
        <v>634</v>
      </c>
      <c r="C646" s="42" t="s">
        <v>57</v>
      </c>
      <c r="D646" s="42" t="s">
        <v>75</v>
      </c>
      <c r="E646" s="42" t="s">
        <v>337</v>
      </c>
      <c r="F646" s="42" t="s">
        <v>804</v>
      </c>
      <c r="G646" s="42" t="s">
        <v>926</v>
      </c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</row>
    <row r="647" spans="1:22" ht="15.75" customHeight="1" x14ac:dyDescent="0.2">
      <c r="A647" s="40">
        <v>1421</v>
      </c>
      <c r="B647" s="41" t="s">
        <v>386</v>
      </c>
      <c r="C647" s="42" t="s">
        <v>940</v>
      </c>
      <c r="D647" s="42" t="s">
        <v>325</v>
      </c>
      <c r="E647" s="42" t="s">
        <v>40</v>
      </c>
      <c r="F647" s="42" t="s">
        <v>804</v>
      </c>
      <c r="G647" s="42" t="s">
        <v>926</v>
      </c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</row>
    <row r="648" spans="1:22" ht="15.75" customHeight="1" x14ac:dyDescent="0.2">
      <c r="A648" s="40">
        <v>1287</v>
      </c>
      <c r="B648" s="41" t="s">
        <v>453</v>
      </c>
      <c r="C648" s="42" t="s">
        <v>941</v>
      </c>
      <c r="D648" s="42" t="s">
        <v>333</v>
      </c>
      <c r="E648" s="42" t="s">
        <v>306</v>
      </c>
      <c r="F648" s="42" t="s">
        <v>804</v>
      </c>
      <c r="G648" s="42" t="s">
        <v>926</v>
      </c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</row>
    <row r="649" spans="1:22" ht="15.75" customHeight="1" x14ac:dyDescent="0.2">
      <c r="A649" s="40">
        <v>1387</v>
      </c>
      <c r="B649" s="41" t="s">
        <v>601</v>
      </c>
      <c r="C649" s="42" t="s">
        <v>813</v>
      </c>
      <c r="D649" s="42" t="s">
        <v>139</v>
      </c>
      <c r="E649" s="42" t="s">
        <v>571</v>
      </c>
      <c r="F649" s="42" t="s">
        <v>804</v>
      </c>
      <c r="G649" s="42" t="s">
        <v>926</v>
      </c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</row>
    <row r="650" spans="1:22" ht="15.75" customHeight="1" x14ac:dyDescent="0.2">
      <c r="A650" s="40">
        <v>231</v>
      </c>
      <c r="B650" s="41" t="s">
        <v>243</v>
      </c>
      <c r="C650" s="42" t="s">
        <v>942</v>
      </c>
      <c r="D650" s="42" t="s">
        <v>39</v>
      </c>
      <c r="E650" s="42" t="s">
        <v>129</v>
      </c>
      <c r="F650" s="42" t="s">
        <v>804</v>
      </c>
      <c r="G650" s="42" t="s">
        <v>926</v>
      </c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</row>
    <row r="651" spans="1:22" ht="15.75" customHeight="1" x14ac:dyDescent="0.2">
      <c r="A651" s="40">
        <v>1219</v>
      </c>
      <c r="B651" s="41" t="s">
        <v>699</v>
      </c>
      <c r="C651" s="42" t="s">
        <v>942</v>
      </c>
      <c r="D651" s="42" t="s">
        <v>39</v>
      </c>
      <c r="E651" s="42" t="s">
        <v>129</v>
      </c>
      <c r="F651" s="42" t="s">
        <v>804</v>
      </c>
      <c r="G651" s="42" t="s">
        <v>926</v>
      </c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</row>
    <row r="652" spans="1:22" ht="15.75" customHeight="1" x14ac:dyDescent="0.2">
      <c r="A652" s="40">
        <v>941</v>
      </c>
      <c r="B652" s="41" t="s">
        <v>709</v>
      </c>
      <c r="C652" s="42" t="s">
        <v>943</v>
      </c>
      <c r="D652" s="42" t="s">
        <v>554</v>
      </c>
      <c r="E652" s="42" t="s">
        <v>87</v>
      </c>
      <c r="F652" s="42" t="s">
        <v>804</v>
      </c>
      <c r="G652" s="42" t="s">
        <v>926</v>
      </c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</row>
    <row r="653" spans="1:22" ht="15.75" customHeight="1" x14ac:dyDescent="0.2">
      <c r="A653" s="40">
        <v>2759</v>
      </c>
      <c r="B653" s="41" t="s">
        <v>944</v>
      </c>
      <c r="C653" s="42" t="s">
        <v>945</v>
      </c>
      <c r="D653" s="42" t="s">
        <v>116</v>
      </c>
      <c r="E653" s="42" t="s">
        <v>337</v>
      </c>
      <c r="F653" s="42" t="s">
        <v>804</v>
      </c>
      <c r="G653" s="42" t="s">
        <v>926</v>
      </c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</row>
    <row r="654" spans="1:22" ht="15.75" customHeight="1" x14ac:dyDescent="0.2">
      <c r="A654" s="40">
        <v>199</v>
      </c>
      <c r="B654" s="41" t="s">
        <v>946</v>
      </c>
      <c r="C654" s="42" t="s">
        <v>947</v>
      </c>
      <c r="D654" s="42" t="s">
        <v>86</v>
      </c>
      <c r="E654" s="42" t="s">
        <v>87</v>
      </c>
      <c r="F654" s="42" t="s">
        <v>804</v>
      </c>
      <c r="G654" s="42" t="s">
        <v>926</v>
      </c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</row>
    <row r="655" spans="1:22" ht="15.75" customHeight="1" x14ac:dyDescent="0.2">
      <c r="A655" s="40">
        <v>1221</v>
      </c>
      <c r="B655" s="41" t="s">
        <v>699</v>
      </c>
      <c r="C655" s="42" t="s">
        <v>947</v>
      </c>
      <c r="D655" s="42" t="s">
        <v>86</v>
      </c>
      <c r="E655" s="42" t="s">
        <v>87</v>
      </c>
      <c r="F655" s="42" t="s">
        <v>804</v>
      </c>
      <c r="G655" s="42" t="s">
        <v>926</v>
      </c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</row>
    <row r="656" spans="1:22" ht="15.75" customHeight="1" x14ac:dyDescent="0.2">
      <c r="A656" s="40">
        <v>2043</v>
      </c>
      <c r="B656" s="41" t="s">
        <v>701</v>
      </c>
      <c r="C656" s="42" t="s">
        <v>948</v>
      </c>
      <c r="D656" s="42" t="s">
        <v>949</v>
      </c>
      <c r="E656" s="42" t="s">
        <v>52</v>
      </c>
      <c r="F656" s="42" t="s">
        <v>817</v>
      </c>
      <c r="G656" s="42" t="s">
        <v>926</v>
      </c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</row>
    <row r="657" spans="1:22" ht="15.75" customHeight="1" x14ac:dyDescent="0.2">
      <c r="A657" s="40">
        <v>2753</v>
      </c>
      <c r="B657" s="41" t="s">
        <v>944</v>
      </c>
      <c r="C657" s="42" t="s">
        <v>948</v>
      </c>
      <c r="D657" s="42" t="s">
        <v>949</v>
      </c>
      <c r="E657" s="42" t="s">
        <v>52</v>
      </c>
      <c r="F657" s="42" t="s">
        <v>817</v>
      </c>
      <c r="G657" s="42" t="s">
        <v>926</v>
      </c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</row>
    <row r="658" spans="1:22" ht="15.75" customHeight="1" x14ac:dyDescent="0.2">
      <c r="A658" s="40">
        <v>305</v>
      </c>
      <c r="B658" s="41" t="s">
        <v>951</v>
      </c>
      <c r="C658" s="42" t="s">
        <v>952</v>
      </c>
      <c r="D658" s="42" t="s">
        <v>39</v>
      </c>
      <c r="E658" s="42" t="s">
        <v>306</v>
      </c>
      <c r="F658" s="42" t="s">
        <v>817</v>
      </c>
      <c r="G658" s="42" t="s">
        <v>926</v>
      </c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</row>
    <row r="659" spans="1:22" ht="15.75" customHeight="1" x14ac:dyDescent="0.2">
      <c r="A659" s="40">
        <v>1427</v>
      </c>
      <c r="B659" s="41" t="s">
        <v>386</v>
      </c>
      <c r="C659" s="42" t="s">
        <v>953</v>
      </c>
      <c r="D659" s="42" t="s">
        <v>954</v>
      </c>
      <c r="E659" s="42" t="s">
        <v>452</v>
      </c>
      <c r="F659" s="42" t="s">
        <v>817</v>
      </c>
      <c r="G659" s="42" t="s">
        <v>926</v>
      </c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</row>
    <row r="660" spans="1:22" ht="15.75" customHeight="1" x14ac:dyDescent="0.2">
      <c r="A660" s="40">
        <v>2169</v>
      </c>
      <c r="B660" s="41" t="s">
        <v>281</v>
      </c>
      <c r="C660" s="42" t="s">
        <v>953</v>
      </c>
      <c r="D660" s="42" t="s">
        <v>954</v>
      </c>
      <c r="E660" s="42" t="s">
        <v>452</v>
      </c>
      <c r="F660" s="42" t="s">
        <v>817</v>
      </c>
      <c r="G660" s="42" t="s">
        <v>926</v>
      </c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</row>
    <row r="661" spans="1:22" ht="15.75" customHeight="1" x14ac:dyDescent="0.2">
      <c r="A661" s="40">
        <v>2041</v>
      </c>
      <c r="B661" s="41" t="s">
        <v>701</v>
      </c>
      <c r="C661" s="42" t="s">
        <v>948</v>
      </c>
      <c r="D661" s="42" t="s">
        <v>949</v>
      </c>
      <c r="E661" s="42" t="s">
        <v>52</v>
      </c>
      <c r="F661" s="42" t="s">
        <v>829</v>
      </c>
      <c r="G661" s="42" t="s">
        <v>926</v>
      </c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</row>
    <row r="662" spans="1:22" ht="15.75" customHeight="1" x14ac:dyDescent="0.2">
      <c r="A662" s="40">
        <v>2751</v>
      </c>
      <c r="B662" s="41" t="s">
        <v>944</v>
      </c>
      <c r="C662" s="42" t="s">
        <v>948</v>
      </c>
      <c r="D662" s="42" t="s">
        <v>949</v>
      </c>
      <c r="E662" s="42" t="s">
        <v>52</v>
      </c>
      <c r="F662" s="42" t="s">
        <v>829</v>
      </c>
      <c r="G662" s="42" t="s">
        <v>926</v>
      </c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</row>
    <row r="663" spans="1:22" ht="15.75" customHeight="1" x14ac:dyDescent="0.2">
      <c r="A663" s="40">
        <v>1423</v>
      </c>
      <c r="B663" s="41" t="s">
        <v>386</v>
      </c>
      <c r="C663" s="42" t="s">
        <v>953</v>
      </c>
      <c r="D663" s="42" t="s">
        <v>954</v>
      </c>
      <c r="E663" s="42" t="s">
        <v>452</v>
      </c>
      <c r="F663" s="42" t="s">
        <v>829</v>
      </c>
      <c r="G663" s="42" t="s">
        <v>926</v>
      </c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</row>
    <row r="664" spans="1:22" ht="15.75" customHeight="1" x14ac:dyDescent="0.2">
      <c r="A664" s="40">
        <v>2167</v>
      </c>
      <c r="B664" s="41" t="s">
        <v>281</v>
      </c>
      <c r="C664" s="42" t="s">
        <v>953</v>
      </c>
      <c r="D664" s="42" t="s">
        <v>954</v>
      </c>
      <c r="E664" s="42" t="s">
        <v>452</v>
      </c>
      <c r="F664" s="42" t="s">
        <v>829</v>
      </c>
      <c r="G664" s="42" t="s">
        <v>926</v>
      </c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</row>
    <row r="665" spans="1:22" ht="15.75" customHeight="1" x14ac:dyDescent="0.2">
      <c r="A665" s="40">
        <v>365</v>
      </c>
      <c r="B665" s="41" t="s">
        <v>246</v>
      </c>
      <c r="C665" s="42" t="s">
        <v>955</v>
      </c>
      <c r="D665" s="42" t="s">
        <v>456</v>
      </c>
      <c r="E665" s="42" t="s">
        <v>956</v>
      </c>
      <c r="F665" s="42" t="s">
        <v>834</v>
      </c>
      <c r="G665" s="42" t="s">
        <v>926</v>
      </c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</row>
    <row r="666" spans="1:22" ht="15.75" customHeight="1" x14ac:dyDescent="0.2">
      <c r="A666" s="40">
        <v>1395</v>
      </c>
      <c r="B666" s="41" t="s">
        <v>386</v>
      </c>
      <c r="C666" s="42" t="s">
        <v>955</v>
      </c>
      <c r="D666" s="42" t="s">
        <v>456</v>
      </c>
      <c r="E666" s="42" t="s">
        <v>956</v>
      </c>
      <c r="F666" s="42" t="s">
        <v>834</v>
      </c>
      <c r="G666" s="42" t="s">
        <v>926</v>
      </c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</row>
    <row r="667" spans="1:22" ht="15.75" customHeight="1" x14ac:dyDescent="0.2">
      <c r="A667" s="40">
        <v>1487</v>
      </c>
      <c r="B667" s="41" t="s">
        <v>957</v>
      </c>
      <c r="C667" s="42" t="s">
        <v>958</v>
      </c>
      <c r="D667" s="42" t="s">
        <v>554</v>
      </c>
      <c r="E667" s="42" t="s">
        <v>306</v>
      </c>
      <c r="F667" s="42" t="s">
        <v>843</v>
      </c>
      <c r="G667" s="42" t="s">
        <v>926</v>
      </c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</row>
    <row r="668" spans="1:22" ht="15.75" customHeight="1" x14ac:dyDescent="0.2">
      <c r="A668" s="40">
        <v>1959</v>
      </c>
      <c r="B668" s="41" t="s">
        <v>278</v>
      </c>
      <c r="C668" s="42" t="s">
        <v>958</v>
      </c>
      <c r="D668" s="42" t="s">
        <v>554</v>
      </c>
      <c r="E668" s="42" t="s">
        <v>306</v>
      </c>
      <c r="F668" s="42" t="s">
        <v>843</v>
      </c>
      <c r="G668" s="42" t="s">
        <v>926</v>
      </c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</row>
    <row r="669" spans="1:22" ht="15.75" customHeight="1" x14ac:dyDescent="0.2">
      <c r="A669" s="40">
        <v>2173</v>
      </c>
      <c r="B669" s="41" t="s">
        <v>281</v>
      </c>
      <c r="C669" s="42" t="s">
        <v>958</v>
      </c>
      <c r="D669" s="42" t="s">
        <v>554</v>
      </c>
      <c r="E669" s="42" t="s">
        <v>306</v>
      </c>
      <c r="F669" s="42" t="s">
        <v>843</v>
      </c>
      <c r="G669" s="42" t="s">
        <v>926</v>
      </c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</row>
    <row r="670" spans="1:22" ht="15.75" customHeight="1" x14ac:dyDescent="0.2">
      <c r="A670" s="40">
        <v>785</v>
      </c>
      <c r="B670" s="41" t="s">
        <v>405</v>
      </c>
      <c r="C670" s="42" t="s">
        <v>959</v>
      </c>
      <c r="D670" s="42" t="s">
        <v>898</v>
      </c>
      <c r="E670" s="42" t="s">
        <v>960</v>
      </c>
      <c r="F670" s="42" t="s">
        <v>843</v>
      </c>
      <c r="G670" s="42" t="s">
        <v>926</v>
      </c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</row>
    <row r="671" spans="1:22" ht="15.75" customHeight="1" x14ac:dyDescent="0.2">
      <c r="A671" s="40">
        <v>925</v>
      </c>
      <c r="B671" s="41" t="s">
        <v>694</v>
      </c>
      <c r="C671" s="42" t="s">
        <v>961</v>
      </c>
      <c r="D671" s="42" t="s">
        <v>120</v>
      </c>
      <c r="E671" s="42" t="s">
        <v>306</v>
      </c>
      <c r="F671" s="42" t="s">
        <v>843</v>
      </c>
      <c r="G671" s="42" t="s">
        <v>926</v>
      </c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</row>
    <row r="672" spans="1:22" ht="15.75" customHeight="1" x14ac:dyDescent="0.2">
      <c r="A672" s="40">
        <v>2049</v>
      </c>
      <c r="B672" s="41" t="s">
        <v>701</v>
      </c>
      <c r="C672" s="42" t="s">
        <v>961</v>
      </c>
      <c r="D672" s="42" t="s">
        <v>120</v>
      </c>
      <c r="E672" s="42" t="s">
        <v>306</v>
      </c>
      <c r="F672" s="42" t="s">
        <v>843</v>
      </c>
      <c r="G672" s="42" t="s">
        <v>926</v>
      </c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</row>
    <row r="673" spans="1:22" ht="15.75" customHeight="1" x14ac:dyDescent="0.2">
      <c r="A673" s="40">
        <v>2641</v>
      </c>
      <c r="B673" s="41" t="s">
        <v>702</v>
      </c>
      <c r="C673" s="42" t="s">
        <v>961</v>
      </c>
      <c r="D673" s="42" t="s">
        <v>120</v>
      </c>
      <c r="E673" s="42" t="s">
        <v>306</v>
      </c>
      <c r="F673" s="42" t="s">
        <v>843</v>
      </c>
      <c r="G673" s="42" t="s">
        <v>926</v>
      </c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</row>
    <row r="674" spans="1:22" ht="15.75" customHeight="1" x14ac:dyDescent="0.2">
      <c r="A674" s="40">
        <v>1419</v>
      </c>
      <c r="B674" s="41" t="s">
        <v>386</v>
      </c>
      <c r="C674" s="42" t="s">
        <v>847</v>
      </c>
      <c r="D674" s="42" t="s">
        <v>871</v>
      </c>
      <c r="E674" s="42" t="s">
        <v>571</v>
      </c>
      <c r="F674" s="42" t="s">
        <v>848</v>
      </c>
      <c r="G674" s="42" t="s">
        <v>926</v>
      </c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</row>
    <row r="675" spans="1:22" ht="15.75" customHeight="1" x14ac:dyDescent="0.2">
      <c r="A675" s="40">
        <v>1885</v>
      </c>
      <c r="B675" s="41" t="s">
        <v>711</v>
      </c>
      <c r="C675" s="42" t="s">
        <v>847</v>
      </c>
      <c r="D675" s="42" t="s">
        <v>871</v>
      </c>
      <c r="E675" s="42" t="s">
        <v>571</v>
      </c>
      <c r="F675" s="42" t="s">
        <v>848</v>
      </c>
      <c r="G675" s="42" t="s">
        <v>926</v>
      </c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</row>
    <row r="676" spans="1:22" ht="15.75" customHeight="1" x14ac:dyDescent="0.2">
      <c r="A676" s="40">
        <v>1183</v>
      </c>
      <c r="B676" s="41" t="s">
        <v>256</v>
      </c>
      <c r="C676" s="42" t="s">
        <v>962</v>
      </c>
      <c r="D676" s="42" t="s">
        <v>963</v>
      </c>
      <c r="E676" s="42" t="s">
        <v>348</v>
      </c>
      <c r="F676" s="42" t="s">
        <v>848</v>
      </c>
      <c r="G676" s="42" t="s">
        <v>926</v>
      </c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</row>
    <row r="677" spans="1:22" ht="15.75" customHeight="1" x14ac:dyDescent="0.2">
      <c r="A677" s="40">
        <v>2571</v>
      </c>
      <c r="B677" s="41" t="s">
        <v>286</v>
      </c>
      <c r="C677" s="42" t="s">
        <v>962</v>
      </c>
      <c r="D677" s="42" t="s">
        <v>963</v>
      </c>
      <c r="E677" s="42" t="s">
        <v>348</v>
      </c>
      <c r="F677" s="42" t="s">
        <v>848</v>
      </c>
      <c r="G677" s="42" t="s">
        <v>926</v>
      </c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</row>
    <row r="678" spans="1:22" ht="15.75" customHeight="1" x14ac:dyDescent="0.2">
      <c r="A678" s="40">
        <v>1159</v>
      </c>
      <c r="B678" s="41" t="s">
        <v>433</v>
      </c>
      <c r="C678" s="42" t="s">
        <v>964</v>
      </c>
      <c r="D678" s="42" t="s">
        <v>17</v>
      </c>
      <c r="E678" s="42" t="s">
        <v>259</v>
      </c>
      <c r="F678" s="42" t="s">
        <v>848</v>
      </c>
      <c r="G678" s="42" t="s">
        <v>926</v>
      </c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</row>
    <row r="679" spans="1:22" ht="15.75" customHeight="1" x14ac:dyDescent="0.2">
      <c r="A679" s="40">
        <v>2569</v>
      </c>
      <c r="B679" s="41" t="s">
        <v>286</v>
      </c>
      <c r="C679" s="42" t="s">
        <v>964</v>
      </c>
      <c r="D679" s="42" t="s">
        <v>17</v>
      </c>
      <c r="E679" s="42" t="s">
        <v>259</v>
      </c>
      <c r="F679" s="42" t="s">
        <v>848</v>
      </c>
      <c r="G679" s="42" t="s">
        <v>926</v>
      </c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</row>
    <row r="680" spans="1:22" ht="15.75" customHeight="1" x14ac:dyDescent="0.2">
      <c r="A680" s="40">
        <v>2597</v>
      </c>
      <c r="B680" s="41" t="s">
        <v>287</v>
      </c>
      <c r="C680" s="42" t="s">
        <v>965</v>
      </c>
      <c r="D680" s="42" t="s">
        <v>474</v>
      </c>
      <c r="E680" s="42" t="s">
        <v>389</v>
      </c>
      <c r="F680" s="42" t="s">
        <v>848</v>
      </c>
      <c r="G680" s="42" t="s">
        <v>926</v>
      </c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</row>
    <row r="681" spans="1:22" ht="15.75" customHeight="1" x14ac:dyDescent="0.2">
      <c r="A681" s="40">
        <v>2867</v>
      </c>
      <c r="B681" s="41" t="s">
        <v>519</v>
      </c>
      <c r="C681" s="42" t="s">
        <v>965</v>
      </c>
      <c r="D681" s="42" t="s">
        <v>474</v>
      </c>
      <c r="E681" s="42" t="s">
        <v>389</v>
      </c>
      <c r="F681" s="42" t="s">
        <v>848</v>
      </c>
      <c r="G681" s="42" t="s">
        <v>926</v>
      </c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</row>
    <row r="682" spans="1:22" ht="15.75" customHeight="1" x14ac:dyDescent="0.2">
      <c r="A682" s="40">
        <v>2357</v>
      </c>
      <c r="B682" s="41" t="s">
        <v>137</v>
      </c>
      <c r="C682" s="42" t="s">
        <v>966</v>
      </c>
      <c r="D682" s="42" t="s">
        <v>967</v>
      </c>
      <c r="E682" s="42" t="s">
        <v>968</v>
      </c>
      <c r="F682" s="42" t="s">
        <v>866</v>
      </c>
      <c r="G682" s="42" t="s">
        <v>926</v>
      </c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</row>
    <row r="683" spans="1:22" ht="15.75" customHeight="1" x14ac:dyDescent="0.2">
      <c r="A683" s="40">
        <v>2427</v>
      </c>
      <c r="B683" s="41" t="s">
        <v>201</v>
      </c>
      <c r="C683" s="42" t="s">
        <v>969</v>
      </c>
      <c r="D683" s="42" t="s">
        <v>898</v>
      </c>
      <c r="E683" s="42" t="s">
        <v>32</v>
      </c>
      <c r="F683" s="42" t="s">
        <v>866</v>
      </c>
      <c r="G683" s="42" t="s">
        <v>926</v>
      </c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</row>
    <row r="684" spans="1:22" ht="15.75" customHeight="1" x14ac:dyDescent="0.2">
      <c r="A684" s="40">
        <v>2395</v>
      </c>
      <c r="B684" s="41" t="s">
        <v>154</v>
      </c>
      <c r="C684" s="42" t="s">
        <v>970</v>
      </c>
      <c r="D684" s="42" t="s">
        <v>884</v>
      </c>
      <c r="E684" s="42" t="s">
        <v>424</v>
      </c>
      <c r="F684" s="42" t="s">
        <v>866</v>
      </c>
      <c r="G684" s="42" t="s">
        <v>926</v>
      </c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</row>
    <row r="685" spans="1:22" ht="15.75" customHeight="1" x14ac:dyDescent="0.2">
      <c r="A685" s="40">
        <v>821</v>
      </c>
      <c r="B685" s="41" t="s">
        <v>971</v>
      </c>
      <c r="C685" s="42" t="s">
        <v>972</v>
      </c>
      <c r="D685" s="42" t="s">
        <v>973</v>
      </c>
      <c r="E685" s="42" t="s">
        <v>974</v>
      </c>
      <c r="F685" s="42" t="s">
        <v>883</v>
      </c>
      <c r="G685" s="42" t="s">
        <v>926</v>
      </c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</row>
    <row r="686" spans="1:22" ht="15.75" customHeight="1" x14ac:dyDescent="0.2">
      <c r="A686" s="40">
        <v>2425</v>
      </c>
      <c r="B686" s="41" t="s">
        <v>201</v>
      </c>
      <c r="C686" s="42" t="s">
        <v>972</v>
      </c>
      <c r="D686" s="42" t="s">
        <v>973</v>
      </c>
      <c r="E686" s="42" t="s">
        <v>974</v>
      </c>
      <c r="F686" s="42" t="s">
        <v>883</v>
      </c>
      <c r="G686" s="42" t="s">
        <v>926</v>
      </c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</row>
    <row r="687" spans="1:22" ht="15.75" customHeight="1" x14ac:dyDescent="0.2">
      <c r="A687" s="40">
        <v>849</v>
      </c>
      <c r="B687" s="41" t="s">
        <v>975</v>
      </c>
      <c r="C687" s="42" t="s">
        <v>976</v>
      </c>
      <c r="D687" s="42" t="s">
        <v>399</v>
      </c>
      <c r="E687" s="42" t="s">
        <v>319</v>
      </c>
      <c r="F687" s="42" t="s">
        <v>883</v>
      </c>
      <c r="G687" s="42" t="s">
        <v>926</v>
      </c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</row>
    <row r="688" spans="1:22" ht="15.75" customHeight="1" x14ac:dyDescent="0.2">
      <c r="A688" s="40">
        <v>2461</v>
      </c>
      <c r="B688" s="41" t="s">
        <v>169</v>
      </c>
      <c r="C688" s="42" t="s">
        <v>976</v>
      </c>
      <c r="D688" s="42" t="s">
        <v>399</v>
      </c>
      <c r="E688" s="42" t="s">
        <v>319</v>
      </c>
      <c r="F688" s="42" t="s">
        <v>883</v>
      </c>
      <c r="G688" s="42" t="s">
        <v>926</v>
      </c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</row>
    <row r="689" spans="1:22" ht="15.75" customHeight="1" x14ac:dyDescent="0.2">
      <c r="A689" s="40">
        <v>755</v>
      </c>
      <c r="B689" s="41" t="s">
        <v>977</v>
      </c>
      <c r="C689" s="42" t="s">
        <v>978</v>
      </c>
      <c r="D689" s="42" t="s">
        <v>506</v>
      </c>
      <c r="E689" s="42" t="s">
        <v>22</v>
      </c>
      <c r="F689" s="42" t="s">
        <v>979</v>
      </c>
      <c r="G689" s="42" t="s">
        <v>926</v>
      </c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</row>
    <row r="690" spans="1:22" ht="15.75" customHeight="1" x14ac:dyDescent="0.2">
      <c r="A690" s="40">
        <v>277</v>
      </c>
      <c r="B690" s="41" t="s">
        <v>896</v>
      </c>
      <c r="C690" s="42" t="s">
        <v>978</v>
      </c>
      <c r="D690" s="42" t="s">
        <v>506</v>
      </c>
      <c r="E690" s="42" t="s">
        <v>22</v>
      </c>
      <c r="F690" s="42" t="s">
        <v>979</v>
      </c>
      <c r="G690" s="42" t="s">
        <v>926</v>
      </c>
    </row>
    <row r="691" spans="1:22" ht="15.75" customHeight="1" x14ac:dyDescent="0.2">
      <c r="A691" s="40">
        <v>841</v>
      </c>
      <c r="B691" s="41" t="s">
        <v>980</v>
      </c>
      <c r="C691" s="42" t="s">
        <v>981</v>
      </c>
      <c r="D691" s="42" t="s">
        <v>353</v>
      </c>
      <c r="E691" s="42" t="s">
        <v>357</v>
      </c>
      <c r="F691" s="42" t="s">
        <v>982</v>
      </c>
      <c r="G691" s="42" t="s">
        <v>926</v>
      </c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</row>
    <row r="692" spans="1:22" ht="15.75" customHeight="1" x14ac:dyDescent="0.2">
      <c r="A692" s="40">
        <v>2341</v>
      </c>
      <c r="B692" s="41" t="s">
        <v>285</v>
      </c>
      <c r="C692" s="42" t="s">
        <v>983</v>
      </c>
      <c r="D692" s="42" t="s">
        <v>984</v>
      </c>
      <c r="E692" s="42" t="s">
        <v>985</v>
      </c>
      <c r="F692" s="42" t="s">
        <v>908</v>
      </c>
      <c r="G692" s="42" t="s">
        <v>926</v>
      </c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</row>
    <row r="693" spans="1:22" ht="15.75" customHeight="1" x14ac:dyDescent="0.2">
      <c r="A693" s="40">
        <v>2887</v>
      </c>
      <c r="B693" s="41" t="s">
        <v>378</v>
      </c>
      <c r="C693" s="42" t="s">
        <v>983</v>
      </c>
      <c r="D693" s="42" t="s">
        <v>984</v>
      </c>
      <c r="E693" s="42" t="s">
        <v>985</v>
      </c>
      <c r="F693" s="42" t="s">
        <v>908</v>
      </c>
      <c r="G693" s="42" t="s">
        <v>926</v>
      </c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</row>
    <row r="694" spans="1:22" ht="15.75" customHeight="1" x14ac:dyDescent="0.2">
      <c r="A694" s="40">
        <v>1529</v>
      </c>
      <c r="B694" s="41" t="s">
        <v>263</v>
      </c>
      <c r="C694" s="42" t="s">
        <v>986</v>
      </c>
      <c r="D694" s="42" t="s">
        <v>987</v>
      </c>
      <c r="E694" s="42" t="s">
        <v>18</v>
      </c>
      <c r="F694" s="42" t="s">
        <v>908</v>
      </c>
      <c r="G694" s="42" t="s">
        <v>926</v>
      </c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</row>
    <row r="695" spans="1:22" ht="15.75" customHeight="1" x14ac:dyDescent="0.2">
      <c r="A695" s="40">
        <v>2325</v>
      </c>
      <c r="B695" s="41" t="s">
        <v>285</v>
      </c>
      <c r="C695" s="42" t="s">
        <v>986</v>
      </c>
      <c r="D695" s="42" t="s">
        <v>987</v>
      </c>
      <c r="E695" s="42" t="s">
        <v>18</v>
      </c>
      <c r="F695" s="42" t="s">
        <v>908</v>
      </c>
      <c r="G695" s="42" t="s">
        <v>926</v>
      </c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</row>
    <row r="696" spans="1:22" ht="15.75" customHeight="1" x14ac:dyDescent="0.2">
      <c r="A696" s="40">
        <v>1355</v>
      </c>
      <c r="B696" s="41" t="s">
        <v>601</v>
      </c>
      <c r="C696" s="42" t="s">
        <v>988</v>
      </c>
      <c r="D696" s="42" t="s">
        <v>989</v>
      </c>
      <c r="E696" s="42" t="s">
        <v>306</v>
      </c>
      <c r="F696" s="42" t="s">
        <v>908</v>
      </c>
      <c r="G696" s="42" t="s">
        <v>926</v>
      </c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</row>
    <row r="697" spans="1:22" ht="15.75" customHeight="1" x14ac:dyDescent="0.2">
      <c r="A697" s="40">
        <v>2145</v>
      </c>
      <c r="B697" s="41" t="s">
        <v>281</v>
      </c>
      <c r="C697" s="42" t="s">
        <v>988</v>
      </c>
      <c r="D697" s="42" t="s">
        <v>989</v>
      </c>
      <c r="E697" s="42" t="s">
        <v>306</v>
      </c>
      <c r="F697" s="42" t="s">
        <v>908</v>
      </c>
      <c r="G697" s="42" t="s">
        <v>926</v>
      </c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</row>
    <row r="698" spans="1:22" ht="15.75" customHeight="1" x14ac:dyDescent="0.2">
      <c r="A698" s="40">
        <v>1313</v>
      </c>
      <c r="B698" s="41" t="s">
        <v>936</v>
      </c>
      <c r="C698" s="42" t="s">
        <v>990</v>
      </c>
      <c r="D698" s="42" t="s">
        <v>697</v>
      </c>
      <c r="E698" s="42" t="s">
        <v>397</v>
      </c>
      <c r="F698" s="42" t="s">
        <v>908</v>
      </c>
      <c r="G698" s="42" t="s">
        <v>926</v>
      </c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</row>
    <row r="699" spans="1:22" ht="15.75" customHeight="1" x14ac:dyDescent="0.2">
      <c r="A699" s="40">
        <v>2111</v>
      </c>
      <c r="B699" s="41" t="s">
        <v>280</v>
      </c>
      <c r="C699" s="42" t="s">
        <v>990</v>
      </c>
      <c r="D699" s="42" t="s">
        <v>697</v>
      </c>
      <c r="E699" s="42" t="s">
        <v>397</v>
      </c>
      <c r="F699" s="42" t="s">
        <v>908</v>
      </c>
      <c r="G699" s="42" t="s">
        <v>926</v>
      </c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</row>
    <row r="700" spans="1:22" ht="15.75" customHeight="1" x14ac:dyDescent="0.2">
      <c r="A700" s="40">
        <v>1071</v>
      </c>
      <c r="B700" s="41" t="s">
        <v>458</v>
      </c>
      <c r="C700" s="42" t="s">
        <v>991</v>
      </c>
      <c r="D700" s="42" t="s">
        <v>992</v>
      </c>
      <c r="E700" s="42" t="s">
        <v>129</v>
      </c>
      <c r="F700" s="42" t="s">
        <v>908</v>
      </c>
      <c r="G700" s="42" t="s">
        <v>926</v>
      </c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</row>
    <row r="701" spans="1:22" ht="15.75" customHeight="1" x14ac:dyDescent="0.2">
      <c r="A701" s="40">
        <v>2083</v>
      </c>
      <c r="B701" s="41" t="s">
        <v>653</v>
      </c>
      <c r="C701" s="42" t="s">
        <v>991</v>
      </c>
      <c r="D701" s="42" t="s">
        <v>992</v>
      </c>
      <c r="E701" s="42" t="s">
        <v>129</v>
      </c>
      <c r="F701" s="42" t="s">
        <v>908</v>
      </c>
      <c r="G701" s="42" t="s">
        <v>926</v>
      </c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</row>
    <row r="702" spans="1:22" ht="15.75" customHeight="1" x14ac:dyDescent="0.2">
      <c r="A702" s="40">
        <v>1091</v>
      </c>
      <c r="B702" s="41" t="s">
        <v>710</v>
      </c>
      <c r="C702" s="42" t="s">
        <v>993</v>
      </c>
      <c r="D702" s="42" t="s">
        <v>266</v>
      </c>
      <c r="E702" s="42" t="s">
        <v>968</v>
      </c>
      <c r="F702" s="42" t="s">
        <v>908</v>
      </c>
      <c r="G702" s="42" t="s">
        <v>926</v>
      </c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</row>
    <row r="703" spans="1:22" ht="15.75" customHeight="1" x14ac:dyDescent="0.2">
      <c r="A703" s="40">
        <v>2081</v>
      </c>
      <c r="B703" s="41" t="s">
        <v>653</v>
      </c>
      <c r="C703" s="42" t="s">
        <v>993</v>
      </c>
      <c r="D703" s="42" t="s">
        <v>266</v>
      </c>
      <c r="E703" s="42" t="s">
        <v>968</v>
      </c>
      <c r="F703" s="42" t="s">
        <v>908</v>
      </c>
      <c r="G703" s="42" t="s">
        <v>926</v>
      </c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</row>
    <row r="704" spans="1:22" ht="15.75" customHeight="1" x14ac:dyDescent="0.2">
      <c r="A704" s="40">
        <v>303</v>
      </c>
      <c r="B704" s="41" t="s">
        <v>951</v>
      </c>
      <c r="C704" s="42" t="s">
        <v>994</v>
      </c>
      <c r="D704" s="42" t="s">
        <v>995</v>
      </c>
      <c r="E704" s="42" t="s">
        <v>996</v>
      </c>
      <c r="F704" s="42" t="s">
        <v>997</v>
      </c>
      <c r="G704" s="42" t="s">
        <v>926</v>
      </c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</row>
    <row r="705" spans="1:22" ht="15.75" customHeight="1" x14ac:dyDescent="0.2">
      <c r="A705" s="40"/>
      <c r="B705" s="45" t="s">
        <v>114</v>
      </c>
      <c r="C705" s="46" t="s">
        <v>998</v>
      </c>
      <c r="D705" s="46" t="s">
        <v>426</v>
      </c>
      <c r="E705" s="46" t="s">
        <v>255</v>
      </c>
      <c r="F705" s="46" t="s">
        <v>999</v>
      </c>
      <c r="G705" s="46" t="s">
        <v>1000</v>
      </c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</row>
    <row r="706" spans="1:22" ht="15.75" customHeight="1" x14ac:dyDescent="0.2">
      <c r="A706" s="40"/>
      <c r="B706" s="45" t="s">
        <v>728</v>
      </c>
      <c r="C706" s="46" t="s">
        <v>998</v>
      </c>
      <c r="D706" s="46" t="s">
        <v>426</v>
      </c>
      <c r="E706" s="46" t="s">
        <v>255</v>
      </c>
      <c r="F706" s="46" t="s">
        <v>999</v>
      </c>
      <c r="G706" s="46" t="s">
        <v>1000</v>
      </c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</row>
    <row r="707" spans="1:22" ht="15.75" customHeight="1" x14ac:dyDescent="0.2">
      <c r="A707" s="40"/>
      <c r="B707" s="45" t="s">
        <v>307</v>
      </c>
      <c r="C707" s="46" t="s">
        <v>1001</v>
      </c>
      <c r="D707" s="46" t="s">
        <v>86</v>
      </c>
      <c r="E707" s="46" t="s">
        <v>129</v>
      </c>
      <c r="F707" s="46" t="s">
        <v>999</v>
      </c>
      <c r="G707" s="46" t="s">
        <v>1000</v>
      </c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</row>
    <row r="708" spans="1:22" ht="15.75" customHeight="1" x14ac:dyDescent="0.2">
      <c r="A708" s="40"/>
      <c r="B708" s="45" t="s">
        <v>311</v>
      </c>
      <c r="C708" s="46" t="s">
        <v>1001</v>
      </c>
      <c r="D708" s="46" t="s">
        <v>86</v>
      </c>
      <c r="E708" s="46" t="s">
        <v>129</v>
      </c>
      <c r="F708" s="46" t="s">
        <v>999</v>
      </c>
      <c r="G708" s="46" t="s">
        <v>1000</v>
      </c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</row>
    <row r="709" spans="1:22" ht="15.75" customHeight="1" x14ac:dyDescent="0.2">
      <c r="A709" s="40"/>
      <c r="B709" s="45" t="s">
        <v>728</v>
      </c>
      <c r="C709" s="46" t="s">
        <v>1001</v>
      </c>
      <c r="D709" s="46" t="s">
        <v>86</v>
      </c>
      <c r="E709" s="46" t="s">
        <v>129</v>
      </c>
      <c r="F709" s="46" t="s">
        <v>999</v>
      </c>
      <c r="G709" s="46" t="s">
        <v>1000</v>
      </c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</row>
    <row r="710" spans="1:22" ht="15.75" customHeight="1" x14ac:dyDescent="0.2">
      <c r="A710" s="40"/>
      <c r="B710" s="45" t="s">
        <v>421</v>
      </c>
      <c r="C710" s="46" t="s">
        <v>1002</v>
      </c>
      <c r="D710" s="46" t="s">
        <v>124</v>
      </c>
      <c r="E710" s="46" t="s">
        <v>40</v>
      </c>
      <c r="F710" s="46" t="s">
        <v>1003</v>
      </c>
      <c r="G710" s="46" t="s">
        <v>1000</v>
      </c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</row>
    <row r="711" spans="1:22" ht="15.75" customHeight="1" x14ac:dyDescent="0.2">
      <c r="A711" s="40"/>
      <c r="B711" s="45" t="s">
        <v>307</v>
      </c>
      <c r="C711" s="46" t="s">
        <v>1002</v>
      </c>
      <c r="D711" s="46" t="s">
        <v>124</v>
      </c>
      <c r="E711" s="46" t="s">
        <v>40</v>
      </c>
      <c r="F711" s="46" t="s">
        <v>1003</v>
      </c>
      <c r="G711" s="46" t="s">
        <v>1000</v>
      </c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</row>
    <row r="712" spans="1:22" ht="15.75" customHeight="1" x14ac:dyDescent="0.2">
      <c r="A712" s="40"/>
      <c r="B712" s="45" t="s">
        <v>300</v>
      </c>
      <c r="C712" s="46" t="s">
        <v>1004</v>
      </c>
      <c r="D712" s="46" t="s">
        <v>31</v>
      </c>
      <c r="E712" s="46" t="s">
        <v>337</v>
      </c>
      <c r="F712" s="46" t="s">
        <v>1003</v>
      </c>
      <c r="G712" s="46" t="s">
        <v>1000</v>
      </c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</row>
    <row r="713" spans="1:22" ht="15.75" customHeight="1" x14ac:dyDescent="0.2">
      <c r="A713" s="40"/>
      <c r="B713" s="45" t="s">
        <v>102</v>
      </c>
      <c r="C713" s="46" t="s">
        <v>1004</v>
      </c>
      <c r="D713" s="46" t="s">
        <v>31</v>
      </c>
      <c r="E713" s="46" t="s">
        <v>337</v>
      </c>
      <c r="F713" s="46" t="s">
        <v>1003</v>
      </c>
      <c r="G713" s="46" t="s">
        <v>1000</v>
      </c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</row>
    <row r="714" spans="1:22" ht="15.75" customHeight="1" x14ac:dyDescent="0.2">
      <c r="A714" s="40"/>
      <c r="B714" s="45" t="s">
        <v>109</v>
      </c>
      <c r="C714" s="46" t="s">
        <v>1005</v>
      </c>
      <c r="D714" s="46" t="s">
        <v>1006</v>
      </c>
      <c r="E714" s="46" t="s">
        <v>1007</v>
      </c>
      <c r="F714" s="46" t="s">
        <v>1003</v>
      </c>
      <c r="G714" s="46" t="s">
        <v>1000</v>
      </c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</row>
    <row r="715" spans="1:22" ht="15.75" customHeight="1" x14ac:dyDescent="0.2">
      <c r="A715" s="40">
        <v>209</v>
      </c>
      <c r="B715" s="41" t="s">
        <v>1008</v>
      </c>
      <c r="C715" s="42" t="s">
        <v>667</v>
      </c>
      <c r="D715" s="42" t="s">
        <v>333</v>
      </c>
      <c r="E715" s="42" t="s">
        <v>334</v>
      </c>
      <c r="F715" s="42" t="s">
        <v>1009</v>
      </c>
      <c r="G715" s="42" t="s">
        <v>1010</v>
      </c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</row>
    <row r="716" spans="1:22" ht="15.75" customHeight="1" x14ac:dyDescent="0.2">
      <c r="A716" s="40"/>
      <c r="B716" s="45" t="s">
        <v>307</v>
      </c>
      <c r="C716" s="46" t="s">
        <v>1011</v>
      </c>
      <c r="D716" s="46" t="s">
        <v>236</v>
      </c>
      <c r="E716" s="46" t="s">
        <v>413</v>
      </c>
      <c r="F716" s="46" t="s">
        <v>1009</v>
      </c>
      <c r="G716" s="46" t="s">
        <v>1010</v>
      </c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</row>
    <row r="717" spans="1:22" ht="15.75" customHeight="1" x14ac:dyDescent="0.2">
      <c r="A717" s="40"/>
      <c r="B717" s="45" t="s">
        <v>232</v>
      </c>
      <c r="C717" s="46" t="s">
        <v>1011</v>
      </c>
      <c r="D717" s="46" t="s">
        <v>236</v>
      </c>
      <c r="E717" s="46" t="s">
        <v>413</v>
      </c>
      <c r="F717" s="46" t="s">
        <v>1009</v>
      </c>
      <c r="G717" s="46" t="s">
        <v>1010</v>
      </c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</row>
    <row r="718" spans="1:22" ht="15.75" customHeight="1" x14ac:dyDescent="0.2">
      <c r="A718" s="40"/>
      <c r="B718" s="45" t="s">
        <v>108</v>
      </c>
      <c r="C718" s="46" t="s">
        <v>1011</v>
      </c>
      <c r="D718" s="46" t="s">
        <v>236</v>
      </c>
      <c r="E718" s="46" t="s">
        <v>413</v>
      </c>
      <c r="F718" s="46" t="s">
        <v>1009</v>
      </c>
      <c r="G718" s="46" t="s">
        <v>1010</v>
      </c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</row>
    <row r="719" spans="1:22" ht="15.75" customHeight="1" x14ac:dyDescent="0.2">
      <c r="A719" s="40"/>
      <c r="B719" s="45" t="s">
        <v>232</v>
      </c>
      <c r="C719" s="46" t="s">
        <v>1012</v>
      </c>
      <c r="D719" s="46" t="s">
        <v>183</v>
      </c>
      <c r="E719" s="46" t="s">
        <v>87</v>
      </c>
      <c r="F719" s="46" t="s">
        <v>1009</v>
      </c>
      <c r="G719" s="46" t="s">
        <v>1010</v>
      </c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</row>
    <row r="720" spans="1:22" ht="15.75" customHeight="1" x14ac:dyDescent="0.2">
      <c r="A720" s="40"/>
      <c r="B720" s="45" t="s">
        <v>114</v>
      </c>
      <c r="C720" s="46" t="s">
        <v>1012</v>
      </c>
      <c r="D720" s="46" t="s">
        <v>183</v>
      </c>
      <c r="E720" s="46" t="s">
        <v>87</v>
      </c>
      <c r="F720" s="46" t="s">
        <v>1009</v>
      </c>
      <c r="G720" s="46" t="s">
        <v>1010</v>
      </c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</row>
    <row r="721" spans="1:22" ht="15.75" customHeight="1" x14ac:dyDescent="0.2">
      <c r="A721" s="40"/>
      <c r="B721" s="45" t="s">
        <v>108</v>
      </c>
      <c r="C721" s="46" t="s">
        <v>1012</v>
      </c>
      <c r="D721" s="46" t="s">
        <v>183</v>
      </c>
      <c r="E721" s="46" t="s">
        <v>87</v>
      </c>
      <c r="F721" s="46" t="s">
        <v>1009</v>
      </c>
      <c r="G721" s="46" t="s">
        <v>1010</v>
      </c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</row>
    <row r="722" spans="1:22" ht="15.75" customHeight="1" x14ac:dyDescent="0.2">
      <c r="A722" s="40"/>
      <c r="B722" s="45" t="s">
        <v>296</v>
      </c>
      <c r="C722" s="46" t="s">
        <v>667</v>
      </c>
      <c r="D722" s="46" t="s">
        <v>333</v>
      </c>
      <c r="E722" s="46" t="s">
        <v>334</v>
      </c>
      <c r="F722" s="46" t="s">
        <v>1009</v>
      </c>
      <c r="G722" s="46" t="s">
        <v>1010</v>
      </c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</row>
    <row r="723" spans="1:22" ht="15.75" customHeight="1" x14ac:dyDescent="0.2">
      <c r="A723" s="40"/>
      <c r="B723" s="45" t="s">
        <v>108</v>
      </c>
      <c r="C723" s="46" t="s">
        <v>667</v>
      </c>
      <c r="D723" s="46" t="s">
        <v>333</v>
      </c>
      <c r="E723" s="46" t="s">
        <v>334</v>
      </c>
      <c r="F723" s="46" t="s">
        <v>1009</v>
      </c>
      <c r="G723" s="46" t="s">
        <v>1010</v>
      </c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</row>
    <row r="724" spans="1:22" ht="15.75" customHeight="1" x14ac:dyDescent="0.2">
      <c r="A724" s="40"/>
      <c r="B724" s="45" t="s">
        <v>315</v>
      </c>
      <c r="C724" s="46" t="s">
        <v>1013</v>
      </c>
      <c r="D724" s="46" t="s">
        <v>28</v>
      </c>
      <c r="E724" s="46" t="s">
        <v>650</v>
      </c>
      <c r="F724" s="46" t="s">
        <v>1009</v>
      </c>
      <c r="G724" s="46" t="s">
        <v>1010</v>
      </c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</row>
    <row r="725" spans="1:22" ht="15.75" customHeight="1" x14ac:dyDescent="0.2">
      <c r="A725" s="40"/>
      <c r="B725" s="45" t="s">
        <v>94</v>
      </c>
      <c r="C725" s="46" t="s">
        <v>1013</v>
      </c>
      <c r="D725" s="46" t="s">
        <v>28</v>
      </c>
      <c r="E725" s="46" t="s">
        <v>650</v>
      </c>
      <c r="F725" s="46" t="s">
        <v>1009</v>
      </c>
      <c r="G725" s="46" t="s">
        <v>1010</v>
      </c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</row>
    <row r="726" spans="1:22" ht="15.75" customHeight="1" x14ac:dyDescent="0.2">
      <c r="A726" s="40"/>
      <c r="B726" s="45" t="s">
        <v>232</v>
      </c>
      <c r="C726" s="46" t="s">
        <v>1014</v>
      </c>
      <c r="D726" s="46" t="s">
        <v>124</v>
      </c>
      <c r="E726" s="46" t="s">
        <v>87</v>
      </c>
      <c r="F726" s="46" t="s">
        <v>1009</v>
      </c>
      <c r="G726" s="46" t="s">
        <v>1010</v>
      </c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</row>
    <row r="727" spans="1:22" ht="15.75" customHeight="1" x14ac:dyDescent="0.2">
      <c r="A727" s="40"/>
      <c r="B727" s="45" t="s">
        <v>114</v>
      </c>
      <c r="C727" s="46" t="s">
        <v>1014</v>
      </c>
      <c r="D727" s="46" t="s">
        <v>124</v>
      </c>
      <c r="E727" s="46" t="s">
        <v>87</v>
      </c>
      <c r="F727" s="46" t="s">
        <v>1009</v>
      </c>
      <c r="G727" s="46" t="s">
        <v>1010</v>
      </c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</row>
    <row r="728" spans="1:22" ht="15.75" customHeight="1" x14ac:dyDescent="0.2">
      <c r="A728" s="40"/>
      <c r="B728" s="45" t="s">
        <v>108</v>
      </c>
      <c r="C728" s="46" t="s">
        <v>1014</v>
      </c>
      <c r="D728" s="46" t="s">
        <v>124</v>
      </c>
      <c r="E728" s="46" t="s">
        <v>87</v>
      </c>
      <c r="F728" s="46" t="s">
        <v>1009</v>
      </c>
      <c r="G728" s="46" t="s">
        <v>1010</v>
      </c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</row>
    <row r="729" spans="1:22" ht="15.75" customHeight="1" x14ac:dyDescent="0.2">
      <c r="A729" s="40">
        <v>285</v>
      </c>
      <c r="B729" s="41" t="s">
        <v>628</v>
      </c>
      <c r="C729" s="42" t="s">
        <v>1015</v>
      </c>
      <c r="D729" s="42" t="s">
        <v>554</v>
      </c>
      <c r="E729" s="42" t="s">
        <v>306</v>
      </c>
      <c r="F729" s="42" t="s">
        <v>1016</v>
      </c>
      <c r="G729" s="42" t="s">
        <v>1010</v>
      </c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</row>
    <row r="730" spans="1:22" ht="15.75" customHeight="1" x14ac:dyDescent="0.2">
      <c r="A730" s="40">
        <v>395</v>
      </c>
      <c r="B730" s="41" t="s">
        <v>246</v>
      </c>
      <c r="C730" s="42" t="s">
        <v>1017</v>
      </c>
      <c r="D730" s="42" t="s">
        <v>124</v>
      </c>
      <c r="E730" s="42" t="s">
        <v>424</v>
      </c>
      <c r="F730" s="42" t="s">
        <v>1016</v>
      </c>
      <c r="G730" s="42" t="s">
        <v>1010</v>
      </c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</row>
    <row r="731" spans="1:22" ht="15.75" customHeight="1" x14ac:dyDescent="0.2">
      <c r="A731" s="40">
        <v>1097</v>
      </c>
      <c r="B731" s="41" t="s">
        <v>710</v>
      </c>
      <c r="C731" s="42" t="s">
        <v>1015</v>
      </c>
      <c r="D731" s="42" t="s">
        <v>554</v>
      </c>
      <c r="E731" s="42" t="s">
        <v>306</v>
      </c>
      <c r="F731" s="42" t="s">
        <v>1016</v>
      </c>
      <c r="G731" s="42" t="s">
        <v>1010</v>
      </c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</row>
    <row r="732" spans="1:22" ht="15.75" customHeight="1" x14ac:dyDescent="0.2">
      <c r="A732" s="40">
        <v>1433</v>
      </c>
      <c r="B732" s="41" t="s">
        <v>386</v>
      </c>
      <c r="C732" s="42" t="s">
        <v>1017</v>
      </c>
      <c r="D732" s="42" t="s">
        <v>124</v>
      </c>
      <c r="E732" s="42" t="s">
        <v>424</v>
      </c>
      <c r="F732" s="42" t="s">
        <v>1016</v>
      </c>
      <c r="G732" s="42" t="s">
        <v>1010</v>
      </c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</row>
    <row r="733" spans="1:22" ht="15.75" customHeight="1" x14ac:dyDescent="0.2">
      <c r="A733" s="40">
        <v>473</v>
      </c>
      <c r="B733" s="41" t="s">
        <v>1018</v>
      </c>
      <c r="C733" s="42" t="s">
        <v>1019</v>
      </c>
      <c r="D733" s="42" t="s">
        <v>1020</v>
      </c>
      <c r="E733" s="42" t="s">
        <v>1021</v>
      </c>
      <c r="F733" s="42" t="s">
        <v>1022</v>
      </c>
      <c r="G733" s="42" t="s">
        <v>1010</v>
      </c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</row>
    <row r="734" spans="1:22" ht="15.75" customHeight="1" x14ac:dyDescent="0.2">
      <c r="A734" s="40">
        <v>1843</v>
      </c>
      <c r="B734" s="41" t="s">
        <v>439</v>
      </c>
      <c r="C734" s="42" t="s">
        <v>1019</v>
      </c>
      <c r="D734" s="42" t="s">
        <v>1020</v>
      </c>
      <c r="E734" s="42" t="s">
        <v>1021</v>
      </c>
      <c r="F734" s="42" t="s">
        <v>1022</v>
      </c>
      <c r="G734" s="42" t="s">
        <v>1010</v>
      </c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</row>
    <row r="735" spans="1:22" ht="15.75" customHeight="1" x14ac:dyDescent="0.2">
      <c r="A735" s="40"/>
      <c r="B735" s="45" t="s">
        <v>307</v>
      </c>
      <c r="C735" s="46" t="s">
        <v>1023</v>
      </c>
      <c r="D735" s="46" t="s">
        <v>183</v>
      </c>
      <c r="E735" s="46" t="s">
        <v>79</v>
      </c>
      <c r="F735" s="46" t="s">
        <v>1022</v>
      </c>
      <c r="G735" s="46" t="s">
        <v>1010</v>
      </c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</row>
    <row r="736" spans="1:22" ht="15.75" customHeight="1" x14ac:dyDescent="0.2">
      <c r="A736" s="40"/>
      <c r="B736" s="45" t="s">
        <v>232</v>
      </c>
      <c r="C736" s="46" t="s">
        <v>1023</v>
      </c>
      <c r="D736" s="46" t="s">
        <v>183</v>
      </c>
      <c r="E736" s="46" t="s">
        <v>79</v>
      </c>
      <c r="F736" s="46" t="s">
        <v>1022</v>
      </c>
      <c r="G736" s="46" t="s">
        <v>1010</v>
      </c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</row>
    <row r="737" spans="1:22" ht="15.75" customHeight="1" x14ac:dyDescent="0.2">
      <c r="A737" s="40"/>
      <c r="B737" s="45" t="s">
        <v>108</v>
      </c>
      <c r="C737" s="46" t="s">
        <v>1023</v>
      </c>
      <c r="D737" s="46" t="s">
        <v>183</v>
      </c>
      <c r="E737" s="46" t="s">
        <v>79</v>
      </c>
      <c r="F737" s="46" t="s">
        <v>1022</v>
      </c>
      <c r="G737" s="46" t="s">
        <v>1010</v>
      </c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</row>
    <row r="738" spans="1:22" ht="15.75" customHeight="1" x14ac:dyDescent="0.2">
      <c r="A738" s="40"/>
      <c r="B738" s="45" t="s">
        <v>102</v>
      </c>
      <c r="C738" s="46" t="s">
        <v>1019</v>
      </c>
      <c r="D738" s="46" t="s">
        <v>1024</v>
      </c>
      <c r="E738" s="46" t="s">
        <v>1021</v>
      </c>
      <c r="F738" s="46" t="s">
        <v>1022</v>
      </c>
      <c r="G738" s="46" t="s">
        <v>1010</v>
      </c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</row>
    <row r="739" spans="1:22" ht="15.75" customHeight="1" x14ac:dyDescent="0.2">
      <c r="A739" s="40"/>
      <c r="B739" s="45" t="s">
        <v>232</v>
      </c>
      <c r="C739" s="46" t="s">
        <v>1019</v>
      </c>
      <c r="D739" s="46" t="s">
        <v>1024</v>
      </c>
      <c r="E739" s="46" t="s">
        <v>1021</v>
      </c>
      <c r="F739" s="46" t="s">
        <v>1022</v>
      </c>
      <c r="G739" s="46" t="s">
        <v>1010</v>
      </c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</row>
    <row r="740" spans="1:22" ht="15.75" customHeight="1" x14ac:dyDescent="0.2">
      <c r="A740" s="40"/>
      <c r="B740" s="45" t="s">
        <v>94</v>
      </c>
      <c r="C740" s="46" t="s">
        <v>1019</v>
      </c>
      <c r="D740" s="46" t="s">
        <v>1024</v>
      </c>
      <c r="E740" s="46" t="s">
        <v>1021</v>
      </c>
      <c r="F740" s="46" t="s">
        <v>1022</v>
      </c>
      <c r="G740" s="46" t="s">
        <v>1010</v>
      </c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</row>
    <row r="741" spans="1:22" ht="15.75" customHeight="1" x14ac:dyDescent="0.2">
      <c r="A741" s="40"/>
      <c r="B741" s="45" t="s">
        <v>88</v>
      </c>
      <c r="C741" s="46" t="s">
        <v>1025</v>
      </c>
      <c r="D741" s="46" t="s">
        <v>491</v>
      </c>
      <c r="E741" s="46" t="s">
        <v>637</v>
      </c>
      <c r="F741" s="46" t="s">
        <v>1026</v>
      </c>
      <c r="G741" s="46" t="s">
        <v>1010</v>
      </c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</row>
    <row r="742" spans="1:22" ht="15.75" customHeight="1" x14ac:dyDescent="0.2">
      <c r="A742" s="40"/>
      <c r="B742" s="45" t="s">
        <v>88</v>
      </c>
      <c r="C742" s="46" t="s">
        <v>1027</v>
      </c>
      <c r="D742" s="46" t="s">
        <v>1028</v>
      </c>
      <c r="E742" s="46" t="s">
        <v>1029</v>
      </c>
      <c r="F742" s="46" t="s">
        <v>1026</v>
      </c>
      <c r="G742" s="46" t="s">
        <v>1010</v>
      </c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</row>
    <row r="743" spans="1:22" ht="15.75" customHeight="1" x14ac:dyDescent="0.2">
      <c r="A743" s="40">
        <v>577</v>
      </c>
      <c r="B743" s="41" t="s">
        <v>368</v>
      </c>
      <c r="C743" s="42" t="s">
        <v>1030</v>
      </c>
      <c r="D743" s="42" t="s">
        <v>1031</v>
      </c>
      <c r="E743" s="42" t="s">
        <v>374</v>
      </c>
      <c r="F743" s="42" t="s">
        <v>1032</v>
      </c>
      <c r="G743" s="42" t="s">
        <v>1033</v>
      </c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</row>
    <row r="744" spans="1:22" ht="15.75" customHeight="1" x14ac:dyDescent="0.2">
      <c r="A744" s="40">
        <v>579</v>
      </c>
      <c r="B744" s="41" t="s">
        <v>368</v>
      </c>
      <c r="C744" s="42" t="s">
        <v>1034</v>
      </c>
      <c r="D744" s="42" t="s">
        <v>295</v>
      </c>
      <c r="E744" s="42" t="s">
        <v>18</v>
      </c>
      <c r="F744" s="42" t="s">
        <v>1032</v>
      </c>
      <c r="G744" s="42" t="s">
        <v>1033</v>
      </c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</row>
    <row r="745" spans="1:22" ht="15.75" customHeight="1" x14ac:dyDescent="0.2">
      <c r="A745" s="40"/>
      <c r="B745" s="45" t="s">
        <v>94</v>
      </c>
      <c r="C745" s="46" t="s">
        <v>1035</v>
      </c>
      <c r="D745" s="46" t="s">
        <v>124</v>
      </c>
      <c r="E745" s="46" t="s">
        <v>397</v>
      </c>
      <c r="F745" s="46" t="s">
        <v>1032</v>
      </c>
      <c r="G745" s="46" t="s">
        <v>1033</v>
      </c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</row>
    <row r="746" spans="1:22" ht="15.75" customHeight="1" x14ac:dyDescent="0.2">
      <c r="A746" s="40">
        <v>453</v>
      </c>
      <c r="B746" s="41" t="s">
        <v>674</v>
      </c>
      <c r="C746" s="42" t="s">
        <v>1036</v>
      </c>
      <c r="D746" s="42" t="s">
        <v>1037</v>
      </c>
      <c r="E746" s="42" t="s">
        <v>1038</v>
      </c>
      <c r="F746" s="42" t="s">
        <v>1032</v>
      </c>
      <c r="G746" s="42" t="s">
        <v>1033</v>
      </c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</row>
    <row r="747" spans="1:22" ht="15.75" customHeight="1" x14ac:dyDescent="0.2">
      <c r="A747" s="40">
        <v>287</v>
      </c>
      <c r="B747" s="41" t="s">
        <v>628</v>
      </c>
      <c r="C747" s="42" t="s">
        <v>1039</v>
      </c>
      <c r="D747" s="42" t="s">
        <v>309</v>
      </c>
      <c r="E747" s="42" t="s">
        <v>393</v>
      </c>
      <c r="F747" s="42" t="s">
        <v>1032</v>
      </c>
      <c r="G747" s="42" t="s">
        <v>1033</v>
      </c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</row>
    <row r="748" spans="1:22" ht="15.75" customHeight="1" x14ac:dyDescent="0.2">
      <c r="A748" s="40">
        <v>157</v>
      </c>
      <c r="B748" s="41" t="s">
        <v>460</v>
      </c>
      <c r="C748" s="42" t="s">
        <v>1040</v>
      </c>
      <c r="D748" s="42" t="s">
        <v>1041</v>
      </c>
      <c r="E748" s="42" t="s">
        <v>1042</v>
      </c>
      <c r="F748" s="42" t="s">
        <v>1032</v>
      </c>
      <c r="G748" s="42" t="s">
        <v>1033</v>
      </c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</row>
    <row r="749" spans="1:22" ht="15.75" customHeight="1" x14ac:dyDescent="0.2">
      <c r="A749" s="40">
        <v>2989</v>
      </c>
      <c r="B749" s="41" t="s">
        <v>289</v>
      </c>
      <c r="C749" s="42" t="s">
        <v>1043</v>
      </c>
      <c r="D749" s="42" t="s">
        <v>605</v>
      </c>
      <c r="E749" s="42" t="s">
        <v>539</v>
      </c>
      <c r="F749" s="42" t="s">
        <v>1032</v>
      </c>
      <c r="G749" s="42" t="s">
        <v>1033</v>
      </c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</row>
    <row r="750" spans="1:22" ht="15.75" customHeight="1" x14ac:dyDescent="0.2">
      <c r="A750" s="40">
        <v>7</v>
      </c>
      <c r="B750" s="41" t="s">
        <v>704</v>
      </c>
      <c r="C750" s="42" t="s">
        <v>1044</v>
      </c>
      <c r="D750" s="42" t="s">
        <v>491</v>
      </c>
      <c r="E750" s="42" t="s">
        <v>306</v>
      </c>
      <c r="F750" s="42" t="s">
        <v>1032</v>
      </c>
      <c r="G750" s="42" t="s">
        <v>1033</v>
      </c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</row>
    <row r="751" spans="1:22" ht="15.75" customHeight="1" x14ac:dyDescent="0.2">
      <c r="A751" s="40">
        <v>581</v>
      </c>
      <c r="B751" s="41" t="s">
        <v>368</v>
      </c>
      <c r="C751" s="42" t="s">
        <v>1045</v>
      </c>
      <c r="D751" s="42" t="s">
        <v>373</v>
      </c>
      <c r="E751" s="42" t="s">
        <v>787</v>
      </c>
      <c r="F751" s="42" t="s">
        <v>1032</v>
      </c>
      <c r="G751" s="42" t="s">
        <v>1033</v>
      </c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</row>
    <row r="752" spans="1:22" ht="15.75" customHeight="1" x14ac:dyDescent="0.2">
      <c r="A752" s="40"/>
      <c r="B752" s="45" t="s">
        <v>94</v>
      </c>
      <c r="C752" s="46" t="s">
        <v>1046</v>
      </c>
      <c r="D752" s="46" t="s">
        <v>353</v>
      </c>
      <c r="E752" s="46" t="s">
        <v>575</v>
      </c>
      <c r="F752" s="46" t="s">
        <v>1032</v>
      </c>
      <c r="G752" s="46" t="s">
        <v>1033</v>
      </c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</row>
    <row r="753" spans="1:22" ht="15.75" customHeight="1" x14ac:dyDescent="0.2">
      <c r="A753" s="40"/>
      <c r="B753" s="45" t="s">
        <v>94</v>
      </c>
      <c r="C753" s="46" t="s">
        <v>1047</v>
      </c>
      <c r="D753" s="46" t="s">
        <v>31</v>
      </c>
      <c r="E753" s="46" t="s">
        <v>1048</v>
      </c>
      <c r="F753" s="46" t="s">
        <v>1032</v>
      </c>
      <c r="G753" s="46" t="s">
        <v>1033</v>
      </c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</row>
    <row r="754" spans="1:22" ht="15.75" customHeight="1" x14ac:dyDescent="0.2">
      <c r="A754" s="40"/>
      <c r="B754" s="45" t="s">
        <v>94</v>
      </c>
      <c r="C754" s="46" t="s">
        <v>1047</v>
      </c>
      <c r="D754" s="46" t="s">
        <v>1049</v>
      </c>
      <c r="E754" s="46" t="s">
        <v>1048</v>
      </c>
      <c r="F754" s="46" t="s">
        <v>1032</v>
      </c>
      <c r="G754" s="46" t="s">
        <v>1033</v>
      </c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</row>
    <row r="755" spans="1:22" ht="15.75" customHeight="1" x14ac:dyDescent="0.2">
      <c r="A755" s="40">
        <v>227</v>
      </c>
      <c r="B755" s="41" t="s">
        <v>946</v>
      </c>
      <c r="C755" s="42" t="s">
        <v>1050</v>
      </c>
      <c r="D755" s="42" t="s">
        <v>339</v>
      </c>
      <c r="E755" s="42" t="s">
        <v>393</v>
      </c>
      <c r="F755" s="42" t="s">
        <v>1032</v>
      </c>
      <c r="G755" s="42" t="s">
        <v>1033</v>
      </c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</row>
    <row r="756" spans="1:22" ht="15.75" customHeight="1" x14ac:dyDescent="0.2">
      <c r="A756" s="40">
        <v>455</v>
      </c>
      <c r="B756" s="41" t="s">
        <v>674</v>
      </c>
      <c r="C756" s="42" t="s">
        <v>1051</v>
      </c>
      <c r="D756" s="42" t="s">
        <v>104</v>
      </c>
      <c r="E756" s="42" t="s">
        <v>787</v>
      </c>
      <c r="F756" s="42" t="s">
        <v>1032</v>
      </c>
      <c r="G756" s="42" t="s">
        <v>1033</v>
      </c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</row>
    <row r="757" spans="1:22" ht="15.75" customHeight="1" x14ac:dyDescent="0.2">
      <c r="A757" s="40"/>
      <c r="B757" s="45" t="s">
        <v>94</v>
      </c>
      <c r="C757" s="46" t="s">
        <v>1052</v>
      </c>
      <c r="D757" s="46" t="s">
        <v>1053</v>
      </c>
      <c r="E757" s="46" t="s">
        <v>374</v>
      </c>
      <c r="F757" s="46" t="s">
        <v>1032</v>
      </c>
      <c r="G757" s="46" t="s">
        <v>1033</v>
      </c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</row>
    <row r="758" spans="1:22" ht="15.75" customHeight="1" x14ac:dyDescent="0.2">
      <c r="A758" s="40">
        <v>489</v>
      </c>
      <c r="B758" s="41" t="s">
        <v>445</v>
      </c>
      <c r="C758" s="42" t="s">
        <v>873</v>
      </c>
      <c r="D758" s="42" t="s">
        <v>1054</v>
      </c>
      <c r="E758" s="42" t="s">
        <v>319</v>
      </c>
      <c r="F758" s="42" t="s">
        <v>1032</v>
      </c>
      <c r="G758" s="42" t="s">
        <v>1033</v>
      </c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</row>
    <row r="759" spans="1:22" ht="15.75" customHeight="1" x14ac:dyDescent="0.2">
      <c r="A759" s="40">
        <v>2665</v>
      </c>
      <c r="B759" s="41" t="s">
        <v>1055</v>
      </c>
      <c r="C759" s="42" t="s">
        <v>1056</v>
      </c>
      <c r="D759" s="42" t="s">
        <v>292</v>
      </c>
      <c r="E759" s="42" t="s">
        <v>129</v>
      </c>
      <c r="F759" s="42" t="s">
        <v>1032</v>
      </c>
      <c r="G759" s="42" t="s">
        <v>1033</v>
      </c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</row>
    <row r="760" spans="1:22" ht="15.75" customHeight="1" x14ac:dyDescent="0.2">
      <c r="A760" s="40">
        <v>2643</v>
      </c>
      <c r="B760" s="41" t="s">
        <v>702</v>
      </c>
      <c r="C760" s="42" t="s">
        <v>1057</v>
      </c>
      <c r="D760" s="42" t="s">
        <v>116</v>
      </c>
      <c r="E760" s="42" t="s">
        <v>1058</v>
      </c>
      <c r="F760" s="42" t="s">
        <v>1032</v>
      </c>
      <c r="G760" s="42" t="s">
        <v>1033</v>
      </c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</row>
    <row r="761" spans="1:22" ht="15.75" customHeight="1" x14ac:dyDescent="0.2">
      <c r="A761" s="40">
        <v>397</v>
      </c>
      <c r="B761" s="41" t="s">
        <v>246</v>
      </c>
      <c r="C761" s="42" t="s">
        <v>1059</v>
      </c>
      <c r="D761" s="42" t="s">
        <v>116</v>
      </c>
      <c r="E761" s="42" t="s">
        <v>79</v>
      </c>
      <c r="F761" s="42" t="s">
        <v>1032</v>
      </c>
      <c r="G761" s="42" t="s">
        <v>1033</v>
      </c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</row>
    <row r="762" spans="1:22" ht="15.75" customHeight="1" x14ac:dyDescent="0.2">
      <c r="A762" s="40">
        <v>399</v>
      </c>
      <c r="B762" s="41" t="s">
        <v>246</v>
      </c>
      <c r="C762" s="42" t="s">
        <v>1060</v>
      </c>
      <c r="D762" s="42" t="s">
        <v>58</v>
      </c>
      <c r="E762" s="42" t="s">
        <v>306</v>
      </c>
      <c r="F762" s="42" t="s">
        <v>1032</v>
      </c>
      <c r="G762" s="42" t="s">
        <v>1033</v>
      </c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</row>
    <row r="763" spans="1:22" ht="15.75" customHeight="1" x14ac:dyDescent="0.2">
      <c r="A763" s="40">
        <v>2645</v>
      </c>
      <c r="B763" s="41" t="s">
        <v>702</v>
      </c>
      <c r="C763" s="42" t="s">
        <v>729</v>
      </c>
      <c r="D763" s="42" t="s">
        <v>269</v>
      </c>
      <c r="E763" s="42" t="s">
        <v>424</v>
      </c>
      <c r="F763" s="42" t="s">
        <v>1032</v>
      </c>
      <c r="G763" s="42" t="s">
        <v>1033</v>
      </c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</row>
    <row r="764" spans="1:22" ht="15.75" customHeight="1" x14ac:dyDescent="0.2">
      <c r="A764" s="40"/>
      <c r="B764" s="45" t="s">
        <v>94</v>
      </c>
      <c r="C764" s="46" t="s">
        <v>1061</v>
      </c>
      <c r="D764" s="46" t="s">
        <v>437</v>
      </c>
      <c r="E764" s="46" t="s">
        <v>571</v>
      </c>
      <c r="F764" s="46" t="s">
        <v>1032</v>
      </c>
      <c r="G764" s="46" t="s">
        <v>1033</v>
      </c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</row>
    <row r="765" spans="1:22" ht="15.75" customHeight="1" x14ac:dyDescent="0.2">
      <c r="A765" s="40"/>
      <c r="B765" s="45" t="s">
        <v>94</v>
      </c>
      <c r="C765" s="46" t="s">
        <v>1062</v>
      </c>
      <c r="D765" s="46" t="s">
        <v>574</v>
      </c>
      <c r="E765" s="46" t="s">
        <v>676</v>
      </c>
      <c r="F765" s="46" t="s">
        <v>1032</v>
      </c>
      <c r="G765" s="46" t="s">
        <v>1033</v>
      </c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</row>
    <row r="766" spans="1:22" ht="15.75" customHeight="1" x14ac:dyDescent="0.2">
      <c r="A766" s="40">
        <v>289</v>
      </c>
      <c r="B766" s="41" t="s">
        <v>628</v>
      </c>
      <c r="C766" s="42" t="s">
        <v>1063</v>
      </c>
      <c r="D766" s="42" t="s">
        <v>554</v>
      </c>
      <c r="E766" s="42" t="s">
        <v>306</v>
      </c>
      <c r="F766" s="42" t="s">
        <v>1032</v>
      </c>
      <c r="G766" s="42" t="s">
        <v>1033</v>
      </c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</row>
    <row r="767" spans="1:22" ht="15.75" customHeight="1" x14ac:dyDescent="0.2">
      <c r="A767" s="40">
        <v>457</v>
      </c>
      <c r="B767" s="41" t="s">
        <v>674</v>
      </c>
      <c r="C767" s="42" t="s">
        <v>1064</v>
      </c>
      <c r="D767" s="42" t="s">
        <v>353</v>
      </c>
      <c r="E767" s="42" t="s">
        <v>1065</v>
      </c>
      <c r="F767" s="42" t="s">
        <v>1032</v>
      </c>
      <c r="G767" s="42" t="s">
        <v>1033</v>
      </c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</row>
    <row r="768" spans="1:22" ht="15.75" customHeight="1" x14ac:dyDescent="0.2">
      <c r="A768" s="40">
        <v>2845</v>
      </c>
      <c r="B768" s="41" t="s">
        <v>654</v>
      </c>
      <c r="C768" s="42" t="s">
        <v>1066</v>
      </c>
      <c r="D768" s="42" t="s">
        <v>309</v>
      </c>
      <c r="E768" s="42" t="s">
        <v>32</v>
      </c>
      <c r="F768" s="42" t="s">
        <v>1032</v>
      </c>
      <c r="G768" s="42" t="s">
        <v>1033</v>
      </c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</row>
    <row r="769" spans="1:22" ht="15.75" customHeight="1" x14ac:dyDescent="0.2">
      <c r="A769" s="40">
        <v>87</v>
      </c>
      <c r="B769" s="41" t="s">
        <v>226</v>
      </c>
      <c r="C769" s="42" t="s">
        <v>1066</v>
      </c>
      <c r="D769" s="42" t="s">
        <v>989</v>
      </c>
      <c r="E769" s="42" t="s">
        <v>32</v>
      </c>
      <c r="F769" s="42" t="s">
        <v>1032</v>
      </c>
      <c r="G769" s="42" t="s">
        <v>1033</v>
      </c>
    </row>
    <row r="770" spans="1:22" ht="15.75" customHeight="1" x14ac:dyDescent="0.2">
      <c r="A770" s="40"/>
      <c r="B770" s="45" t="s">
        <v>94</v>
      </c>
      <c r="C770" s="46" t="s">
        <v>1066</v>
      </c>
      <c r="D770" s="46" t="s">
        <v>989</v>
      </c>
      <c r="E770" s="46" t="s">
        <v>32</v>
      </c>
      <c r="F770" s="46" t="s">
        <v>1032</v>
      </c>
      <c r="G770" s="46" t="s">
        <v>1033</v>
      </c>
    </row>
    <row r="771" spans="1:22" ht="15.75" customHeight="1" x14ac:dyDescent="0.2">
      <c r="A771" s="40"/>
      <c r="B771" s="45" t="s">
        <v>94</v>
      </c>
      <c r="C771" s="46" t="s">
        <v>1066</v>
      </c>
      <c r="D771" s="46" t="s">
        <v>124</v>
      </c>
      <c r="E771" s="46" t="s">
        <v>32</v>
      </c>
      <c r="F771" s="46" t="s">
        <v>1032</v>
      </c>
      <c r="G771" s="46" t="s">
        <v>1033</v>
      </c>
    </row>
    <row r="772" spans="1:22" ht="15.75" customHeight="1" x14ac:dyDescent="0.2">
      <c r="A772" s="40">
        <v>549</v>
      </c>
      <c r="B772" s="41" t="s">
        <v>678</v>
      </c>
      <c r="C772" s="42" t="s">
        <v>1067</v>
      </c>
      <c r="D772" s="42" t="s">
        <v>1068</v>
      </c>
      <c r="E772" s="42" t="s">
        <v>134</v>
      </c>
      <c r="F772" s="42" t="s">
        <v>1032</v>
      </c>
      <c r="G772" s="42" t="s">
        <v>1033</v>
      </c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</row>
    <row r="773" spans="1:22" ht="15.75" customHeight="1" x14ac:dyDescent="0.2">
      <c r="A773" s="40">
        <v>291</v>
      </c>
      <c r="B773" s="41" t="s">
        <v>628</v>
      </c>
      <c r="C773" s="42" t="s">
        <v>1069</v>
      </c>
      <c r="D773" s="42" t="s">
        <v>1070</v>
      </c>
      <c r="E773" s="42" t="s">
        <v>79</v>
      </c>
      <c r="F773" s="42" t="s">
        <v>1032</v>
      </c>
      <c r="G773" s="42" t="s">
        <v>1033</v>
      </c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</row>
    <row r="774" spans="1:22" ht="15.75" customHeight="1" x14ac:dyDescent="0.2">
      <c r="A774" s="40">
        <v>2847</v>
      </c>
      <c r="B774" s="41" t="s">
        <v>654</v>
      </c>
      <c r="C774" s="42" t="s">
        <v>1071</v>
      </c>
      <c r="D774" s="42" t="s">
        <v>516</v>
      </c>
      <c r="E774" s="42" t="s">
        <v>306</v>
      </c>
      <c r="F774" s="42" t="s">
        <v>1032</v>
      </c>
      <c r="G774" s="42" t="s">
        <v>1033</v>
      </c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</row>
    <row r="775" spans="1:22" ht="15.75" customHeight="1" x14ac:dyDescent="0.2">
      <c r="A775" s="40">
        <v>89</v>
      </c>
      <c r="B775" s="41" t="s">
        <v>707</v>
      </c>
      <c r="C775" s="42" t="s">
        <v>1072</v>
      </c>
      <c r="D775" s="42" t="s">
        <v>51</v>
      </c>
      <c r="E775" s="42" t="s">
        <v>129</v>
      </c>
      <c r="F775" s="42" t="s">
        <v>1032</v>
      </c>
      <c r="G775" s="42" t="s">
        <v>1033</v>
      </c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</row>
    <row r="776" spans="1:22" ht="15.75" customHeight="1" x14ac:dyDescent="0.2">
      <c r="A776" s="40">
        <v>89</v>
      </c>
      <c r="B776" s="41" t="s">
        <v>226</v>
      </c>
      <c r="C776" s="42" t="s">
        <v>1073</v>
      </c>
      <c r="D776" s="42" t="s">
        <v>1074</v>
      </c>
      <c r="E776" s="42" t="s">
        <v>1075</v>
      </c>
      <c r="F776" s="42" t="s">
        <v>1032</v>
      </c>
      <c r="G776" s="42" t="s">
        <v>1033</v>
      </c>
    </row>
    <row r="777" spans="1:22" ht="15.75" customHeight="1" x14ac:dyDescent="0.2">
      <c r="A777" s="40">
        <v>1023</v>
      </c>
      <c r="B777" s="41" t="s">
        <v>1076</v>
      </c>
      <c r="C777" s="42" t="s">
        <v>1077</v>
      </c>
      <c r="D777" s="42" t="s">
        <v>266</v>
      </c>
      <c r="E777" s="42" t="s">
        <v>1078</v>
      </c>
      <c r="F777" s="42" t="s">
        <v>1079</v>
      </c>
      <c r="G777" s="42" t="s">
        <v>1033</v>
      </c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</row>
    <row r="778" spans="1:22" ht="15.75" customHeight="1" x14ac:dyDescent="0.2">
      <c r="A778" s="40">
        <v>1747</v>
      </c>
      <c r="B778" s="41" t="s">
        <v>465</v>
      </c>
      <c r="C778" s="42" t="s">
        <v>1077</v>
      </c>
      <c r="D778" s="42" t="s">
        <v>266</v>
      </c>
      <c r="E778" s="42" t="s">
        <v>1078</v>
      </c>
      <c r="F778" s="42" t="s">
        <v>1079</v>
      </c>
      <c r="G778" s="42" t="s">
        <v>1033</v>
      </c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</row>
    <row r="779" spans="1:22" ht="15.75" customHeight="1" x14ac:dyDescent="0.2">
      <c r="A779" s="40">
        <v>1169</v>
      </c>
      <c r="B779" s="41" t="s">
        <v>433</v>
      </c>
      <c r="C779" s="42" t="s">
        <v>1080</v>
      </c>
      <c r="D779" s="42" t="s">
        <v>353</v>
      </c>
      <c r="E779" s="42" t="s">
        <v>1081</v>
      </c>
      <c r="F779" s="42" t="s">
        <v>1079</v>
      </c>
      <c r="G779" s="42" t="s">
        <v>1033</v>
      </c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</row>
    <row r="780" spans="1:22" ht="15.75" customHeight="1" x14ac:dyDescent="0.2">
      <c r="A780" s="40">
        <v>2519</v>
      </c>
      <c r="B780" s="41" t="s">
        <v>434</v>
      </c>
      <c r="C780" s="42" t="s">
        <v>1080</v>
      </c>
      <c r="D780" s="42" t="s">
        <v>353</v>
      </c>
      <c r="E780" s="42" t="s">
        <v>1081</v>
      </c>
      <c r="F780" s="42" t="s">
        <v>1079</v>
      </c>
      <c r="G780" s="42" t="s">
        <v>1033</v>
      </c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</row>
    <row r="781" spans="1:22" ht="15.75" customHeight="1" x14ac:dyDescent="0.2">
      <c r="A781" s="40">
        <v>1555</v>
      </c>
      <c r="B781" s="41" t="s">
        <v>377</v>
      </c>
      <c r="C781" s="42" t="s">
        <v>1082</v>
      </c>
      <c r="D781" s="42" t="s">
        <v>574</v>
      </c>
      <c r="E781" s="42" t="s">
        <v>1083</v>
      </c>
      <c r="F781" s="42" t="s">
        <v>1079</v>
      </c>
      <c r="G781" s="42" t="s">
        <v>1033</v>
      </c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</row>
    <row r="782" spans="1:22" ht="15.75" customHeight="1" x14ac:dyDescent="0.2">
      <c r="A782" s="40">
        <v>1685</v>
      </c>
      <c r="B782" s="41" t="s">
        <v>270</v>
      </c>
      <c r="C782" s="42" t="s">
        <v>1084</v>
      </c>
      <c r="D782" s="42" t="s">
        <v>58</v>
      </c>
      <c r="E782" s="42" t="s">
        <v>306</v>
      </c>
      <c r="F782" s="42" t="s">
        <v>1079</v>
      </c>
      <c r="G782" s="42" t="s">
        <v>1033</v>
      </c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</row>
    <row r="783" spans="1:22" ht="15.75" customHeight="1" x14ac:dyDescent="0.2">
      <c r="A783" s="40">
        <v>1671</v>
      </c>
      <c r="B783" s="41" t="s">
        <v>435</v>
      </c>
      <c r="C783" s="42" t="s">
        <v>1085</v>
      </c>
      <c r="D783" s="42" t="s">
        <v>183</v>
      </c>
      <c r="E783" s="42" t="s">
        <v>79</v>
      </c>
      <c r="F783" s="42" t="s">
        <v>1079</v>
      </c>
      <c r="G783" s="42" t="s">
        <v>1033</v>
      </c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</row>
    <row r="784" spans="1:22" ht="15.75" customHeight="1" x14ac:dyDescent="0.2">
      <c r="A784" s="40"/>
      <c r="B784" s="45" t="s">
        <v>122</v>
      </c>
      <c r="C784" s="46" t="s">
        <v>1086</v>
      </c>
      <c r="D784" s="46" t="s">
        <v>554</v>
      </c>
      <c r="E784" s="46" t="s">
        <v>571</v>
      </c>
      <c r="F784" s="46" t="s">
        <v>1079</v>
      </c>
      <c r="G784" s="46" t="s">
        <v>1033</v>
      </c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</row>
    <row r="785" spans="1:22" ht="15.75" customHeight="1" x14ac:dyDescent="0.2">
      <c r="A785" s="40"/>
      <c r="B785" s="45" t="s">
        <v>126</v>
      </c>
      <c r="C785" s="46" t="s">
        <v>1086</v>
      </c>
      <c r="D785" s="46" t="s">
        <v>554</v>
      </c>
      <c r="E785" s="46" t="s">
        <v>571</v>
      </c>
      <c r="F785" s="46" t="s">
        <v>1079</v>
      </c>
      <c r="G785" s="46" t="s">
        <v>1033</v>
      </c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</row>
    <row r="786" spans="1:22" ht="15.75" customHeight="1" x14ac:dyDescent="0.2">
      <c r="A786" s="40">
        <v>1179</v>
      </c>
      <c r="B786" s="41" t="s">
        <v>256</v>
      </c>
      <c r="C786" s="42" t="s">
        <v>1087</v>
      </c>
      <c r="D786" s="42" t="s">
        <v>355</v>
      </c>
      <c r="E786" s="42" t="s">
        <v>319</v>
      </c>
      <c r="F786" s="42" t="s">
        <v>1079</v>
      </c>
      <c r="G786" s="42" t="s">
        <v>1033</v>
      </c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</row>
    <row r="787" spans="1:22" ht="15.75" customHeight="1" x14ac:dyDescent="0.2">
      <c r="A787" s="40">
        <v>2865</v>
      </c>
      <c r="B787" s="41" t="s">
        <v>519</v>
      </c>
      <c r="C787" s="42" t="s">
        <v>644</v>
      </c>
      <c r="D787" s="42" t="s">
        <v>513</v>
      </c>
      <c r="E787" s="42" t="s">
        <v>18</v>
      </c>
      <c r="F787" s="42" t="s">
        <v>1079</v>
      </c>
      <c r="G787" s="42" t="s">
        <v>1033</v>
      </c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</row>
    <row r="788" spans="1:22" ht="15.75" customHeight="1" x14ac:dyDescent="0.2">
      <c r="A788" s="40">
        <v>1609</v>
      </c>
      <c r="B788" s="41" t="s">
        <v>264</v>
      </c>
      <c r="C788" s="42" t="s">
        <v>1088</v>
      </c>
      <c r="D788" s="42" t="s">
        <v>491</v>
      </c>
      <c r="E788" s="42" t="s">
        <v>79</v>
      </c>
      <c r="F788" s="42" t="s">
        <v>1079</v>
      </c>
      <c r="G788" s="42" t="s">
        <v>1033</v>
      </c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</row>
    <row r="789" spans="1:22" ht="15.75" customHeight="1" x14ac:dyDescent="0.2">
      <c r="A789" s="40">
        <v>1391</v>
      </c>
      <c r="B789" s="41" t="s">
        <v>601</v>
      </c>
      <c r="C789" s="42" t="s">
        <v>1089</v>
      </c>
      <c r="D789" s="42" t="s">
        <v>183</v>
      </c>
      <c r="E789" s="42" t="s">
        <v>1090</v>
      </c>
      <c r="F789" s="42" t="s">
        <v>1079</v>
      </c>
      <c r="G789" s="42" t="s">
        <v>1033</v>
      </c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</row>
    <row r="790" spans="1:22" ht="15.75" customHeight="1" x14ac:dyDescent="0.2">
      <c r="A790" s="40">
        <v>1889</v>
      </c>
      <c r="B790" s="41" t="s">
        <v>711</v>
      </c>
      <c r="C790" s="42" t="s">
        <v>1089</v>
      </c>
      <c r="D790" s="42" t="s">
        <v>183</v>
      </c>
      <c r="E790" s="42" t="s">
        <v>1090</v>
      </c>
      <c r="F790" s="42" t="s">
        <v>1079</v>
      </c>
      <c r="G790" s="42" t="s">
        <v>1033</v>
      </c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</row>
    <row r="791" spans="1:22" ht="15.75" customHeight="1" x14ac:dyDescent="0.2">
      <c r="A791" s="40"/>
      <c r="B791" s="45" t="s">
        <v>122</v>
      </c>
      <c r="C791" s="46" t="s">
        <v>1091</v>
      </c>
      <c r="D791" s="46" t="s">
        <v>78</v>
      </c>
      <c r="E791" s="46" t="s">
        <v>306</v>
      </c>
      <c r="F791" s="46" t="s">
        <v>1079</v>
      </c>
      <c r="G791" s="46" t="s">
        <v>1033</v>
      </c>
    </row>
    <row r="792" spans="1:22" ht="15.75" customHeight="1" x14ac:dyDescent="0.2">
      <c r="A792" s="40"/>
      <c r="B792" s="45" t="s">
        <v>126</v>
      </c>
      <c r="C792" s="46" t="s">
        <v>1091</v>
      </c>
      <c r="D792" s="46" t="s">
        <v>78</v>
      </c>
      <c r="E792" s="46" t="s">
        <v>306</v>
      </c>
      <c r="F792" s="46" t="s">
        <v>1079</v>
      </c>
      <c r="G792" s="46" t="s">
        <v>1033</v>
      </c>
    </row>
    <row r="793" spans="1:22" ht="15.75" customHeight="1" x14ac:dyDescent="0.2">
      <c r="A793" s="40"/>
      <c r="B793" s="45" t="s">
        <v>315</v>
      </c>
      <c r="C793" s="46" t="s">
        <v>1092</v>
      </c>
      <c r="D793" s="46" t="s">
        <v>526</v>
      </c>
      <c r="E793" s="46" t="s">
        <v>530</v>
      </c>
      <c r="F793" s="46" t="s">
        <v>1079</v>
      </c>
      <c r="G793" s="46" t="s">
        <v>1033</v>
      </c>
    </row>
    <row r="794" spans="1:22" ht="15.75" customHeight="1" x14ac:dyDescent="0.2">
      <c r="A794" s="40">
        <v>45</v>
      </c>
      <c r="B794" s="41" t="s">
        <v>226</v>
      </c>
      <c r="C794" s="42" t="s">
        <v>737</v>
      </c>
      <c r="D794" s="42" t="s">
        <v>39</v>
      </c>
      <c r="E794" s="42" t="s">
        <v>393</v>
      </c>
      <c r="F794" s="42" t="s">
        <v>1079</v>
      </c>
      <c r="G794" s="42" t="s">
        <v>1033</v>
      </c>
    </row>
    <row r="795" spans="1:22" ht="15.75" customHeight="1" x14ac:dyDescent="0.2">
      <c r="A795" s="40"/>
      <c r="B795" s="45" t="s">
        <v>94</v>
      </c>
      <c r="C795" s="46" t="s">
        <v>737</v>
      </c>
      <c r="D795" s="46" t="s">
        <v>39</v>
      </c>
      <c r="E795" s="46" t="s">
        <v>393</v>
      </c>
      <c r="F795" s="46" t="s">
        <v>1079</v>
      </c>
      <c r="G795" s="46" t="s">
        <v>1033</v>
      </c>
    </row>
    <row r="796" spans="1:22" ht="15.75" customHeight="1" x14ac:dyDescent="0.2">
      <c r="A796" s="40"/>
      <c r="B796" s="45" t="s">
        <v>94</v>
      </c>
      <c r="C796" s="46" t="s">
        <v>1093</v>
      </c>
      <c r="D796" s="46" t="s">
        <v>78</v>
      </c>
      <c r="E796" s="46" t="s">
        <v>310</v>
      </c>
      <c r="F796" s="46" t="s">
        <v>1094</v>
      </c>
      <c r="G796" s="46" t="s">
        <v>1033</v>
      </c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</row>
    <row r="797" spans="1:22" ht="15.75" customHeight="1" x14ac:dyDescent="0.2">
      <c r="A797" s="40"/>
      <c r="B797" s="45" t="s">
        <v>728</v>
      </c>
      <c r="C797" s="46" t="s">
        <v>1093</v>
      </c>
      <c r="D797" s="46" t="s">
        <v>78</v>
      </c>
      <c r="E797" s="46" t="s">
        <v>310</v>
      </c>
      <c r="F797" s="46" t="s">
        <v>1094</v>
      </c>
      <c r="G797" s="46" t="s">
        <v>1033</v>
      </c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</row>
    <row r="798" spans="1:22" ht="15.75" customHeight="1" x14ac:dyDescent="0.2">
      <c r="A798" s="40"/>
      <c r="B798" s="45" t="s">
        <v>94</v>
      </c>
      <c r="C798" s="46" t="s">
        <v>1095</v>
      </c>
      <c r="D798" s="46" t="s">
        <v>511</v>
      </c>
      <c r="E798" s="46" t="s">
        <v>371</v>
      </c>
      <c r="F798" s="46" t="s">
        <v>1094</v>
      </c>
      <c r="G798" s="46" t="s">
        <v>1033</v>
      </c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</row>
    <row r="799" spans="1:22" ht="15.75" customHeight="1" x14ac:dyDescent="0.2">
      <c r="A799" s="40"/>
      <c r="B799" s="45" t="s">
        <v>728</v>
      </c>
      <c r="C799" s="46" t="s">
        <v>1095</v>
      </c>
      <c r="D799" s="46" t="s">
        <v>511</v>
      </c>
      <c r="E799" s="46" t="s">
        <v>371</v>
      </c>
      <c r="F799" s="46" t="s">
        <v>1094</v>
      </c>
      <c r="G799" s="46" t="s">
        <v>1033</v>
      </c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</row>
    <row r="800" spans="1:22" ht="15.75" customHeight="1" x14ac:dyDescent="0.2">
      <c r="A800" s="40">
        <v>147</v>
      </c>
      <c r="B800" s="41" t="s">
        <v>460</v>
      </c>
      <c r="C800" s="42" t="s">
        <v>1096</v>
      </c>
      <c r="D800" s="42" t="s">
        <v>266</v>
      </c>
      <c r="E800" s="42" t="s">
        <v>1097</v>
      </c>
      <c r="F800" s="42" t="s">
        <v>1094</v>
      </c>
      <c r="G800" s="42" t="s">
        <v>1033</v>
      </c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</row>
    <row r="801" spans="1:22" ht="15.75" customHeight="1" x14ac:dyDescent="0.2">
      <c r="A801" s="40">
        <v>257</v>
      </c>
      <c r="B801" s="41" t="s">
        <v>243</v>
      </c>
      <c r="C801" s="42" t="s">
        <v>1096</v>
      </c>
      <c r="D801" s="42" t="s">
        <v>266</v>
      </c>
      <c r="E801" s="42" t="s">
        <v>1097</v>
      </c>
      <c r="F801" s="42" t="s">
        <v>1094</v>
      </c>
      <c r="G801" s="42" t="s">
        <v>1033</v>
      </c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</row>
    <row r="802" spans="1:22" ht="15.75" customHeight="1" x14ac:dyDescent="0.2">
      <c r="A802" s="40">
        <v>1099</v>
      </c>
      <c r="B802" s="41" t="s">
        <v>641</v>
      </c>
      <c r="C802" s="42" t="s">
        <v>1096</v>
      </c>
      <c r="D802" s="42" t="s">
        <v>266</v>
      </c>
      <c r="E802" s="42" t="s">
        <v>1097</v>
      </c>
      <c r="F802" s="42" t="s">
        <v>1094</v>
      </c>
      <c r="G802" s="42" t="s">
        <v>1033</v>
      </c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</row>
    <row r="803" spans="1:22" ht="15.75" customHeight="1" x14ac:dyDescent="0.2">
      <c r="A803" s="40">
        <v>2699</v>
      </c>
      <c r="B803" s="41" t="s">
        <v>1098</v>
      </c>
      <c r="C803" s="42" t="s">
        <v>1096</v>
      </c>
      <c r="D803" s="42" t="s">
        <v>266</v>
      </c>
      <c r="E803" s="42" t="s">
        <v>1097</v>
      </c>
      <c r="F803" s="42" t="s">
        <v>1094</v>
      </c>
      <c r="G803" s="42" t="s">
        <v>1033</v>
      </c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</row>
    <row r="804" spans="1:22" ht="15.75" customHeight="1" x14ac:dyDescent="0.2">
      <c r="A804" s="40"/>
      <c r="B804" s="45" t="s">
        <v>94</v>
      </c>
      <c r="C804" s="46" t="s">
        <v>1099</v>
      </c>
      <c r="D804" s="46" t="s">
        <v>13</v>
      </c>
      <c r="E804" s="46" t="s">
        <v>1100</v>
      </c>
      <c r="F804" s="46" t="s">
        <v>1094</v>
      </c>
      <c r="G804" s="46" t="s">
        <v>1033</v>
      </c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</row>
    <row r="805" spans="1:22" ht="15.75" customHeight="1" x14ac:dyDescent="0.2">
      <c r="A805" s="40"/>
      <c r="B805" s="45" t="s">
        <v>728</v>
      </c>
      <c r="C805" s="46" t="s">
        <v>1099</v>
      </c>
      <c r="D805" s="46" t="s">
        <v>13</v>
      </c>
      <c r="E805" s="46" t="s">
        <v>1100</v>
      </c>
      <c r="F805" s="46" t="s">
        <v>1094</v>
      </c>
      <c r="G805" s="46" t="s">
        <v>1033</v>
      </c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</row>
    <row r="806" spans="1:22" ht="15.75" customHeight="1" x14ac:dyDescent="0.2">
      <c r="A806" s="40">
        <v>625</v>
      </c>
      <c r="B806" s="41" t="s">
        <v>248</v>
      </c>
      <c r="C806" s="42" t="s">
        <v>1101</v>
      </c>
      <c r="D806" s="42" t="s">
        <v>1102</v>
      </c>
      <c r="E806" s="42" t="s">
        <v>1100</v>
      </c>
      <c r="F806" s="42" t="s">
        <v>1094</v>
      </c>
      <c r="G806" s="42" t="s">
        <v>1033</v>
      </c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</row>
    <row r="807" spans="1:22" ht="15.75" customHeight="1" x14ac:dyDescent="0.2">
      <c r="A807" s="40">
        <v>663</v>
      </c>
      <c r="B807" s="41" t="s">
        <v>252</v>
      </c>
      <c r="C807" s="42" t="s">
        <v>1101</v>
      </c>
      <c r="D807" s="42" t="s">
        <v>1102</v>
      </c>
      <c r="E807" s="42" t="s">
        <v>1100</v>
      </c>
      <c r="F807" s="42" t="s">
        <v>1094</v>
      </c>
      <c r="G807" s="42" t="s">
        <v>1033</v>
      </c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</row>
    <row r="808" spans="1:22" ht="15.75" customHeight="1" x14ac:dyDescent="0.2">
      <c r="A808" s="40">
        <v>805</v>
      </c>
      <c r="B808" s="41" t="s">
        <v>1103</v>
      </c>
      <c r="C808" s="42" t="s">
        <v>1101</v>
      </c>
      <c r="D808" s="42" t="s">
        <v>1102</v>
      </c>
      <c r="E808" s="42" t="s">
        <v>1100</v>
      </c>
      <c r="F808" s="42" t="s">
        <v>1094</v>
      </c>
      <c r="G808" s="42" t="s">
        <v>1033</v>
      </c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</row>
    <row r="809" spans="1:22" ht="15.75" customHeight="1" x14ac:dyDescent="0.2">
      <c r="A809" s="40">
        <v>809</v>
      </c>
      <c r="B809" s="41" t="s">
        <v>1104</v>
      </c>
      <c r="C809" s="42" t="s">
        <v>1101</v>
      </c>
      <c r="D809" s="42" t="s">
        <v>1102</v>
      </c>
      <c r="E809" s="42" t="s">
        <v>1100</v>
      </c>
      <c r="F809" s="42" t="s">
        <v>1094</v>
      </c>
      <c r="G809" s="42" t="s">
        <v>1033</v>
      </c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</row>
    <row r="810" spans="1:22" ht="15.75" customHeight="1" x14ac:dyDescent="0.2">
      <c r="A810" s="40">
        <v>751</v>
      </c>
      <c r="B810" s="41" t="s">
        <v>977</v>
      </c>
      <c r="C810" s="42" t="s">
        <v>271</v>
      </c>
      <c r="D810" s="42" t="s">
        <v>333</v>
      </c>
      <c r="E810" s="42" t="s">
        <v>187</v>
      </c>
      <c r="F810" s="42" t="s">
        <v>1094</v>
      </c>
      <c r="G810" s="42" t="s">
        <v>1033</v>
      </c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</row>
    <row r="811" spans="1:22" ht="15.75" customHeight="1" x14ac:dyDescent="0.2">
      <c r="A811" s="40">
        <v>773</v>
      </c>
      <c r="B811" s="41" t="s">
        <v>405</v>
      </c>
      <c r="C811" s="42" t="s">
        <v>271</v>
      </c>
      <c r="D811" s="42" t="s">
        <v>333</v>
      </c>
      <c r="E811" s="42" t="s">
        <v>187</v>
      </c>
      <c r="F811" s="42" t="s">
        <v>1094</v>
      </c>
      <c r="G811" s="42" t="s">
        <v>1033</v>
      </c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</row>
    <row r="812" spans="1:22" ht="15.75" customHeight="1" x14ac:dyDescent="0.2">
      <c r="A812" s="40"/>
      <c r="B812" s="45" t="s">
        <v>94</v>
      </c>
      <c r="C812" s="46" t="s">
        <v>1105</v>
      </c>
      <c r="D812" s="46" t="s">
        <v>516</v>
      </c>
      <c r="E812" s="46" t="s">
        <v>630</v>
      </c>
      <c r="F812" s="46" t="s">
        <v>1094</v>
      </c>
      <c r="G812" s="46" t="s">
        <v>1033</v>
      </c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</row>
    <row r="813" spans="1:22" ht="15.75" customHeight="1" x14ac:dyDescent="0.2">
      <c r="A813" s="40"/>
      <c r="B813" s="45" t="s">
        <v>728</v>
      </c>
      <c r="C813" s="46" t="s">
        <v>1105</v>
      </c>
      <c r="D813" s="46" t="s">
        <v>516</v>
      </c>
      <c r="E813" s="46" t="s">
        <v>630</v>
      </c>
      <c r="F813" s="46" t="s">
        <v>1094</v>
      </c>
      <c r="G813" s="46" t="s">
        <v>1033</v>
      </c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</row>
    <row r="814" spans="1:22" ht="15.75" customHeight="1" x14ac:dyDescent="0.2">
      <c r="A814" s="40"/>
      <c r="B814" s="45" t="s">
        <v>94</v>
      </c>
      <c r="C814" s="46" t="s">
        <v>1106</v>
      </c>
      <c r="D814" s="46" t="s">
        <v>1107</v>
      </c>
      <c r="E814" s="46" t="s">
        <v>787</v>
      </c>
      <c r="F814" s="46" t="s">
        <v>1094</v>
      </c>
      <c r="G814" s="46" t="s">
        <v>1033</v>
      </c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</row>
    <row r="815" spans="1:22" ht="15.75" customHeight="1" x14ac:dyDescent="0.2">
      <c r="A815" s="40"/>
      <c r="B815" s="45" t="s">
        <v>131</v>
      </c>
      <c r="C815" s="46" t="s">
        <v>1108</v>
      </c>
      <c r="D815" s="46" t="s">
        <v>86</v>
      </c>
      <c r="E815" s="46" t="s">
        <v>306</v>
      </c>
      <c r="F815" s="46" t="s">
        <v>1094</v>
      </c>
      <c r="G815" s="46" t="s">
        <v>1033</v>
      </c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</row>
    <row r="816" spans="1:22" ht="15.75" customHeight="1" x14ac:dyDescent="0.2">
      <c r="A816" s="40"/>
      <c r="B816" s="45" t="s">
        <v>303</v>
      </c>
      <c r="C816" s="46" t="s">
        <v>1108</v>
      </c>
      <c r="D816" s="46" t="s">
        <v>86</v>
      </c>
      <c r="E816" s="46" t="s">
        <v>306</v>
      </c>
      <c r="F816" s="46" t="s">
        <v>1094</v>
      </c>
      <c r="G816" s="46" t="s">
        <v>1033</v>
      </c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</row>
    <row r="817" spans="1:22" ht="15.75" customHeight="1" x14ac:dyDescent="0.2">
      <c r="A817" s="40"/>
      <c r="B817" s="45" t="s">
        <v>94</v>
      </c>
      <c r="C817" s="46" t="s">
        <v>1108</v>
      </c>
      <c r="D817" s="46" t="s">
        <v>86</v>
      </c>
      <c r="E817" s="46" t="s">
        <v>306</v>
      </c>
      <c r="F817" s="46" t="s">
        <v>1094</v>
      </c>
      <c r="G817" s="46" t="s">
        <v>1033</v>
      </c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</row>
    <row r="818" spans="1:22" ht="15.75" customHeight="1" x14ac:dyDescent="0.2">
      <c r="A818" s="40"/>
      <c r="B818" s="45" t="s">
        <v>728</v>
      </c>
      <c r="C818" s="46" t="s">
        <v>1108</v>
      </c>
      <c r="D818" s="46" t="s">
        <v>86</v>
      </c>
      <c r="E818" s="46" t="s">
        <v>306</v>
      </c>
      <c r="F818" s="46" t="s">
        <v>1094</v>
      </c>
      <c r="G818" s="46" t="s">
        <v>1033</v>
      </c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</row>
    <row r="819" spans="1:22" ht="15.75" customHeight="1" x14ac:dyDescent="0.2">
      <c r="A819" s="40"/>
      <c r="B819" s="45" t="s">
        <v>421</v>
      </c>
      <c r="C819" s="46" t="s">
        <v>1108</v>
      </c>
      <c r="D819" s="46" t="s">
        <v>39</v>
      </c>
      <c r="E819" s="46" t="s">
        <v>306</v>
      </c>
      <c r="F819" s="46" t="s">
        <v>1094</v>
      </c>
      <c r="G819" s="46" t="s">
        <v>1033</v>
      </c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</row>
    <row r="820" spans="1:22" ht="15.75" customHeight="1" x14ac:dyDescent="0.2">
      <c r="A820" s="40"/>
      <c r="B820" s="45" t="s">
        <v>307</v>
      </c>
      <c r="C820" s="46" t="s">
        <v>1108</v>
      </c>
      <c r="D820" s="46" t="s">
        <v>39</v>
      </c>
      <c r="E820" s="46" t="s">
        <v>306</v>
      </c>
      <c r="F820" s="46" t="s">
        <v>1094</v>
      </c>
      <c r="G820" s="46" t="s">
        <v>1033</v>
      </c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</row>
    <row r="821" spans="1:22" ht="15.75" customHeight="1" x14ac:dyDescent="0.2">
      <c r="A821" s="40"/>
      <c r="B821" s="45" t="s">
        <v>94</v>
      </c>
      <c r="C821" s="46" t="s">
        <v>1108</v>
      </c>
      <c r="D821" s="46" t="s">
        <v>39</v>
      </c>
      <c r="E821" s="46" t="s">
        <v>306</v>
      </c>
      <c r="F821" s="46" t="s">
        <v>1094</v>
      </c>
      <c r="G821" s="46" t="s">
        <v>1033</v>
      </c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</row>
    <row r="822" spans="1:22" ht="15.75" customHeight="1" x14ac:dyDescent="0.2">
      <c r="A822" s="40">
        <v>649</v>
      </c>
      <c r="B822" s="41" t="s">
        <v>248</v>
      </c>
      <c r="C822" s="42" t="s">
        <v>1109</v>
      </c>
      <c r="D822" s="42" t="s">
        <v>574</v>
      </c>
      <c r="E822" s="42" t="s">
        <v>319</v>
      </c>
      <c r="F822" s="42" t="s">
        <v>1094</v>
      </c>
      <c r="G822" s="42" t="s">
        <v>1033</v>
      </c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</row>
    <row r="823" spans="1:22" ht="15.75" customHeight="1" x14ac:dyDescent="0.2">
      <c r="A823" s="40">
        <v>681</v>
      </c>
      <c r="B823" s="41" t="s">
        <v>252</v>
      </c>
      <c r="C823" s="42" t="s">
        <v>1109</v>
      </c>
      <c r="D823" s="42" t="s">
        <v>574</v>
      </c>
      <c r="E823" s="42" t="s">
        <v>319</v>
      </c>
      <c r="F823" s="42" t="s">
        <v>1094</v>
      </c>
      <c r="G823" s="42" t="s">
        <v>1033</v>
      </c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</row>
    <row r="824" spans="1:22" ht="15.75" customHeight="1" x14ac:dyDescent="0.2">
      <c r="A824" s="40">
        <v>787</v>
      </c>
      <c r="B824" s="41" t="s">
        <v>691</v>
      </c>
      <c r="C824" s="42" t="s">
        <v>1110</v>
      </c>
      <c r="D824" s="42" t="s">
        <v>474</v>
      </c>
      <c r="E824" s="42" t="s">
        <v>259</v>
      </c>
      <c r="F824" s="42" t="s">
        <v>1094</v>
      </c>
      <c r="G824" s="42" t="s">
        <v>1033</v>
      </c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</row>
    <row r="825" spans="1:22" ht="15.75" customHeight="1" x14ac:dyDescent="0.2">
      <c r="A825" s="40">
        <v>799</v>
      </c>
      <c r="B825" s="41" t="s">
        <v>610</v>
      </c>
      <c r="C825" s="42" t="s">
        <v>1110</v>
      </c>
      <c r="D825" s="42" t="s">
        <v>474</v>
      </c>
      <c r="E825" s="42" t="s">
        <v>259</v>
      </c>
      <c r="F825" s="42" t="s">
        <v>1094</v>
      </c>
      <c r="G825" s="42" t="s">
        <v>1033</v>
      </c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</row>
    <row r="826" spans="1:22" ht="15.75" customHeight="1" x14ac:dyDescent="0.2">
      <c r="A826" s="40">
        <v>759</v>
      </c>
      <c r="B826" s="41" t="s">
        <v>977</v>
      </c>
      <c r="C826" s="42" t="s">
        <v>1111</v>
      </c>
      <c r="D826" s="42" t="s">
        <v>272</v>
      </c>
      <c r="E826" s="42" t="s">
        <v>397</v>
      </c>
      <c r="F826" s="42" t="s">
        <v>1094</v>
      </c>
      <c r="G826" s="42" t="s">
        <v>1033</v>
      </c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</row>
    <row r="827" spans="1:22" ht="15.75" customHeight="1" x14ac:dyDescent="0.2">
      <c r="A827" s="40">
        <v>767</v>
      </c>
      <c r="B827" s="41" t="s">
        <v>1112</v>
      </c>
      <c r="C827" s="42" t="s">
        <v>1111</v>
      </c>
      <c r="D827" s="42" t="s">
        <v>272</v>
      </c>
      <c r="E827" s="42" t="s">
        <v>397</v>
      </c>
      <c r="F827" s="42" t="s">
        <v>1094</v>
      </c>
      <c r="G827" s="42" t="s">
        <v>1033</v>
      </c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</row>
    <row r="828" spans="1:22" ht="15.75" customHeight="1" x14ac:dyDescent="0.2">
      <c r="A828" s="40"/>
      <c r="B828" s="45" t="s">
        <v>94</v>
      </c>
      <c r="C828" s="46" t="s">
        <v>1113</v>
      </c>
      <c r="D828" s="46" t="s">
        <v>383</v>
      </c>
      <c r="E828" s="46" t="s">
        <v>40</v>
      </c>
      <c r="F828" s="46" t="s">
        <v>1094</v>
      </c>
      <c r="G828" s="46" t="s">
        <v>1033</v>
      </c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</row>
    <row r="829" spans="1:22" ht="15.75" customHeight="1" x14ac:dyDescent="0.2">
      <c r="A829" s="40">
        <v>623</v>
      </c>
      <c r="B829" s="41" t="s">
        <v>248</v>
      </c>
      <c r="C829" s="42" t="s">
        <v>1114</v>
      </c>
      <c r="D829" s="42" t="s">
        <v>355</v>
      </c>
      <c r="E829" s="42" t="s">
        <v>134</v>
      </c>
      <c r="F829" s="42" t="s">
        <v>1094</v>
      </c>
      <c r="G829" s="42" t="s">
        <v>1033</v>
      </c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</row>
    <row r="830" spans="1:22" ht="15.75" customHeight="1" x14ac:dyDescent="0.2">
      <c r="A830" s="40">
        <v>661</v>
      </c>
      <c r="B830" s="41" t="s">
        <v>252</v>
      </c>
      <c r="C830" s="42" t="s">
        <v>1114</v>
      </c>
      <c r="D830" s="42" t="s">
        <v>355</v>
      </c>
      <c r="E830" s="42" t="s">
        <v>134</v>
      </c>
      <c r="F830" s="42" t="s">
        <v>1094</v>
      </c>
      <c r="G830" s="42" t="s">
        <v>1033</v>
      </c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</row>
    <row r="831" spans="1:22" ht="15.75" customHeight="1" x14ac:dyDescent="0.2">
      <c r="A831" s="40">
        <v>1569</v>
      </c>
      <c r="B831" s="41" t="s">
        <v>585</v>
      </c>
      <c r="C831" s="42" t="s">
        <v>1114</v>
      </c>
      <c r="D831" s="42" t="s">
        <v>355</v>
      </c>
      <c r="E831" s="42" t="s">
        <v>134</v>
      </c>
      <c r="F831" s="42" t="s">
        <v>1094</v>
      </c>
      <c r="G831" s="42" t="s">
        <v>1033</v>
      </c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</row>
    <row r="832" spans="1:22" ht="15.75" customHeight="1" x14ac:dyDescent="0.2">
      <c r="A832" s="40"/>
      <c r="B832" s="45" t="s">
        <v>300</v>
      </c>
      <c r="C832" s="46" t="s">
        <v>1115</v>
      </c>
      <c r="D832" s="46" t="s">
        <v>522</v>
      </c>
      <c r="E832" s="46" t="s">
        <v>337</v>
      </c>
      <c r="F832" s="46" t="s">
        <v>1094</v>
      </c>
      <c r="G832" s="46" t="s">
        <v>1033</v>
      </c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</row>
    <row r="833" spans="1:22" ht="15.75" customHeight="1" x14ac:dyDescent="0.2">
      <c r="A833" s="40"/>
      <c r="B833" s="45" t="s">
        <v>102</v>
      </c>
      <c r="C833" s="46" t="s">
        <v>1115</v>
      </c>
      <c r="D833" s="46" t="s">
        <v>522</v>
      </c>
      <c r="E833" s="46" t="s">
        <v>337</v>
      </c>
      <c r="F833" s="46" t="s">
        <v>1094</v>
      </c>
      <c r="G833" s="46" t="s">
        <v>1033</v>
      </c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</row>
    <row r="834" spans="1:22" ht="15.75" customHeight="1" x14ac:dyDescent="0.2">
      <c r="A834" s="40">
        <v>679</v>
      </c>
      <c r="B834" s="41" t="s">
        <v>252</v>
      </c>
      <c r="C834" s="42" t="s">
        <v>1116</v>
      </c>
      <c r="D834" s="42" t="s">
        <v>1117</v>
      </c>
      <c r="E834" s="42" t="s">
        <v>720</v>
      </c>
      <c r="F834" s="42" t="s">
        <v>1094</v>
      </c>
      <c r="G834" s="42" t="s">
        <v>1033</v>
      </c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</row>
    <row r="835" spans="1:22" ht="15.75" customHeight="1" x14ac:dyDescent="0.2">
      <c r="A835" s="40">
        <v>2723</v>
      </c>
      <c r="B835" s="41" t="s">
        <v>703</v>
      </c>
      <c r="C835" s="42" t="s">
        <v>1116</v>
      </c>
      <c r="D835" s="42" t="s">
        <v>1117</v>
      </c>
      <c r="E835" s="42" t="s">
        <v>720</v>
      </c>
      <c r="F835" s="42" t="s">
        <v>1094</v>
      </c>
      <c r="G835" s="42" t="s">
        <v>1033</v>
      </c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</row>
    <row r="836" spans="1:22" ht="15.75" customHeight="1" x14ac:dyDescent="0.2">
      <c r="A836" s="40">
        <v>295</v>
      </c>
      <c r="B836" s="41" t="s">
        <v>726</v>
      </c>
      <c r="C836" s="42" t="s">
        <v>1118</v>
      </c>
      <c r="D836" s="42" t="s">
        <v>1119</v>
      </c>
      <c r="E836" s="42" t="s">
        <v>1120</v>
      </c>
      <c r="F836" s="42" t="s">
        <v>1094</v>
      </c>
      <c r="G836" s="42" t="s">
        <v>1033</v>
      </c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</row>
    <row r="837" spans="1:22" ht="15.75" customHeight="1" x14ac:dyDescent="0.2">
      <c r="A837" s="40">
        <v>163</v>
      </c>
      <c r="B837" s="41" t="s">
        <v>1121</v>
      </c>
      <c r="C837" s="42" t="s">
        <v>1122</v>
      </c>
      <c r="D837" s="42" t="s">
        <v>1123</v>
      </c>
      <c r="E837" s="42" t="s">
        <v>1124</v>
      </c>
      <c r="F837" s="42" t="s">
        <v>1094</v>
      </c>
      <c r="G837" s="42" t="s">
        <v>1033</v>
      </c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</row>
    <row r="838" spans="1:22" ht="15.75" customHeight="1" x14ac:dyDescent="0.2">
      <c r="A838" s="40">
        <v>183</v>
      </c>
      <c r="B838" s="41" t="s">
        <v>1125</v>
      </c>
      <c r="C838" s="42" t="s">
        <v>1122</v>
      </c>
      <c r="D838" s="42" t="s">
        <v>1123</v>
      </c>
      <c r="E838" s="42" t="s">
        <v>1124</v>
      </c>
      <c r="F838" s="42" t="s">
        <v>1094</v>
      </c>
      <c r="G838" s="42" t="s">
        <v>1033</v>
      </c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</row>
    <row r="839" spans="1:22" ht="15.75" customHeight="1" x14ac:dyDescent="0.2">
      <c r="A839" s="48">
        <v>403</v>
      </c>
      <c r="B839" s="49" t="s">
        <v>1126</v>
      </c>
      <c r="C839" s="50" t="s">
        <v>1127</v>
      </c>
      <c r="D839" s="50" t="s">
        <v>1128</v>
      </c>
      <c r="E839" s="50" t="s">
        <v>1129</v>
      </c>
      <c r="F839" s="42" t="s">
        <v>1094</v>
      </c>
      <c r="G839" s="42" t="s">
        <v>1033</v>
      </c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</row>
    <row r="840" spans="1:22" ht="15.75" customHeight="1" x14ac:dyDescent="0.2">
      <c r="A840" s="40"/>
      <c r="B840" s="45" t="s">
        <v>297</v>
      </c>
      <c r="C840" s="46" t="s">
        <v>1130</v>
      </c>
      <c r="D840" s="46" t="s">
        <v>557</v>
      </c>
      <c r="E840" s="46" t="s">
        <v>129</v>
      </c>
      <c r="F840" s="46" t="s">
        <v>1131</v>
      </c>
      <c r="G840" s="46" t="s">
        <v>1033</v>
      </c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</row>
    <row r="841" spans="1:22" ht="15.75" customHeight="1" x14ac:dyDescent="0.2">
      <c r="A841" s="40"/>
      <c r="B841" s="45" t="s">
        <v>300</v>
      </c>
      <c r="C841" s="46" t="s">
        <v>1130</v>
      </c>
      <c r="D841" s="46" t="s">
        <v>557</v>
      </c>
      <c r="E841" s="46" t="s">
        <v>129</v>
      </c>
      <c r="F841" s="46" t="s">
        <v>1131</v>
      </c>
      <c r="G841" s="46" t="s">
        <v>1033</v>
      </c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</row>
    <row r="842" spans="1:22" ht="15.75" customHeight="1" x14ac:dyDescent="0.2">
      <c r="A842" s="40">
        <v>333</v>
      </c>
      <c r="B842" s="41" t="s">
        <v>365</v>
      </c>
      <c r="C842" s="42" t="s">
        <v>1132</v>
      </c>
      <c r="D842" s="42" t="s">
        <v>456</v>
      </c>
      <c r="E842" s="42" t="s">
        <v>32</v>
      </c>
      <c r="F842" s="42" t="s">
        <v>1131</v>
      </c>
      <c r="G842" s="42" t="s">
        <v>1033</v>
      </c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</row>
    <row r="843" spans="1:22" ht="15.75" customHeight="1" x14ac:dyDescent="0.2">
      <c r="A843" s="40">
        <v>2227</v>
      </c>
      <c r="B843" s="41" t="s">
        <v>282</v>
      </c>
      <c r="C843" s="42" t="s">
        <v>1132</v>
      </c>
      <c r="D843" s="42" t="s">
        <v>456</v>
      </c>
      <c r="E843" s="42" t="s">
        <v>32</v>
      </c>
      <c r="F843" s="42" t="s">
        <v>1131</v>
      </c>
      <c r="G843" s="42" t="s">
        <v>1033</v>
      </c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</row>
    <row r="844" spans="1:22" ht="15.75" customHeight="1" x14ac:dyDescent="0.2">
      <c r="A844" s="40">
        <v>2907</v>
      </c>
      <c r="B844" s="41" t="s">
        <v>1133</v>
      </c>
      <c r="C844" s="42" t="s">
        <v>1132</v>
      </c>
      <c r="D844" s="42" t="s">
        <v>456</v>
      </c>
      <c r="E844" s="42" t="s">
        <v>32</v>
      </c>
      <c r="F844" s="42" t="s">
        <v>1131</v>
      </c>
      <c r="G844" s="42" t="s">
        <v>1033</v>
      </c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</row>
    <row r="845" spans="1:22" ht="15.75" customHeight="1" x14ac:dyDescent="0.2">
      <c r="A845" s="40">
        <v>1561</v>
      </c>
      <c r="B845" s="41" t="s">
        <v>377</v>
      </c>
      <c r="C845" s="42" t="s">
        <v>1134</v>
      </c>
      <c r="D845" s="42" t="s">
        <v>526</v>
      </c>
      <c r="E845" s="42" t="s">
        <v>693</v>
      </c>
      <c r="F845" s="42" t="s">
        <v>1131</v>
      </c>
      <c r="G845" s="42" t="s">
        <v>1033</v>
      </c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</row>
    <row r="846" spans="1:22" ht="15.75" customHeight="1" x14ac:dyDescent="0.2">
      <c r="A846" s="40">
        <v>2603</v>
      </c>
      <c r="B846" s="41" t="s">
        <v>287</v>
      </c>
      <c r="C846" s="42" t="s">
        <v>1134</v>
      </c>
      <c r="D846" s="42" t="s">
        <v>526</v>
      </c>
      <c r="E846" s="42" t="s">
        <v>693</v>
      </c>
      <c r="F846" s="42" t="s">
        <v>1131</v>
      </c>
      <c r="G846" s="42" t="s">
        <v>1033</v>
      </c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</row>
    <row r="847" spans="1:22" ht="15.75" customHeight="1" x14ac:dyDescent="0.2">
      <c r="A847" s="40">
        <v>2729</v>
      </c>
      <c r="B847" s="41" t="s">
        <v>703</v>
      </c>
      <c r="C847" s="42" t="s">
        <v>1134</v>
      </c>
      <c r="D847" s="42" t="s">
        <v>526</v>
      </c>
      <c r="E847" s="42" t="s">
        <v>693</v>
      </c>
      <c r="F847" s="42" t="s">
        <v>1131</v>
      </c>
      <c r="G847" s="42" t="s">
        <v>1033</v>
      </c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</row>
    <row r="848" spans="1:22" ht="15.75" customHeight="1" x14ac:dyDescent="0.2">
      <c r="A848" s="40"/>
      <c r="B848" s="45" t="s">
        <v>297</v>
      </c>
      <c r="C848" s="46" t="s">
        <v>1135</v>
      </c>
      <c r="D848" s="46" t="s">
        <v>506</v>
      </c>
      <c r="E848" s="46" t="s">
        <v>384</v>
      </c>
      <c r="F848" s="46" t="s">
        <v>1131</v>
      </c>
      <c r="G848" s="46" t="s">
        <v>1033</v>
      </c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</row>
    <row r="849" spans="1:22" ht="15.75" customHeight="1" x14ac:dyDescent="0.2">
      <c r="A849" s="40"/>
      <c r="B849" s="45" t="s">
        <v>300</v>
      </c>
      <c r="C849" s="46" t="s">
        <v>1135</v>
      </c>
      <c r="D849" s="46" t="s">
        <v>506</v>
      </c>
      <c r="E849" s="46" t="s">
        <v>384</v>
      </c>
      <c r="F849" s="46" t="s">
        <v>1131</v>
      </c>
      <c r="G849" s="46" t="s">
        <v>1033</v>
      </c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</row>
    <row r="850" spans="1:22" ht="15.75" customHeight="1" x14ac:dyDescent="0.2">
      <c r="A850" s="40">
        <v>523</v>
      </c>
      <c r="B850" s="41" t="s">
        <v>509</v>
      </c>
      <c r="C850" s="42" t="s">
        <v>1136</v>
      </c>
      <c r="D850" s="42" t="s">
        <v>295</v>
      </c>
      <c r="E850" s="42" t="s">
        <v>314</v>
      </c>
      <c r="F850" s="42" t="s">
        <v>1131</v>
      </c>
      <c r="G850" s="42" t="s">
        <v>1033</v>
      </c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</row>
    <row r="851" spans="1:22" ht="15.75" customHeight="1" x14ac:dyDescent="0.2">
      <c r="A851" s="40">
        <v>1195</v>
      </c>
      <c r="B851" s="41" t="s">
        <v>256</v>
      </c>
      <c r="C851" s="42" t="s">
        <v>1136</v>
      </c>
      <c r="D851" s="42" t="s">
        <v>295</v>
      </c>
      <c r="E851" s="42" t="s">
        <v>314</v>
      </c>
      <c r="F851" s="42" t="s">
        <v>1131</v>
      </c>
      <c r="G851" s="42" t="s">
        <v>1033</v>
      </c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</row>
    <row r="852" spans="1:22" ht="15.75" customHeight="1" x14ac:dyDescent="0.2">
      <c r="A852" s="40">
        <v>2517</v>
      </c>
      <c r="B852" s="41" t="s">
        <v>434</v>
      </c>
      <c r="C852" s="42" t="s">
        <v>1136</v>
      </c>
      <c r="D852" s="42" t="s">
        <v>295</v>
      </c>
      <c r="E852" s="42" t="s">
        <v>314</v>
      </c>
      <c r="F852" s="42" t="s">
        <v>1131</v>
      </c>
      <c r="G852" s="42" t="s">
        <v>1033</v>
      </c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</row>
    <row r="853" spans="1:22" ht="15.75" customHeight="1" x14ac:dyDescent="0.2">
      <c r="A853" s="40">
        <v>1077</v>
      </c>
      <c r="B853" s="41" t="s">
        <v>458</v>
      </c>
      <c r="C853" s="42" t="s">
        <v>1137</v>
      </c>
      <c r="D853" s="42" t="s">
        <v>333</v>
      </c>
      <c r="E853" s="42" t="s">
        <v>87</v>
      </c>
      <c r="F853" s="42" t="s">
        <v>1131</v>
      </c>
      <c r="G853" s="42" t="s">
        <v>1033</v>
      </c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</row>
    <row r="854" spans="1:22" ht="15.75" customHeight="1" x14ac:dyDescent="0.2">
      <c r="A854" s="40">
        <v>2975</v>
      </c>
      <c r="B854" s="41" t="s">
        <v>1138</v>
      </c>
      <c r="C854" s="42" t="s">
        <v>1137</v>
      </c>
      <c r="D854" s="42" t="s">
        <v>333</v>
      </c>
      <c r="E854" s="42" t="s">
        <v>87</v>
      </c>
      <c r="F854" s="42" t="s">
        <v>1131</v>
      </c>
      <c r="G854" s="42" t="s">
        <v>1033</v>
      </c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</row>
    <row r="855" spans="1:22" ht="15.75" customHeight="1" x14ac:dyDescent="0.2">
      <c r="A855" s="40">
        <v>2343</v>
      </c>
      <c r="B855" s="41" t="s">
        <v>285</v>
      </c>
      <c r="C855" s="42" t="s">
        <v>1139</v>
      </c>
      <c r="D855" s="42" t="s">
        <v>430</v>
      </c>
      <c r="E855" s="42" t="s">
        <v>374</v>
      </c>
      <c r="F855" s="42" t="s">
        <v>1131</v>
      </c>
      <c r="G855" s="42" t="s">
        <v>1033</v>
      </c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</row>
    <row r="856" spans="1:22" ht="15.75" customHeight="1" x14ac:dyDescent="0.2">
      <c r="A856" s="40">
        <v>2601</v>
      </c>
      <c r="B856" s="41" t="s">
        <v>287</v>
      </c>
      <c r="C856" s="42" t="s">
        <v>1139</v>
      </c>
      <c r="D856" s="42" t="s">
        <v>430</v>
      </c>
      <c r="E856" s="42" t="s">
        <v>374</v>
      </c>
      <c r="F856" s="42" t="s">
        <v>1131</v>
      </c>
      <c r="G856" s="42" t="s">
        <v>1033</v>
      </c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</row>
    <row r="857" spans="1:22" ht="15.75" customHeight="1" x14ac:dyDescent="0.2">
      <c r="A857" s="40">
        <v>2889</v>
      </c>
      <c r="B857" s="41" t="s">
        <v>378</v>
      </c>
      <c r="C857" s="42" t="s">
        <v>1139</v>
      </c>
      <c r="D857" s="42" t="s">
        <v>430</v>
      </c>
      <c r="E857" s="42" t="s">
        <v>374</v>
      </c>
      <c r="F857" s="42" t="s">
        <v>1131</v>
      </c>
      <c r="G857" s="42" t="s">
        <v>1033</v>
      </c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</row>
    <row r="858" spans="1:22" ht="15.75" customHeight="1" x14ac:dyDescent="0.2">
      <c r="A858" s="40"/>
      <c r="B858" s="45" t="s">
        <v>45</v>
      </c>
      <c r="C858" s="46" t="s">
        <v>1140</v>
      </c>
      <c r="D858" s="46" t="s">
        <v>522</v>
      </c>
      <c r="E858" s="46" t="s">
        <v>310</v>
      </c>
      <c r="F858" s="46" t="s">
        <v>1141</v>
      </c>
      <c r="G858" s="46" t="s">
        <v>1033</v>
      </c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</row>
    <row r="859" spans="1:22" ht="15.75" customHeight="1" x14ac:dyDescent="0.2">
      <c r="A859" s="40"/>
      <c r="B859" s="45" t="s">
        <v>45</v>
      </c>
      <c r="C859" s="46" t="s">
        <v>1142</v>
      </c>
      <c r="D859" s="46" t="s">
        <v>516</v>
      </c>
      <c r="E859" s="46" t="s">
        <v>129</v>
      </c>
      <c r="F859" s="46" t="s">
        <v>1141</v>
      </c>
      <c r="G859" s="46" t="s">
        <v>1033</v>
      </c>
    </row>
    <row r="860" spans="1:22" ht="15.75" customHeight="1" x14ac:dyDescent="0.2">
      <c r="A860" s="40"/>
      <c r="B860" s="45" t="s">
        <v>45</v>
      </c>
      <c r="C860" s="46" t="s">
        <v>1143</v>
      </c>
      <c r="D860" s="46" t="s">
        <v>21</v>
      </c>
      <c r="E860" s="46" t="s">
        <v>40</v>
      </c>
      <c r="F860" s="46" t="s">
        <v>1141</v>
      </c>
      <c r="G860" s="46" t="s">
        <v>1033</v>
      </c>
    </row>
    <row r="861" spans="1:22" ht="15.75" customHeight="1" x14ac:dyDescent="0.2">
      <c r="A861" s="40"/>
      <c r="B861" s="45" t="s">
        <v>45</v>
      </c>
      <c r="C861" s="46" t="s">
        <v>1144</v>
      </c>
      <c r="D861" s="46" t="s">
        <v>120</v>
      </c>
      <c r="E861" s="46" t="s">
        <v>637</v>
      </c>
      <c r="F861" s="46" t="s">
        <v>1141</v>
      </c>
      <c r="G861" s="46" t="s">
        <v>1033</v>
      </c>
    </row>
    <row r="862" spans="1:22" ht="15.75" customHeight="1" x14ac:dyDescent="0.2">
      <c r="A862" s="40"/>
      <c r="B862" s="45" t="s">
        <v>45</v>
      </c>
      <c r="C862" s="46" t="s">
        <v>1145</v>
      </c>
      <c r="D862" s="46" t="s">
        <v>133</v>
      </c>
      <c r="E862" s="46" t="s">
        <v>587</v>
      </c>
      <c r="F862" s="46" t="s">
        <v>1141</v>
      </c>
      <c r="G862" s="46" t="s">
        <v>1033</v>
      </c>
    </row>
    <row r="863" spans="1:22" ht="15.75" customHeight="1" x14ac:dyDescent="0.2">
      <c r="A863" s="40"/>
      <c r="B863" s="45" t="s">
        <v>45</v>
      </c>
      <c r="C863" s="46" t="s">
        <v>1146</v>
      </c>
      <c r="D863" s="46" t="s">
        <v>383</v>
      </c>
      <c r="E863" s="46" t="s">
        <v>32</v>
      </c>
      <c r="F863" s="46" t="s">
        <v>1141</v>
      </c>
      <c r="G863" s="46" t="s">
        <v>1033</v>
      </c>
    </row>
    <row r="864" spans="1:22" ht="15.75" customHeight="1" x14ac:dyDescent="0.2">
      <c r="A864" s="40"/>
      <c r="B864" s="45" t="s">
        <v>45</v>
      </c>
      <c r="C864" s="46" t="s">
        <v>1147</v>
      </c>
      <c r="D864" s="46" t="s">
        <v>871</v>
      </c>
      <c r="E864" s="46" t="s">
        <v>397</v>
      </c>
      <c r="F864" s="46" t="s">
        <v>1141</v>
      </c>
      <c r="G864" s="46" t="s">
        <v>1033</v>
      </c>
    </row>
    <row r="865" spans="1:22" ht="15.75" customHeight="1" x14ac:dyDescent="0.2">
      <c r="A865" s="40"/>
      <c r="B865" s="45" t="s">
        <v>45</v>
      </c>
      <c r="C865" s="46" t="s">
        <v>1148</v>
      </c>
      <c r="D865" s="46" t="s">
        <v>388</v>
      </c>
      <c r="E865" s="46" t="s">
        <v>319</v>
      </c>
      <c r="F865" s="46" t="s">
        <v>1141</v>
      </c>
      <c r="G865" s="46" t="s">
        <v>1033</v>
      </c>
    </row>
    <row r="866" spans="1:22" ht="15.75" customHeight="1" x14ac:dyDescent="0.2">
      <c r="A866" s="40">
        <v>595</v>
      </c>
      <c r="B866" s="41" t="s">
        <v>428</v>
      </c>
      <c r="C866" s="42" t="s">
        <v>1149</v>
      </c>
      <c r="D866" s="42" t="s">
        <v>1150</v>
      </c>
      <c r="E866" s="42" t="s">
        <v>1151</v>
      </c>
      <c r="F866" s="42" t="s">
        <v>1152</v>
      </c>
      <c r="G866" s="42" t="s">
        <v>1033</v>
      </c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</row>
    <row r="867" spans="1:22" ht="15.75" customHeight="1" x14ac:dyDescent="0.2">
      <c r="A867" s="40">
        <v>2883</v>
      </c>
      <c r="B867" s="41" t="s">
        <v>378</v>
      </c>
      <c r="C867" s="42" t="s">
        <v>1149</v>
      </c>
      <c r="D867" s="42" t="s">
        <v>1150</v>
      </c>
      <c r="E867" s="42" t="s">
        <v>1151</v>
      </c>
      <c r="F867" s="42" t="s">
        <v>1152</v>
      </c>
      <c r="G867" s="42" t="s">
        <v>1033</v>
      </c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</row>
    <row r="868" spans="1:22" ht="15.75" customHeight="1" x14ac:dyDescent="0.2">
      <c r="A868" s="40">
        <v>1281</v>
      </c>
      <c r="B868" s="41" t="s">
        <v>453</v>
      </c>
      <c r="C868" s="42" t="s">
        <v>1153</v>
      </c>
      <c r="D868" s="42" t="s">
        <v>1154</v>
      </c>
      <c r="E868" s="42" t="s">
        <v>1155</v>
      </c>
      <c r="F868" s="42" t="s">
        <v>1152</v>
      </c>
      <c r="G868" s="42" t="s">
        <v>1033</v>
      </c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</row>
    <row r="869" spans="1:22" ht="15.75" customHeight="1" x14ac:dyDescent="0.2">
      <c r="A869" s="40">
        <v>1785</v>
      </c>
      <c r="B869" s="41" t="s">
        <v>442</v>
      </c>
      <c r="C869" s="42" t="s">
        <v>1153</v>
      </c>
      <c r="D869" s="42" t="s">
        <v>1154</v>
      </c>
      <c r="E869" s="42" t="s">
        <v>1155</v>
      </c>
      <c r="F869" s="42" t="s">
        <v>1152</v>
      </c>
      <c r="G869" s="42" t="s">
        <v>1033</v>
      </c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</row>
    <row r="870" spans="1:22" ht="15.75" customHeight="1" x14ac:dyDescent="0.2">
      <c r="A870" s="40">
        <v>1975</v>
      </c>
      <c r="B870" s="41" t="s">
        <v>279</v>
      </c>
      <c r="C870" s="42" t="s">
        <v>1156</v>
      </c>
      <c r="D870" s="42" t="s">
        <v>1157</v>
      </c>
      <c r="E870" s="42" t="s">
        <v>1083</v>
      </c>
      <c r="F870" s="42" t="s">
        <v>1152</v>
      </c>
      <c r="G870" s="42" t="s">
        <v>1033</v>
      </c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</row>
    <row r="871" spans="1:22" ht="15.75" customHeight="1" x14ac:dyDescent="0.2">
      <c r="A871" s="40">
        <v>2861</v>
      </c>
      <c r="B871" s="41" t="s">
        <v>519</v>
      </c>
      <c r="C871" s="42" t="s">
        <v>1156</v>
      </c>
      <c r="D871" s="42" t="s">
        <v>1157</v>
      </c>
      <c r="E871" s="42" t="s">
        <v>1083</v>
      </c>
      <c r="F871" s="42" t="s">
        <v>1152</v>
      </c>
      <c r="G871" s="42" t="s">
        <v>1033</v>
      </c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</row>
    <row r="872" spans="1:22" ht="15.75" customHeight="1" x14ac:dyDescent="0.2">
      <c r="A872" s="40"/>
      <c r="B872" s="45" t="s">
        <v>94</v>
      </c>
      <c r="C872" s="46" t="s">
        <v>1158</v>
      </c>
      <c r="D872" s="46" t="s">
        <v>426</v>
      </c>
      <c r="E872" s="46" t="s">
        <v>18</v>
      </c>
      <c r="F872" s="46" t="s">
        <v>1152</v>
      </c>
      <c r="G872" s="46" t="s">
        <v>1033</v>
      </c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</row>
    <row r="873" spans="1:22" ht="15.75" customHeight="1" x14ac:dyDescent="0.2">
      <c r="A873" s="40"/>
      <c r="B873" s="45" t="s">
        <v>316</v>
      </c>
      <c r="C873" s="46" t="s">
        <v>1045</v>
      </c>
      <c r="D873" s="46" t="s">
        <v>526</v>
      </c>
      <c r="E873" s="46" t="s">
        <v>371</v>
      </c>
      <c r="F873" s="46" t="s">
        <v>1152</v>
      </c>
      <c r="G873" s="46" t="s">
        <v>1033</v>
      </c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</row>
    <row r="874" spans="1:22" ht="15.75" customHeight="1" x14ac:dyDescent="0.2">
      <c r="A874" s="40"/>
      <c r="B874" s="45" t="s">
        <v>102</v>
      </c>
      <c r="C874" s="46" t="s">
        <v>1045</v>
      </c>
      <c r="D874" s="46" t="s">
        <v>526</v>
      </c>
      <c r="E874" s="46" t="s">
        <v>371</v>
      </c>
      <c r="F874" s="46" t="s">
        <v>1152</v>
      </c>
      <c r="G874" s="46" t="s">
        <v>1033</v>
      </c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</row>
    <row r="875" spans="1:22" ht="15.75" customHeight="1" x14ac:dyDescent="0.2">
      <c r="A875" s="40">
        <v>639</v>
      </c>
      <c r="B875" s="41" t="s">
        <v>248</v>
      </c>
      <c r="C875" s="42" t="s">
        <v>886</v>
      </c>
      <c r="D875" s="42" t="s">
        <v>692</v>
      </c>
      <c r="E875" s="42" t="s">
        <v>319</v>
      </c>
      <c r="F875" s="42" t="s">
        <v>1152</v>
      </c>
      <c r="G875" s="42" t="s">
        <v>1033</v>
      </c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</row>
    <row r="876" spans="1:22" ht="15.75" customHeight="1" x14ac:dyDescent="0.2">
      <c r="A876" s="40">
        <v>1979</v>
      </c>
      <c r="B876" s="41" t="s">
        <v>279</v>
      </c>
      <c r="C876" s="42" t="s">
        <v>886</v>
      </c>
      <c r="D876" s="42" t="s">
        <v>692</v>
      </c>
      <c r="E876" s="42" t="s">
        <v>319</v>
      </c>
      <c r="F876" s="42" t="s">
        <v>1152</v>
      </c>
      <c r="G876" s="42" t="s">
        <v>1033</v>
      </c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</row>
    <row r="877" spans="1:22" ht="15.75" customHeight="1" x14ac:dyDescent="0.2">
      <c r="A877" s="40"/>
      <c r="B877" s="45" t="s">
        <v>117</v>
      </c>
      <c r="C877" s="46" t="s">
        <v>1159</v>
      </c>
      <c r="D877" s="46" t="s">
        <v>557</v>
      </c>
      <c r="E877" s="46" t="s">
        <v>112</v>
      </c>
      <c r="F877" s="46" t="s">
        <v>1152</v>
      </c>
      <c r="G877" s="46" t="s">
        <v>1033</v>
      </c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</row>
    <row r="878" spans="1:22" ht="15.75" customHeight="1" x14ac:dyDescent="0.2">
      <c r="A878" s="40"/>
      <c r="B878" s="45" t="s">
        <v>296</v>
      </c>
      <c r="C878" s="46" t="s">
        <v>1159</v>
      </c>
      <c r="D878" s="46" t="s">
        <v>557</v>
      </c>
      <c r="E878" s="46" t="s">
        <v>112</v>
      </c>
      <c r="F878" s="46" t="s">
        <v>1152</v>
      </c>
      <c r="G878" s="46" t="s">
        <v>1033</v>
      </c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</row>
    <row r="879" spans="1:22" ht="15.75" customHeight="1" x14ac:dyDescent="0.2">
      <c r="A879" s="40">
        <v>1367</v>
      </c>
      <c r="B879" s="41" t="s">
        <v>601</v>
      </c>
      <c r="C879" s="42" t="s">
        <v>1160</v>
      </c>
      <c r="D879" s="42" t="s">
        <v>266</v>
      </c>
      <c r="E879" s="42" t="s">
        <v>1161</v>
      </c>
      <c r="F879" s="42" t="s">
        <v>1152</v>
      </c>
      <c r="G879" s="42" t="s">
        <v>1033</v>
      </c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</row>
    <row r="880" spans="1:22" ht="15.75" customHeight="1" x14ac:dyDescent="0.2">
      <c r="A880" s="40">
        <v>1855</v>
      </c>
      <c r="B880" s="41" t="s">
        <v>604</v>
      </c>
      <c r="C880" s="42" t="s">
        <v>1160</v>
      </c>
      <c r="D880" s="42" t="s">
        <v>266</v>
      </c>
      <c r="E880" s="42" t="s">
        <v>1161</v>
      </c>
      <c r="F880" s="42" t="s">
        <v>1152</v>
      </c>
      <c r="G880" s="42" t="s">
        <v>1033</v>
      </c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</row>
    <row r="881" spans="1:22" ht="15.75" customHeight="1" x14ac:dyDescent="0.2">
      <c r="A881" s="40">
        <v>2701</v>
      </c>
      <c r="B881" s="41" t="s">
        <v>1098</v>
      </c>
      <c r="C881" s="42" t="s">
        <v>1160</v>
      </c>
      <c r="D881" s="42" t="s">
        <v>266</v>
      </c>
      <c r="E881" s="42" t="s">
        <v>1161</v>
      </c>
      <c r="F881" s="42" t="s">
        <v>1152</v>
      </c>
      <c r="G881" s="42" t="s">
        <v>1033</v>
      </c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</row>
    <row r="882" spans="1:22" ht="15.75" customHeight="1" x14ac:dyDescent="0.2">
      <c r="A882" s="40">
        <v>353</v>
      </c>
      <c r="B882" s="41" t="s">
        <v>1162</v>
      </c>
      <c r="C882" s="42" t="s">
        <v>1163</v>
      </c>
      <c r="D882" s="42" t="s">
        <v>86</v>
      </c>
      <c r="E882" s="42" t="s">
        <v>87</v>
      </c>
      <c r="F882" s="42" t="s">
        <v>1152</v>
      </c>
      <c r="G882" s="42" t="s">
        <v>1033</v>
      </c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</row>
    <row r="883" spans="1:22" ht="15.75" customHeight="1" x14ac:dyDescent="0.2">
      <c r="A883" s="40">
        <v>1303</v>
      </c>
      <c r="B883" s="41" t="s">
        <v>936</v>
      </c>
      <c r="C883" s="42" t="s">
        <v>1163</v>
      </c>
      <c r="D883" s="42" t="s">
        <v>116</v>
      </c>
      <c r="E883" s="42" t="s">
        <v>87</v>
      </c>
      <c r="F883" s="42" t="s">
        <v>1152</v>
      </c>
      <c r="G883" s="42" t="s">
        <v>1033</v>
      </c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</row>
    <row r="884" spans="1:22" ht="15.75" customHeight="1" x14ac:dyDescent="0.2">
      <c r="A884" s="40">
        <v>1773</v>
      </c>
      <c r="B884" s="41" t="s">
        <v>442</v>
      </c>
      <c r="C884" s="42" t="s">
        <v>1163</v>
      </c>
      <c r="D884" s="42" t="s">
        <v>116</v>
      </c>
      <c r="E884" s="42" t="s">
        <v>87</v>
      </c>
      <c r="F884" s="42" t="s">
        <v>1152</v>
      </c>
      <c r="G884" s="42" t="s">
        <v>1033</v>
      </c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</row>
    <row r="885" spans="1:22" ht="15.75" customHeight="1" x14ac:dyDescent="0.2">
      <c r="A885" s="40">
        <v>1263</v>
      </c>
      <c r="B885" s="41" t="s">
        <v>453</v>
      </c>
      <c r="C885" s="42" t="s">
        <v>1164</v>
      </c>
      <c r="D885" s="42" t="s">
        <v>266</v>
      </c>
      <c r="E885" s="42" t="s">
        <v>129</v>
      </c>
      <c r="F885" s="42" t="s">
        <v>1152</v>
      </c>
      <c r="G885" s="42" t="s">
        <v>1033</v>
      </c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</row>
    <row r="886" spans="1:22" ht="15.75" customHeight="1" x14ac:dyDescent="0.2">
      <c r="A886" s="40">
        <v>2915</v>
      </c>
      <c r="B886" s="41" t="s">
        <v>722</v>
      </c>
      <c r="C886" s="42" t="s">
        <v>1164</v>
      </c>
      <c r="D886" s="42" t="s">
        <v>266</v>
      </c>
      <c r="E886" s="42" t="s">
        <v>129</v>
      </c>
      <c r="F886" s="42" t="s">
        <v>1152</v>
      </c>
      <c r="G886" s="42" t="s">
        <v>1033</v>
      </c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</row>
    <row r="887" spans="1:22" ht="15.75" customHeight="1" x14ac:dyDescent="0.2">
      <c r="A887" s="40">
        <v>1649</v>
      </c>
      <c r="B887" s="41" t="s">
        <v>267</v>
      </c>
      <c r="C887" s="42" t="s">
        <v>1165</v>
      </c>
      <c r="D887" s="42" t="s">
        <v>407</v>
      </c>
      <c r="E887" s="42" t="s">
        <v>32</v>
      </c>
      <c r="F887" s="42" t="s">
        <v>1152</v>
      </c>
      <c r="G887" s="42" t="s">
        <v>1033</v>
      </c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</row>
    <row r="888" spans="1:22" ht="15.75" customHeight="1" x14ac:dyDescent="0.2">
      <c r="A888" s="40">
        <v>2229</v>
      </c>
      <c r="B888" s="41" t="s">
        <v>282</v>
      </c>
      <c r="C888" s="42" t="s">
        <v>1165</v>
      </c>
      <c r="D888" s="42" t="s">
        <v>407</v>
      </c>
      <c r="E888" s="42" t="s">
        <v>32</v>
      </c>
      <c r="F888" s="42" t="s">
        <v>1152</v>
      </c>
      <c r="G888" s="42" t="s">
        <v>1033</v>
      </c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</row>
    <row r="889" spans="1:22" ht="15.75" customHeight="1" x14ac:dyDescent="0.2">
      <c r="A889" s="40"/>
      <c r="B889" s="45" t="s">
        <v>234</v>
      </c>
      <c r="C889" s="46" t="s">
        <v>1166</v>
      </c>
      <c r="D889" s="46" t="s">
        <v>383</v>
      </c>
      <c r="E889" s="46" t="s">
        <v>337</v>
      </c>
      <c r="F889" s="46" t="s">
        <v>1152</v>
      </c>
      <c r="G889" s="46" t="s">
        <v>1033</v>
      </c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</row>
    <row r="890" spans="1:22" ht="15.75" customHeight="1" x14ac:dyDescent="0.2">
      <c r="A890" s="40"/>
      <c r="B890" s="45" t="s">
        <v>238</v>
      </c>
      <c r="C890" s="46" t="s">
        <v>1166</v>
      </c>
      <c r="D890" s="46" t="s">
        <v>383</v>
      </c>
      <c r="E890" s="46" t="s">
        <v>337</v>
      </c>
      <c r="F890" s="46" t="s">
        <v>1152</v>
      </c>
      <c r="G890" s="46" t="s">
        <v>1033</v>
      </c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</row>
    <row r="891" spans="1:22" ht="15.75" customHeight="1" x14ac:dyDescent="0.2">
      <c r="A891" s="40"/>
      <c r="B891" s="45" t="s">
        <v>297</v>
      </c>
      <c r="C891" s="46" t="s">
        <v>1167</v>
      </c>
      <c r="D891" s="46" t="s">
        <v>58</v>
      </c>
      <c r="E891" s="46" t="s">
        <v>40</v>
      </c>
      <c r="F891" s="46" t="s">
        <v>1152</v>
      </c>
      <c r="G891" s="46" t="s">
        <v>1033</v>
      </c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</row>
    <row r="892" spans="1:22" ht="15.75" customHeight="1" x14ac:dyDescent="0.2">
      <c r="A892" s="40"/>
      <c r="B892" s="45" t="s">
        <v>300</v>
      </c>
      <c r="C892" s="46" t="s">
        <v>1167</v>
      </c>
      <c r="D892" s="46" t="s">
        <v>58</v>
      </c>
      <c r="E892" s="46" t="s">
        <v>40</v>
      </c>
      <c r="F892" s="46" t="s">
        <v>1152</v>
      </c>
      <c r="G892" s="46" t="s">
        <v>1033</v>
      </c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</row>
    <row r="893" spans="1:22" ht="15.75" customHeight="1" x14ac:dyDescent="0.2">
      <c r="A893" s="40"/>
      <c r="B893" s="45" t="s">
        <v>315</v>
      </c>
      <c r="C893" s="46" t="s">
        <v>1168</v>
      </c>
      <c r="D893" s="46" t="s">
        <v>183</v>
      </c>
      <c r="E893" s="46" t="s">
        <v>1169</v>
      </c>
      <c r="F893" s="46" t="s">
        <v>1152</v>
      </c>
      <c r="G893" s="46" t="s">
        <v>1033</v>
      </c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</row>
    <row r="894" spans="1:22" ht="15.75" customHeight="1" x14ac:dyDescent="0.2">
      <c r="A894" s="40"/>
      <c r="B894" s="45" t="s">
        <v>323</v>
      </c>
      <c r="C894" s="46" t="s">
        <v>1168</v>
      </c>
      <c r="D894" s="46" t="s">
        <v>183</v>
      </c>
      <c r="E894" s="46" t="s">
        <v>1169</v>
      </c>
      <c r="F894" s="46" t="s">
        <v>1152</v>
      </c>
      <c r="G894" s="46" t="s">
        <v>1033</v>
      </c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</row>
    <row r="895" spans="1:22" ht="15.75" customHeight="1" x14ac:dyDescent="0.2">
      <c r="A895" s="40">
        <v>605</v>
      </c>
      <c r="B895" s="41" t="s">
        <v>428</v>
      </c>
      <c r="C895" s="42" t="s">
        <v>1170</v>
      </c>
      <c r="D895" s="42" t="s">
        <v>1171</v>
      </c>
      <c r="E895" s="42" t="s">
        <v>1172</v>
      </c>
      <c r="F895" s="42" t="s">
        <v>1152</v>
      </c>
      <c r="G895" s="42" t="s">
        <v>1033</v>
      </c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</row>
    <row r="896" spans="1:22" ht="15.75" customHeight="1" x14ac:dyDescent="0.2">
      <c r="A896" s="40">
        <v>1973</v>
      </c>
      <c r="B896" s="41" t="s">
        <v>279</v>
      </c>
      <c r="C896" s="42" t="s">
        <v>1170</v>
      </c>
      <c r="D896" s="42" t="s">
        <v>1171</v>
      </c>
      <c r="E896" s="42" t="s">
        <v>1172</v>
      </c>
      <c r="F896" s="42" t="s">
        <v>1152</v>
      </c>
      <c r="G896" s="42" t="s">
        <v>1033</v>
      </c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</row>
    <row r="897" spans="1:22" ht="15.75" customHeight="1" x14ac:dyDescent="0.2">
      <c r="A897" s="40">
        <v>2859</v>
      </c>
      <c r="B897" s="41" t="s">
        <v>519</v>
      </c>
      <c r="C897" s="42" t="s">
        <v>1170</v>
      </c>
      <c r="D897" s="42" t="s">
        <v>1171</v>
      </c>
      <c r="E897" s="42" t="s">
        <v>1172</v>
      </c>
      <c r="F897" s="42" t="s">
        <v>1152</v>
      </c>
      <c r="G897" s="42" t="s">
        <v>1033</v>
      </c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</row>
    <row r="898" spans="1:22" ht="15.75" customHeight="1" x14ac:dyDescent="0.2">
      <c r="A898" s="40">
        <v>607</v>
      </c>
      <c r="B898" s="41" t="s">
        <v>428</v>
      </c>
      <c r="C898" s="42" t="s">
        <v>1173</v>
      </c>
      <c r="D898" s="42" t="s">
        <v>1174</v>
      </c>
      <c r="E898" s="42" t="s">
        <v>596</v>
      </c>
      <c r="F898" s="42" t="s">
        <v>1152</v>
      </c>
      <c r="G898" s="42" t="s">
        <v>1033</v>
      </c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</row>
    <row r="899" spans="1:22" ht="15.75" customHeight="1" x14ac:dyDescent="0.2">
      <c r="A899" s="40">
        <v>635</v>
      </c>
      <c r="B899" s="41" t="s">
        <v>248</v>
      </c>
      <c r="C899" s="42" t="s">
        <v>1173</v>
      </c>
      <c r="D899" s="42" t="s">
        <v>1174</v>
      </c>
      <c r="E899" s="42" t="s">
        <v>596</v>
      </c>
      <c r="F899" s="42" t="s">
        <v>1152</v>
      </c>
      <c r="G899" s="42" t="s">
        <v>1033</v>
      </c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</row>
    <row r="900" spans="1:22" ht="15.75" customHeight="1" x14ac:dyDescent="0.2">
      <c r="A900" s="40">
        <v>1579</v>
      </c>
      <c r="B900" s="41" t="s">
        <v>585</v>
      </c>
      <c r="C900" s="42" t="s">
        <v>1173</v>
      </c>
      <c r="D900" s="42" t="s">
        <v>1174</v>
      </c>
      <c r="E900" s="42" t="s">
        <v>596</v>
      </c>
      <c r="F900" s="42" t="s">
        <v>1152</v>
      </c>
      <c r="G900" s="42" t="s">
        <v>1033</v>
      </c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</row>
    <row r="901" spans="1:22" ht="15.75" customHeight="1" x14ac:dyDescent="0.2">
      <c r="A901" s="40">
        <v>1341</v>
      </c>
      <c r="B901" s="41" t="s">
        <v>260</v>
      </c>
      <c r="C901" s="42" t="s">
        <v>854</v>
      </c>
      <c r="D901" s="42" t="s">
        <v>21</v>
      </c>
      <c r="E901" s="42" t="s">
        <v>79</v>
      </c>
      <c r="F901" s="42" t="s">
        <v>1152</v>
      </c>
      <c r="G901" s="42" t="s">
        <v>1033</v>
      </c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</row>
    <row r="902" spans="1:22" ht="15.75" customHeight="1" x14ac:dyDescent="0.2">
      <c r="A902" s="40">
        <v>1813</v>
      </c>
      <c r="B902" s="41" t="s">
        <v>276</v>
      </c>
      <c r="C902" s="42" t="s">
        <v>854</v>
      </c>
      <c r="D902" s="42" t="s">
        <v>21</v>
      </c>
      <c r="E902" s="42" t="s">
        <v>79</v>
      </c>
      <c r="F902" s="42" t="s">
        <v>1152</v>
      </c>
      <c r="G902" s="42" t="s">
        <v>1033</v>
      </c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</row>
    <row r="903" spans="1:22" ht="15.75" customHeight="1" x14ac:dyDescent="0.2">
      <c r="A903" s="40">
        <v>673</v>
      </c>
      <c r="B903" s="41" t="s">
        <v>252</v>
      </c>
      <c r="C903" s="42" t="s">
        <v>1175</v>
      </c>
      <c r="D903" s="42" t="s">
        <v>484</v>
      </c>
      <c r="E903" s="42" t="s">
        <v>348</v>
      </c>
      <c r="F903" s="42" t="s">
        <v>1152</v>
      </c>
      <c r="G903" s="42" t="s">
        <v>1033</v>
      </c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</row>
    <row r="904" spans="1:22" ht="15.75" customHeight="1" x14ac:dyDescent="0.2">
      <c r="A904" s="40">
        <v>1509</v>
      </c>
      <c r="B904" s="41" t="s">
        <v>262</v>
      </c>
      <c r="C904" s="42" t="s">
        <v>1175</v>
      </c>
      <c r="D904" s="42" t="s">
        <v>484</v>
      </c>
      <c r="E904" s="42" t="s">
        <v>348</v>
      </c>
      <c r="F904" s="42" t="s">
        <v>1152</v>
      </c>
      <c r="G904" s="42" t="s">
        <v>1033</v>
      </c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</row>
    <row r="905" spans="1:22" ht="15.75" customHeight="1" x14ac:dyDescent="0.2">
      <c r="A905" s="40">
        <v>2721</v>
      </c>
      <c r="B905" s="41" t="s">
        <v>703</v>
      </c>
      <c r="C905" s="42" t="s">
        <v>1175</v>
      </c>
      <c r="D905" s="42" t="s">
        <v>484</v>
      </c>
      <c r="E905" s="42" t="s">
        <v>348</v>
      </c>
      <c r="F905" s="42" t="s">
        <v>1152</v>
      </c>
      <c r="G905" s="42" t="s">
        <v>1033</v>
      </c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</row>
    <row r="906" spans="1:22" ht="15.75" customHeight="1" x14ac:dyDescent="0.2">
      <c r="A906" s="40">
        <v>539</v>
      </c>
      <c r="B906" s="41" t="s">
        <v>678</v>
      </c>
      <c r="C906" s="42" t="s">
        <v>1176</v>
      </c>
      <c r="D906" s="42" t="s">
        <v>295</v>
      </c>
      <c r="E906" s="42" t="s">
        <v>374</v>
      </c>
      <c r="F906" s="42" t="s">
        <v>1152</v>
      </c>
      <c r="G906" s="42" t="s">
        <v>1033</v>
      </c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</row>
    <row r="907" spans="1:22" ht="15.75" customHeight="1" x14ac:dyDescent="0.2">
      <c r="A907" s="40"/>
      <c r="B907" s="45" t="s">
        <v>323</v>
      </c>
      <c r="C907" s="46" t="s">
        <v>1177</v>
      </c>
      <c r="D907" s="46" t="s">
        <v>1178</v>
      </c>
      <c r="E907" s="46" t="s">
        <v>1179</v>
      </c>
      <c r="F907" s="46" t="s">
        <v>1152</v>
      </c>
      <c r="G907" s="46" t="s">
        <v>1033</v>
      </c>
    </row>
    <row r="908" spans="1:22" ht="15.75" customHeight="1" x14ac:dyDescent="0.2">
      <c r="A908" s="40"/>
      <c r="B908" s="45" t="s">
        <v>303</v>
      </c>
      <c r="C908" s="46" t="s">
        <v>1177</v>
      </c>
      <c r="D908" s="46" t="s">
        <v>1178</v>
      </c>
      <c r="E908" s="46" t="s">
        <v>1179</v>
      </c>
      <c r="F908" s="46" t="s">
        <v>1152</v>
      </c>
      <c r="G908" s="46" t="s">
        <v>1033</v>
      </c>
    </row>
    <row r="909" spans="1:22" ht="15.75" customHeight="1" x14ac:dyDescent="0.2">
      <c r="A909" s="40"/>
      <c r="B909" s="45" t="s">
        <v>94</v>
      </c>
      <c r="C909" s="46" t="s">
        <v>1177</v>
      </c>
      <c r="D909" s="46" t="s">
        <v>1178</v>
      </c>
      <c r="E909" s="46" t="s">
        <v>1179</v>
      </c>
      <c r="F909" s="46" t="s">
        <v>1152</v>
      </c>
      <c r="G909" s="46" t="s">
        <v>1033</v>
      </c>
    </row>
    <row r="910" spans="1:22" ht="15.75" customHeight="1" x14ac:dyDescent="0.2">
      <c r="A910" s="40"/>
      <c r="B910" s="45" t="s">
        <v>297</v>
      </c>
      <c r="C910" s="46" t="s">
        <v>1180</v>
      </c>
      <c r="D910" s="46" t="s">
        <v>506</v>
      </c>
      <c r="E910" s="46" t="s">
        <v>630</v>
      </c>
      <c r="F910" s="46" t="s">
        <v>1152</v>
      </c>
      <c r="G910" s="46" t="s">
        <v>1033</v>
      </c>
    </row>
    <row r="911" spans="1:22" ht="15.75" customHeight="1" x14ac:dyDescent="0.2">
      <c r="A911" s="40"/>
      <c r="B911" s="45" t="s">
        <v>300</v>
      </c>
      <c r="C911" s="46" t="s">
        <v>1180</v>
      </c>
      <c r="D911" s="46" t="s">
        <v>506</v>
      </c>
      <c r="E911" s="46" t="s">
        <v>630</v>
      </c>
      <c r="F911" s="46" t="s">
        <v>1152</v>
      </c>
      <c r="G911" s="46" t="s">
        <v>1033</v>
      </c>
    </row>
    <row r="912" spans="1:22" ht="15.75" customHeight="1" x14ac:dyDescent="0.2">
      <c r="A912" s="40"/>
      <c r="B912" s="45" t="s">
        <v>102</v>
      </c>
      <c r="C912" s="46" t="s">
        <v>1181</v>
      </c>
      <c r="D912" s="46" t="s">
        <v>388</v>
      </c>
      <c r="E912" s="46" t="s">
        <v>319</v>
      </c>
      <c r="F912" s="46" t="s">
        <v>1152</v>
      </c>
      <c r="G912" s="46" t="s">
        <v>1033</v>
      </c>
    </row>
    <row r="913" spans="1:22" ht="15.75" customHeight="1" x14ac:dyDescent="0.2">
      <c r="A913" s="40"/>
      <c r="B913" s="45" t="s">
        <v>303</v>
      </c>
      <c r="C913" s="46" t="s">
        <v>1181</v>
      </c>
      <c r="D913" s="46" t="s">
        <v>388</v>
      </c>
      <c r="E913" s="46" t="s">
        <v>319</v>
      </c>
      <c r="F913" s="46" t="s">
        <v>1152</v>
      </c>
      <c r="G913" s="46" t="s">
        <v>1033</v>
      </c>
    </row>
    <row r="914" spans="1:22" ht="15.75" customHeight="1" x14ac:dyDescent="0.2">
      <c r="A914" s="40"/>
      <c r="B914" s="45" t="s">
        <v>94</v>
      </c>
      <c r="C914" s="46" t="s">
        <v>1181</v>
      </c>
      <c r="D914" s="46" t="s">
        <v>388</v>
      </c>
      <c r="E914" s="46" t="s">
        <v>319</v>
      </c>
      <c r="F914" s="46" t="s">
        <v>1152</v>
      </c>
      <c r="G914" s="46" t="s">
        <v>1033</v>
      </c>
    </row>
    <row r="915" spans="1:22" ht="15.75" customHeight="1" x14ac:dyDescent="0.2">
      <c r="A915" s="40"/>
      <c r="B915" s="45" t="s">
        <v>109</v>
      </c>
      <c r="C915" s="46" t="s">
        <v>1182</v>
      </c>
      <c r="D915" s="46" t="s">
        <v>120</v>
      </c>
      <c r="E915" s="46" t="s">
        <v>112</v>
      </c>
      <c r="F915" s="46" t="s">
        <v>1183</v>
      </c>
      <c r="G915" s="46" t="s">
        <v>1033</v>
      </c>
    </row>
    <row r="916" spans="1:22" ht="15.75" customHeight="1" x14ac:dyDescent="0.2">
      <c r="A916" s="40"/>
      <c r="B916" s="45" t="s">
        <v>26</v>
      </c>
      <c r="C916" s="46" t="s">
        <v>1184</v>
      </c>
      <c r="D916" s="46" t="s">
        <v>116</v>
      </c>
      <c r="E916" s="46" t="s">
        <v>310</v>
      </c>
      <c r="F916" s="46" t="s">
        <v>1183</v>
      </c>
      <c r="G916" s="46" t="s">
        <v>1033</v>
      </c>
    </row>
    <row r="917" spans="1:22" ht="15.75" customHeight="1" x14ac:dyDescent="0.2">
      <c r="A917" s="40">
        <v>63</v>
      </c>
      <c r="B917" s="41" t="s">
        <v>226</v>
      </c>
      <c r="C917" s="42" t="s">
        <v>1185</v>
      </c>
      <c r="D917" s="42" t="s">
        <v>78</v>
      </c>
      <c r="E917" s="42" t="s">
        <v>393</v>
      </c>
      <c r="F917" s="42" t="s">
        <v>1186</v>
      </c>
      <c r="G917" s="42" t="s">
        <v>1033</v>
      </c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</row>
    <row r="918" spans="1:22" ht="15.75" customHeight="1" x14ac:dyDescent="0.2">
      <c r="A918" s="40"/>
      <c r="B918" s="45" t="s">
        <v>421</v>
      </c>
      <c r="C918" s="46" t="s">
        <v>1185</v>
      </c>
      <c r="D918" s="46" t="s">
        <v>78</v>
      </c>
      <c r="E918" s="46" t="s">
        <v>393</v>
      </c>
      <c r="F918" s="46" t="s">
        <v>1186</v>
      </c>
      <c r="G918" s="46" t="s">
        <v>1033</v>
      </c>
    </row>
    <row r="919" spans="1:22" ht="15.75" customHeight="1" x14ac:dyDescent="0.2">
      <c r="A919" s="40"/>
      <c r="B919" s="45" t="s">
        <v>303</v>
      </c>
      <c r="C919" s="46" t="s">
        <v>1185</v>
      </c>
      <c r="D919" s="46" t="s">
        <v>78</v>
      </c>
      <c r="E919" s="46" t="s">
        <v>393</v>
      </c>
      <c r="F919" s="46" t="s">
        <v>1186</v>
      </c>
      <c r="G919" s="46" t="s">
        <v>1033</v>
      </c>
    </row>
    <row r="920" spans="1:22" ht="15.75" customHeight="1" x14ac:dyDescent="0.2">
      <c r="A920" s="40"/>
      <c r="B920" s="45" t="s">
        <v>94</v>
      </c>
      <c r="C920" s="46" t="s">
        <v>1185</v>
      </c>
      <c r="D920" s="46" t="s">
        <v>78</v>
      </c>
      <c r="E920" s="46" t="s">
        <v>393</v>
      </c>
      <c r="F920" s="46" t="s">
        <v>1186</v>
      </c>
      <c r="G920" s="46" t="s">
        <v>1033</v>
      </c>
    </row>
    <row r="921" spans="1:22" ht="15.75" customHeight="1" x14ac:dyDescent="0.2">
      <c r="A921" s="40">
        <v>85</v>
      </c>
      <c r="B921" s="41" t="s">
        <v>707</v>
      </c>
      <c r="C921" s="42" t="s">
        <v>1187</v>
      </c>
      <c r="D921" s="42" t="s">
        <v>73</v>
      </c>
      <c r="E921" s="42" t="s">
        <v>40</v>
      </c>
      <c r="F921" s="42" t="s">
        <v>1188</v>
      </c>
      <c r="G921" s="42" t="s">
        <v>1033</v>
      </c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</row>
    <row r="922" spans="1:22" ht="15.75" customHeight="1" x14ac:dyDescent="0.2">
      <c r="A922" s="40">
        <v>129</v>
      </c>
      <c r="B922" s="41" t="s">
        <v>504</v>
      </c>
      <c r="C922" s="42" t="s">
        <v>1187</v>
      </c>
      <c r="D922" s="42" t="s">
        <v>73</v>
      </c>
      <c r="E922" s="42" t="s">
        <v>40</v>
      </c>
      <c r="F922" s="42" t="s">
        <v>1188</v>
      </c>
      <c r="G922" s="42" t="s">
        <v>1033</v>
      </c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</row>
    <row r="923" spans="1:22" ht="15.75" customHeight="1" x14ac:dyDescent="0.2">
      <c r="A923" s="40">
        <v>2629</v>
      </c>
      <c r="B923" s="41" t="s">
        <v>702</v>
      </c>
      <c r="C923" s="42" t="s">
        <v>1187</v>
      </c>
      <c r="D923" s="42" t="s">
        <v>73</v>
      </c>
      <c r="E923" s="42" t="s">
        <v>40</v>
      </c>
      <c r="F923" s="42" t="s">
        <v>1188</v>
      </c>
      <c r="G923" s="42" t="s">
        <v>1033</v>
      </c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</row>
    <row r="924" spans="1:22" ht="15.75" customHeight="1" x14ac:dyDescent="0.2">
      <c r="A924" s="40">
        <v>627</v>
      </c>
      <c r="B924" s="41" t="s">
        <v>248</v>
      </c>
      <c r="C924" s="42" t="s">
        <v>1189</v>
      </c>
      <c r="D924" s="42" t="s">
        <v>526</v>
      </c>
      <c r="E924" s="42" t="s">
        <v>1190</v>
      </c>
      <c r="F924" s="42" t="s">
        <v>1188</v>
      </c>
      <c r="G924" s="42" t="s">
        <v>1033</v>
      </c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</row>
    <row r="925" spans="1:22" ht="15.75" customHeight="1" x14ac:dyDescent="0.2">
      <c r="A925" s="40">
        <v>665</v>
      </c>
      <c r="B925" s="41" t="s">
        <v>252</v>
      </c>
      <c r="C925" s="42" t="s">
        <v>1189</v>
      </c>
      <c r="D925" s="42" t="s">
        <v>526</v>
      </c>
      <c r="E925" s="42" t="s">
        <v>1190</v>
      </c>
      <c r="F925" s="42" t="s">
        <v>1188</v>
      </c>
      <c r="G925" s="42" t="s">
        <v>1033</v>
      </c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</row>
    <row r="926" spans="1:22" ht="15.75" customHeight="1" x14ac:dyDescent="0.2">
      <c r="A926" s="40">
        <v>807</v>
      </c>
      <c r="B926" s="41" t="s">
        <v>1103</v>
      </c>
      <c r="C926" s="42" t="s">
        <v>1189</v>
      </c>
      <c r="D926" s="42" t="s">
        <v>526</v>
      </c>
      <c r="E926" s="42" t="s">
        <v>1190</v>
      </c>
      <c r="F926" s="42" t="s">
        <v>1188</v>
      </c>
      <c r="G926" s="42" t="s">
        <v>1033</v>
      </c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</row>
    <row r="927" spans="1:22" ht="15.75" customHeight="1" x14ac:dyDescent="0.2">
      <c r="A927" s="40">
        <v>811</v>
      </c>
      <c r="B927" s="41" t="s">
        <v>1104</v>
      </c>
      <c r="C927" s="42" t="s">
        <v>1189</v>
      </c>
      <c r="D927" s="42" t="s">
        <v>526</v>
      </c>
      <c r="E927" s="42" t="s">
        <v>1190</v>
      </c>
      <c r="F927" s="42" t="s">
        <v>1188</v>
      </c>
      <c r="G927" s="42" t="s">
        <v>1033</v>
      </c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</row>
    <row r="928" spans="1:22" ht="15.75" customHeight="1" x14ac:dyDescent="0.2">
      <c r="A928" s="40">
        <v>329</v>
      </c>
      <c r="B928" s="41" t="s">
        <v>365</v>
      </c>
      <c r="C928" s="42" t="s">
        <v>1191</v>
      </c>
      <c r="D928" s="42" t="s">
        <v>1192</v>
      </c>
      <c r="E928" s="42" t="s">
        <v>1193</v>
      </c>
      <c r="F928" s="42" t="s">
        <v>1194</v>
      </c>
      <c r="G928" s="42" t="s">
        <v>1033</v>
      </c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</row>
    <row r="929" spans="1:22" ht="15.75" customHeight="1" x14ac:dyDescent="0.2">
      <c r="A929" s="40">
        <v>349</v>
      </c>
      <c r="B929" s="41" t="s">
        <v>1162</v>
      </c>
      <c r="C929" s="42" t="s">
        <v>1191</v>
      </c>
      <c r="D929" s="42" t="s">
        <v>1192</v>
      </c>
      <c r="E929" s="42" t="s">
        <v>1193</v>
      </c>
      <c r="F929" s="42" t="s">
        <v>1194</v>
      </c>
      <c r="G929" s="42" t="s">
        <v>1033</v>
      </c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</row>
    <row r="930" spans="1:22" ht="15.75" customHeight="1" x14ac:dyDescent="0.2">
      <c r="A930" s="40">
        <v>617</v>
      </c>
      <c r="B930" s="41" t="s">
        <v>428</v>
      </c>
      <c r="C930" s="42" t="s">
        <v>1195</v>
      </c>
      <c r="D930" s="42" t="s">
        <v>1196</v>
      </c>
      <c r="E930" s="42" t="s">
        <v>1197</v>
      </c>
      <c r="F930" s="42" t="s">
        <v>1194</v>
      </c>
      <c r="G930" s="42" t="s">
        <v>1033</v>
      </c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</row>
    <row r="931" spans="1:22" ht="15.75" customHeight="1" x14ac:dyDescent="0.2">
      <c r="A931" s="40">
        <v>2981</v>
      </c>
      <c r="B931" s="41" t="s">
        <v>289</v>
      </c>
      <c r="C931" s="42" t="s">
        <v>1195</v>
      </c>
      <c r="D931" s="42" t="s">
        <v>1196</v>
      </c>
      <c r="E931" s="42" t="s">
        <v>1197</v>
      </c>
      <c r="F931" s="42" t="s">
        <v>1194</v>
      </c>
      <c r="G931" s="42" t="s">
        <v>1033</v>
      </c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</row>
    <row r="932" spans="1:22" ht="15.75" customHeight="1" x14ac:dyDescent="0.2">
      <c r="A932" s="40">
        <v>615</v>
      </c>
      <c r="B932" s="41" t="s">
        <v>428</v>
      </c>
      <c r="C932" s="42" t="s">
        <v>1198</v>
      </c>
      <c r="D932" s="42" t="s">
        <v>526</v>
      </c>
      <c r="E932" s="42" t="s">
        <v>575</v>
      </c>
      <c r="F932" s="42" t="s">
        <v>1194</v>
      </c>
      <c r="G932" s="42" t="s">
        <v>1033</v>
      </c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</row>
    <row r="933" spans="1:22" ht="15.75" customHeight="1" x14ac:dyDescent="0.2">
      <c r="A933" s="40">
        <v>647</v>
      </c>
      <c r="B933" s="41" t="s">
        <v>248</v>
      </c>
      <c r="C933" s="42" t="s">
        <v>1198</v>
      </c>
      <c r="D933" s="42" t="s">
        <v>526</v>
      </c>
      <c r="E933" s="42" t="s">
        <v>575</v>
      </c>
      <c r="F933" s="42" t="s">
        <v>1194</v>
      </c>
      <c r="G933" s="42" t="s">
        <v>1033</v>
      </c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</row>
    <row r="934" spans="1:22" ht="15.75" customHeight="1" x14ac:dyDescent="0.2">
      <c r="A934" s="40">
        <v>449</v>
      </c>
      <c r="B934" s="41" t="s">
        <v>674</v>
      </c>
      <c r="C934" s="42" t="s">
        <v>1199</v>
      </c>
      <c r="D934" s="42" t="s">
        <v>350</v>
      </c>
      <c r="E934" s="42" t="s">
        <v>1200</v>
      </c>
      <c r="F934" s="42" t="s">
        <v>1201</v>
      </c>
      <c r="G934" s="42" t="s">
        <v>1033</v>
      </c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</row>
    <row r="935" spans="1:22" ht="15.75" customHeight="1" x14ac:dyDescent="0.2">
      <c r="A935" s="40">
        <v>971</v>
      </c>
      <c r="B935" s="41" t="s">
        <v>698</v>
      </c>
      <c r="C935" s="42" t="s">
        <v>1199</v>
      </c>
      <c r="D935" s="42" t="s">
        <v>350</v>
      </c>
      <c r="E935" s="42" t="s">
        <v>1200</v>
      </c>
      <c r="F935" s="42" t="s">
        <v>1201</v>
      </c>
      <c r="G935" s="42" t="s">
        <v>1033</v>
      </c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</row>
    <row r="936" spans="1:22" ht="15.75" customHeight="1" x14ac:dyDescent="0.2">
      <c r="A936" s="40">
        <v>2835</v>
      </c>
      <c r="B936" s="41" t="s">
        <v>518</v>
      </c>
      <c r="C936" s="42" t="s">
        <v>1199</v>
      </c>
      <c r="D936" s="42" t="s">
        <v>350</v>
      </c>
      <c r="E936" s="42" t="s">
        <v>1200</v>
      </c>
      <c r="F936" s="42" t="s">
        <v>1201</v>
      </c>
      <c r="G936" s="42" t="s">
        <v>1033</v>
      </c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</row>
    <row r="937" spans="1:22" ht="15.75" customHeight="1" x14ac:dyDescent="0.2">
      <c r="A937" s="40"/>
      <c r="B937" s="45" t="s">
        <v>232</v>
      </c>
      <c r="C937" s="46" t="s">
        <v>1202</v>
      </c>
      <c r="D937" s="46" t="s">
        <v>554</v>
      </c>
      <c r="E937" s="46" t="s">
        <v>187</v>
      </c>
      <c r="F937" s="46" t="s">
        <v>1201</v>
      </c>
      <c r="G937" s="46" t="s">
        <v>1033</v>
      </c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</row>
    <row r="938" spans="1:22" ht="15.75" customHeight="1" x14ac:dyDescent="0.2">
      <c r="A938" s="40"/>
      <c r="B938" s="45" t="s">
        <v>109</v>
      </c>
      <c r="C938" s="46" t="s">
        <v>1202</v>
      </c>
      <c r="D938" s="46" t="s">
        <v>554</v>
      </c>
      <c r="E938" s="46" t="s">
        <v>187</v>
      </c>
      <c r="F938" s="46" t="s">
        <v>1201</v>
      </c>
      <c r="G938" s="46" t="s">
        <v>1033</v>
      </c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</row>
    <row r="939" spans="1:22" ht="15.75" customHeight="1" x14ac:dyDescent="0.2">
      <c r="A939" s="40">
        <v>299</v>
      </c>
      <c r="B939" s="41" t="s">
        <v>951</v>
      </c>
      <c r="C939" s="42" t="s">
        <v>1203</v>
      </c>
      <c r="D939" s="42" t="s">
        <v>1204</v>
      </c>
      <c r="E939" s="42" t="s">
        <v>1205</v>
      </c>
      <c r="F939" s="42" t="s">
        <v>1206</v>
      </c>
      <c r="G939" s="42" t="s">
        <v>1207</v>
      </c>
    </row>
    <row r="940" spans="1:22" ht="15.75" customHeight="1" x14ac:dyDescent="0.2">
      <c r="A940" s="40">
        <v>313</v>
      </c>
      <c r="B940" s="41" t="s">
        <v>1208</v>
      </c>
      <c r="C940" s="42" t="s">
        <v>1209</v>
      </c>
      <c r="D940" s="42" t="s">
        <v>31</v>
      </c>
      <c r="E940" s="42" t="s">
        <v>273</v>
      </c>
      <c r="F940" s="42" t="s">
        <v>1206</v>
      </c>
      <c r="G940" s="42" t="s">
        <v>1207</v>
      </c>
    </row>
    <row r="941" spans="1:22" ht="15.75" customHeight="1" x14ac:dyDescent="0.2">
      <c r="A941" s="40">
        <v>317</v>
      </c>
      <c r="B941" s="41" t="s">
        <v>1208</v>
      </c>
      <c r="C941" s="42" t="s">
        <v>1210</v>
      </c>
      <c r="D941" s="42" t="s">
        <v>383</v>
      </c>
      <c r="E941" s="42" t="s">
        <v>876</v>
      </c>
      <c r="F941" s="42" t="s">
        <v>1206</v>
      </c>
      <c r="G941" s="42" t="s">
        <v>1207</v>
      </c>
    </row>
    <row r="942" spans="1:22" ht="15.75" customHeight="1" x14ac:dyDescent="0.2">
      <c r="A942" s="40"/>
      <c r="B942" s="47" t="s">
        <v>523</v>
      </c>
      <c r="C942" s="51" t="s">
        <v>858</v>
      </c>
      <c r="D942" s="51" t="s">
        <v>1211</v>
      </c>
      <c r="E942" s="46" t="s">
        <v>1212</v>
      </c>
      <c r="F942" s="51" t="s">
        <v>1206</v>
      </c>
      <c r="G942" s="51" t="s">
        <v>1207</v>
      </c>
    </row>
    <row r="943" spans="1:22" ht="15.75" customHeight="1" x14ac:dyDescent="0.2">
      <c r="A943" s="40"/>
      <c r="B943" s="45" t="s">
        <v>523</v>
      </c>
      <c r="C943" s="46" t="s">
        <v>1213</v>
      </c>
      <c r="D943" s="46" t="s">
        <v>1214</v>
      </c>
      <c r="E943" s="46" t="s">
        <v>1215</v>
      </c>
      <c r="F943" s="46" t="s">
        <v>1206</v>
      </c>
      <c r="G943" s="46" t="s">
        <v>1207</v>
      </c>
    </row>
    <row r="944" spans="1:22" ht="15.75" customHeight="1" x14ac:dyDescent="0.2">
      <c r="A944" s="40"/>
      <c r="B944" s="45" t="s">
        <v>523</v>
      </c>
      <c r="C944" s="46" t="s">
        <v>1216</v>
      </c>
      <c r="D944" s="46" t="s">
        <v>35</v>
      </c>
      <c r="E944" s="46" t="s">
        <v>1217</v>
      </c>
      <c r="F944" s="46" t="s">
        <v>1206</v>
      </c>
      <c r="G944" s="46" t="s">
        <v>1207</v>
      </c>
    </row>
    <row r="945" spans="1:22" ht="15.75" customHeight="1" x14ac:dyDescent="0.2">
      <c r="A945" s="40"/>
      <c r="B945" s="45" t="s">
        <v>807</v>
      </c>
      <c r="C945" s="46" t="s">
        <v>1218</v>
      </c>
      <c r="D945" s="46" t="s">
        <v>183</v>
      </c>
      <c r="E945" s="46" t="s">
        <v>397</v>
      </c>
      <c r="F945" s="46" t="s">
        <v>1206</v>
      </c>
      <c r="G945" s="46" t="s">
        <v>1207</v>
      </c>
    </row>
    <row r="946" spans="1:22" ht="15.75" customHeight="1" x14ac:dyDescent="0.2">
      <c r="A946" s="40"/>
      <c r="B946" s="45" t="s">
        <v>523</v>
      </c>
      <c r="C946" s="46" t="s">
        <v>1219</v>
      </c>
      <c r="D946" s="46" t="s">
        <v>51</v>
      </c>
      <c r="E946" s="46" t="s">
        <v>1220</v>
      </c>
      <c r="F946" s="46" t="s">
        <v>1206</v>
      </c>
      <c r="G946" s="46" t="s">
        <v>1207</v>
      </c>
    </row>
    <row r="947" spans="1:22" ht="15.75" customHeight="1" x14ac:dyDescent="0.2">
      <c r="A947" s="40"/>
      <c r="B947" s="45" t="s">
        <v>523</v>
      </c>
      <c r="C947" s="46" t="s">
        <v>1221</v>
      </c>
      <c r="D947" s="46" t="s">
        <v>1222</v>
      </c>
      <c r="E947" s="46" t="s">
        <v>1223</v>
      </c>
      <c r="F947" s="46" t="s">
        <v>1206</v>
      </c>
      <c r="G947" s="46" t="s">
        <v>1207</v>
      </c>
    </row>
    <row r="948" spans="1:22" ht="15.75" customHeight="1" x14ac:dyDescent="0.2">
      <c r="A948" s="40"/>
      <c r="B948" s="45" t="s">
        <v>807</v>
      </c>
      <c r="C948" s="46" t="s">
        <v>1224</v>
      </c>
      <c r="D948" s="46" t="s">
        <v>901</v>
      </c>
      <c r="E948" s="46" t="s">
        <v>1225</v>
      </c>
      <c r="F948" s="46" t="s">
        <v>1226</v>
      </c>
      <c r="G948" s="46" t="s">
        <v>1207</v>
      </c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</row>
    <row r="949" spans="1:22" ht="15.75" customHeight="1" x14ac:dyDescent="0.2">
      <c r="A949" s="40"/>
      <c r="B949" s="45" t="s">
        <v>818</v>
      </c>
      <c r="C949" s="46" t="s">
        <v>1227</v>
      </c>
      <c r="D949" s="46" t="s">
        <v>989</v>
      </c>
      <c r="E949" s="46" t="s">
        <v>1228</v>
      </c>
      <c r="F949" s="46" t="s">
        <v>1226</v>
      </c>
      <c r="G949" s="46" t="s">
        <v>1207</v>
      </c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</row>
    <row r="950" spans="1:22" ht="15.75" customHeight="1" x14ac:dyDescent="0.2">
      <c r="A950" s="40"/>
      <c r="B950" s="45" t="s">
        <v>736</v>
      </c>
      <c r="C950" s="46" t="s">
        <v>1229</v>
      </c>
      <c r="D950" s="46" t="s">
        <v>78</v>
      </c>
      <c r="E950" s="46" t="s">
        <v>337</v>
      </c>
      <c r="F950" s="46" t="s">
        <v>1226</v>
      </c>
      <c r="G950" s="46" t="s">
        <v>1207</v>
      </c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</row>
    <row r="951" spans="1:22" ht="15.75" customHeight="1" x14ac:dyDescent="0.2">
      <c r="A951" s="40">
        <v>145</v>
      </c>
      <c r="B951" s="41" t="s">
        <v>460</v>
      </c>
      <c r="C951" s="42" t="s">
        <v>1230</v>
      </c>
      <c r="D951" s="42" t="s">
        <v>1231</v>
      </c>
      <c r="E951" s="42" t="s">
        <v>1232</v>
      </c>
      <c r="F951" s="42" t="s">
        <v>1233</v>
      </c>
      <c r="G951" s="42" t="s">
        <v>1207</v>
      </c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</row>
    <row r="952" spans="1:22" ht="15.75" customHeight="1" x14ac:dyDescent="0.2">
      <c r="A952" s="40">
        <v>1067</v>
      </c>
      <c r="B952" s="41" t="s">
        <v>458</v>
      </c>
      <c r="C952" s="42" t="s">
        <v>1230</v>
      </c>
      <c r="D952" s="42" t="s">
        <v>1231</v>
      </c>
      <c r="E952" s="42" t="s">
        <v>1232</v>
      </c>
      <c r="F952" s="42" t="s">
        <v>1233</v>
      </c>
      <c r="G952" s="42" t="s">
        <v>1207</v>
      </c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</row>
    <row r="953" spans="1:22" ht="15.75" customHeight="1" x14ac:dyDescent="0.2">
      <c r="A953" s="40"/>
      <c r="B953" s="45" t="s">
        <v>108</v>
      </c>
      <c r="C953" s="46" t="s">
        <v>1077</v>
      </c>
      <c r="D953" s="46" t="s">
        <v>1234</v>
      </c>
      <c r="E953" s="46" t="s">
        <v>1235</v>
      </c>
      <c r="F953" s="46" t="s">
        <v>1233</v>
      </c>
      <c r="G953" s="46" t="s">
        <v>1207</v>
      </c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</row>
    <row r="954" spans="1:22" ht="15.75" customHeight="1" x14ac:dyDescent="0.2">
      <c r="A954" s="40"/>
      <c r="B954" s="45" t="s">
        <v>126</v>
      </c>
      <c r="C954" s="46" t="s">
        <v>1236</v>
      </c>
      <c r="D954" s="46" t="s">
        <v>1237</v>
      </c>
      <c r="E954" s="46" t="s">
        <v>87</v>
      </c>
      <c r="F954" s="46" t="s">
        <v>1233</v>
      </c>
      <c r="G954" s="46" t="s">
        <v>1207</v>
      </c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</row>
    <row r="955" spans="1:22" ht="15.75" customHeight="1" x14ac:dyDescent="0.2">
      <c r="A955" s="40"/>
      <c r="B955" s="45" t="s">
        <v>94</v>
      </c>
      <c r="C955" s="46" t="s">
        <v>1236</v>
      </c>
      <c r="D955" s="46" t="s">
        <v>1237</v>
      </c>
      <c r="E955" s="46" t="s">
        <v>87</v>
      </c>
      <c r="F955" s="46" t="s">
        <v>1233</v>
      </c>
      <c r="G955" s="46" t="s">
        <v>1207</v>
      </c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</row>
    <row r="956" spans="1:22" ht="15.75" customHeight="1" x14ac:dyDescent="0.2">
      <c r="A956" s="40"/>
      <c r="B956" s="45" t="s">
        <v>118</v>
      </c>
      <c r="C956" s="46" t="s">
        <v>1238</v>
      </c>
      <c r="D956" s="46" t="s">
        <v>1239</v>
      </c>
      <c r="E956" s="46" t="s">
        <v>1240</v>
      </c>
      <c r="F956" s="46" t="s">
        <v>1233</v>
      </c>
      <c r="G956" s="46" t="s">
        <v>1207</v>
      </c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</row>
    <row r="957" spans="1:22" ht="15.75" customHeight="1" x14ac:dyDescent="0.2">
      <c r="A957" s="40"/>
      <c r="B957" s="45" t="s">
        <v>118</v>
      </c>
      <c r="C957" s="46" t="s">
        <v>1241</v>
      </c>
      <c r="D957" s="46" t="s">
        <v>1242</v>
      </c>
      <c r="E957" s="46" t="s">
        <v>1243</v>
      </c>
      <c r="F957" s="46" t="s">
        <v>1233</v>
      </c>
      <c r="G957" s="46" t="s">
        <v>1207</v>
      </c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</row>
    <row r="958" spans="1:22" ht="15.75" customHeight="1" x14ac:dyDescent="0.2">
      <c r="A958" s="40"/>
      <c r="B958" s="45" t="s">
        <v>94</v>
      </c>
      <c r="C958" s="46" t="s">
        <v>1241</v>
      </c>
      <c r="D958" s="46" t="s">
        <v>1242</v>
      </c>
      <c r="E958" s="46" t="s">
        <v>1243</v>
      </c>
      <c r="F958" s="46" t="s">
        <v>1233</v>
      </c>
      <c r="G958" s="46" t="s">
        <v>1207</v>
      </c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</row>
    <row r="959" spans="1:22" ht="15.75" customHeight="1" x14ac:dyDescent="0.2">
      <c r="A959" s="40"/>
      <c r="B959" s="45" t="s">
        <v>94</v>
      </c>
      <c r="C959" s="46" t="s">
        <v>1244</v>
      </c>
      <c r="D959" s="46" t="s">
        <v>28</v>
      </c>
      <c r="E959" s="46" t="s">
        <v>478</v>
      </c>
      <c r="F959" s="46" t="s">
        <v>1233</v>
      </c>
      <c r="G959" s="46" t="s">
        <v>1207</v>
      </c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</row>
    <row r="960" spans="1:22" ht="15.75" customHeight="1" x14ac:dyDescent="0.2">
      <c r="A960" s="40">
        <v>355</v>
      </c>
      <c r="B960" s="41" t="s">
        <v>1162</v>
      </c>
      <c r="C960" s="42" t="s">
        <v>1017</v>
      </c>
      <c r="D960" s="42" t="s">
        <v>557</v>
      </c>
      <c r="E960" s="42" t="s">
        <v>334</v>
      </c>
      <c r="F960" s="42" t="s">
        <v>1245</v>
      </c>
      <c r="G960" s="42" t="s">
        <v>1207</v>
      </c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</row>
    <row r="961" spans="1:22" ht="15.75" customHeight="1" x14ac:dyDescent="0.2">
      <c r="A961" s="40">
        <v>2233</v>
      </c>
      <c r="B961" s="41" t="s">
        <v>282</v>
      </c>
      <c r="C961" s="42" t="s">
        <v>1017</v>
      </c>
      <c r="D961" s="42" t="s">
        <v>557</v>
      </c>
      <c r="E961" s="42" t="s">
        <v>334</v>
      </c>
      <c r="F961" s="42" t="s">
        <v>1245</v>
      </c>
      <c r="G961" s="42" t="s">
        <v>1207</v>
      </c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</row>
    <row r="962" spans="1:22" ht="15.75" customHeight="1" x14ac:dyDescent="0.2">
      <c r="A962" s="40">
        <v>2561</v>
      </c>
      <c r="B962" s="41" t="s">
        <v>1247</v>
      </c>
      <c r="C962" s="42" t="s">
        <v>1017</v>
      </c>
      <c r="D962" s="42" t="s">
        <v>557</v>
      </c>
      <c r="E962" s="42" t="s">
        <v>334</v>
      </c>
      <c r="F962" s="42" t="s">
        <v>1245</v>
      </c>
      <c r="G962" s="42" t="s">
        <v>1207</v>
      </c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</row>
    <row r="963" spans="1:22" ht="15.75" customHeight="1" x14ac:dyDescent="0.2">
      <c r="A963" s="40"/>
      <c r="B963" s="45" t="s">
        <v>94</v>
      </c>
      <c r="C963" s="46" t="s">
        <v>700</v>
      </c>
      <c r="D963" s="46" t="s">
        <v>557</v>
      </c>
      <c r="E963" s="46" t="s">
        <v>571</v>
      </c>
      <c r="F963" s="46" t="s">
        <v>1245</v>
      </c>
      <c r="G963" s="46" t="s">
        <v>1207</v>
      </c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</row>
    <row r="964" spans="1:22" ht="15.75" customHeight="1" x14ac:dyDescent="0.2">
      <c r="A964" s="40"/>
      <c r="B964" s="45" t="s">
        <v>126</v>
      </c>
      <c r="C964" s="46" t="s">
        <v>1248</v>
      </c>
      <c r="D964" s="46" t="s">
        <v>1249</v>
      </c>
      <c r="E964" s="46" t="s">
        <v>1250</v>
      </c>
      <c r="F964" s="46" t="s">
        <v>1245</v>
      </c>
      <c r="G964" s="46" t="s">
        <v>1207</v>
      </c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</row>
    <row r="965" spans="1:22" ht="15.75" customHeight="1" x14ac:dyDescent="0.2">
      <c r="A965" s="40"/>
      <c r="B965" s="45" t="s">
        <v>94</v>
      </c>
      <c r="C965" s="46" t="s">
        <v>1248</v>
      </c>
      <c r="D965" s="46" t="s">
        <v>1249</v>
      </c>
      <c r="E965" s="46" t="s">
        <v>1250</v>
      </c>
      <c r="F965" s="46" t="s">
        <v>1245</v>
      </c>
      <c r="G965" s="46" t="s">
        <v>1207</v>
      </c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</row>
    <row r="966" spans="1:22" ht="15.75" customHeight="1" x14ac:dyDescent="0.2">
      <c r="A966" s="40"/>
      <c r="B966" s="45" t="s">
        <v>296</v>
      </c>
      <c r="C966" s="46" t="s">
        <v>1251</v>
      </c>
      <c r="D966" s="46" t="s">
        <v>529</v>
      </c>
      <c r="E966" s="46" t="s">
        <v>1252</v>
      </c>
      <c r="F966" s="46" t="s">
        <v>1245</v>
      </c>
      <c r="G966" s="46" t="s">
        <v>1207</v>
      </c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</row>
    <row r="967" spans="1:22" ht="15.75" customHeight="1" x14ac:dyDescent="0.2">
      <c r="A967" s="40"/>
      <c r="B967" s="45" t="s">
        <v>108</v>
      </c>
      <c r="C967" s="46" t="s">
        <v>1251</v>
      </c>
      <c r="D967" s="46" t="s">
        <v>529</v>
      </c>
      <c r="E967" s="46" t="s">
        <v>1252</v>
      </c>
      <c r="F967" s="46" t="s">
        <v>1245</v>
      </c>
      <c r="G967" s="46" t="s">
        <v>1207</v>
      </c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</row>
    <row r="968" spans="1:22" ht="15.75" customHeight="1" x14ac:dyDescent="0.2">
      <c r="A968" s="40"/>
      <c r="B968" s="45" t="s">
        <v>108</v>
      </c>
      <c r="C968" s="46" t="s">
        <v>1253</v>
      </c>
      <c r="D968" s="46" t="s">
        <v>1254</v>
      </c>
      <c r="E968" s="46" t="s">
        <v>1255</v>
      </c>
      <c r="F968" s="46" t="s">
        <v>1245</v>
      </c>
      <c r="G968" s="46" t="s">
        <v>1207</v>
      </c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</row>
    <row r="969" spans="1:22" ht="15.75" customHeight="1" x14ac:dyDescent="0.2">
      <c r="A969" s="40">
        <v>221</v>
      </c>
      <c r="B969" s="41" t="s">
        <v>946</v>
      </c>
      <c r="C969" s="42" t="s">
        <v>1256</v>
      </c>
      <c r="D969" s="42" t="s">
        <v>58</v>
      </c>
      <c r="E969" s="42" t="s">
        <v>22</v>
      </c>
      <c r="F969" s="42" t="s">
        <v>1245</v>
      </c>
      <c r="G969" s="42" t="s">
        <v>1207</v>
      </c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</row>
    <row r="970" spans="1:22" ht="15.75" customHeight="1" x14ac:dyDescent="0.2">
      <c r="A970" s="40">
        <v>1249</v>
      </c>
      <c r="B970" s="41" t="s">
        <v>699</v>
      </c>
      <c r="C970" s="42" t="s">
        <v>1256</v>
      </c>
      <c r="D970" s="42" t="s">
        <v>58</v>
      </c>
      <c r="E970" s="42" t="s">
        <v>22</v>
      </c>
      <c r="F970" s="42" t="s">
        <v>1245</v>
      </c>
      <c r="G970" s="42" t="s">
        <v>1207</v>
      </c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</row>
    <row r="971" spans="1:22" ht="15.75" customHeight="1" x14ac:dyDescent="0.2">
      <c r="A971" s="40">
        <v>1641</v>
      </c>
      <c r="B971" s="41" t="s">
        <v>267</v>
      </c>
      <c r="C971" s="42" t="s">
        <v>1257</v>
      </c>
      <c r="D971" s="42" t="s">
        <v>139</v>
      </c>
      <c r="E971" s="42" t="s">
        <v>237</v>
      </c>
      <c r="F971" s="42" t="s">
        <v>1245</v>
      </c>
      <c r="G971" s="42" t="s">
        <v>1207</v>
      </c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</row>
    <row r="972" spans="1:22" ht="15.75" customHeight="1" x14ac:dyDescent="0.2">
      <c r="A972" s="40">
        <v>2211</v>
      </c>
      <c r="B972" s="41" t="s">
        <v>282</v>
      </c>
      <c r="C972" s="42" t="s">
        <v>1257</v>
      </c>
      <c r="D972" s="42" t="s">
        <v>139</v>
      </c>
      <c r="E972" s="42" t="s">
        <v>237</v>
      </c>
      <c r="F972" s="42" t="s">
        <v>1245</v>
      </c>
      <c r="G972" s="42" t="s">
        <v>1207</v>
      </c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</row>
    <row r="973" spans="1:22" ht="15.75" customHeight="1" x14ac:dyDescent="0.2">
      <c r="A973" s="48">
        <v>3005</v>
      </c>
      <c r="B973" s="49" t="s">
        <v>290</v>
      </c>
      <c r="C973" s="50" t="s">
        <v>1257</v>
      </c>
      <c r="D973" s="50" t="s">
        <v>139</v>
      </c>
      <c r="E973" s="50" t="s">
        <v>237</v>
      </c>
      <c r="F973" s="42" t="s">
        <v>1245</v>
      </c>
      <c r="G973" s="42" t="s">
        <v>1207</v>
      </c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</row>
    <row r="974" spans="1:22" ht="15.75" customHeight="1" x14ac:dyDescent="0.2">
      <c r="A974" s="40">
        <v>937</v>
      </c>
      <c r="B974" s="41" t="s">
        <v>709</v>
      </c>
      <c r="C974" s="42" t="s">
        <v>1258</v>
      </c>
      <c r="D974" s="42" t="s">
        <v>949</v>
      </c>
      <c r="E974" s="42" t="s">
        <v>1259</v>
      </c>
      <c r="F974" s="42" t="s">
        <v>1245</v>
      </c>
      <c r="G974" s="42" t="s">
        <v>1207</v>
      </c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</row>
    <row r="975" spans="1:22" ht="15.75" customHeight="1" x14ac:dyDescent="0.2">
      <c r="A975" s="40">
        <v>2025</v>
      </c>
      <c r="B975" s="41" t="s">
        <v>701</v>
      </c>
      <c r="C975" s="42" t="s">
        <v>1258</v>
      </c>
      <c r="D975" s="42" t="s">
        <v>949</v>
      </c>
      <c r="E975" s="42" t="s">
        <v>1259</v>
      </c>
      <c r="F975" s="42" t="s">
        <v>1245</v>
      </c>
      <c r="G975" s="42" t="s">
        <v>1207</v>
      </c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</row>
    <row r="976" spans="1:22" ht="15.75" customHeight="1" x14ac:dyDescent="0.2">
      <c r="A976" s="40">
        <v>2625</v>
      </c>
      <c r="B976" s="41" t="s">
        <v>702</v>
      </c>
      <c r="C976" s="42" t="s">
        <v>1258</v>
      </c>
      <c r="D976" s="42" t="s">
        <v>949</v>
      </c>
      <c r="E976" s="42" t="s">
        <v>1259</v>
      </c>
      <c r="F976" s="42" t="s">
        <v>1245</v>
      </c>
      <c r="G976" s="42" t="s">
        <v>1207</v>
      </c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</row>
    <row r="977" spans="1:22" ht="15.75" customHeight="1" x14ac:dyDescent="0.2">
      <c r="A977" s="40">
        <v>187</v>
      </c>
      <c r="B977" s="41" t="s">
        <v>549</v>
      </c>
      <c r="C977" s="42" t="s">
        <v>1260</v>
      </c>
      <c r="D977" s="42" t="s">
        <v>1261</v>
      </c>
      <c r="E977" s="42" t="s">
        <v>302</v>
      </c>
      <c r="F977" s="42" t="s">
        <v>1245</v>
      </c>
      <c r="G977" s="42" t="s">
        <v>1207</v>
      </c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</row>
    <row r="978" spans="1:22" ht="15.75" customHeight="1" x14ac:dyDescent="0.2">
      <c r="A978" s="40">
        <v>2967</v>
      </c>
      <c r="B978" s="41" t="s">
        <v>1138</v>
      </c>
      <c r="C978" s="42" t="s">
        <v>1260</v>
      </c>
      <c r="D978" s="42" t="s">
        <v>1261</v>
      </c>
      <c r="E978" s="42" t="s">
        <v>302</v>
      </c>
      <c r="F978" s="42" t="s">
        <v>1245</v>
      </c>
      <c r="G978" s="42" t="s">
        <v>1207</v>
      </c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</row>
    <row r="979" spans="1:22" ht="15.75" customHeight="1" x14ac:dyDescent="0.2">
      <c r="A979" s="40">
        <v>99</v>
      </c>
      <c r="B979" s="41" t="s">
        <v>1262</v>
      </c>
      <c r="C979" s="42" t="s">
        <v>1263</v>
      </c>
      <c r="D979" s="42" t="s">
        <v>236</v>
      </c>
      <c r="E979" s="42" t="s">
        <v>334</v>
      </c>
      <c r="F979" s="42" t="s">
        <v>1245</v>
      </c>
      <c r="G979" s="42" t="s">
        <v>1207</v>
      </c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</row>
    <row r="980" spans="1:22" ht="15.75" customHeight="1" x14ac:dyDescent="0.2">
      <c r="A980" s="40">
        <v>2071</v>
      </c>
      <c r="B980" s="41" t="s">
        <v>653</v>
      </c>
      <c r="C980" s="42" t="s">
        <v>1263</v>
      </c>
      <c r="D980" s="42" t="s">
        <v>236</v>
      </c>
      <c r="E980" s="42" t="s">
        <v>334</v>
      </c>
      <c r="F980" s="42" t="s">
        <v>1245</v>
      </c>
      <c r="G980" s="42" t="s">
        <v>1207</v>
      </c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</row>
    <row r="981" spans="1:22" ht="15.75" customHeight="1" x14ac:dyDescent="0.2">
      <c r="A981" s="40">
        <v>2493</v>
      </c>
      <c r="B981" s="41" t="s">
        <v>444</v>
      </c>
      <c r="C981" s="42" t="s">
        <v>1263</v>
      </c>
      <c r="D981" s="42" t="s">
        <v>236</v>
      </c>
      <c r="E981" s="42" t="s">
        <v>334</v>
      </c>
      <c r="F981" s="42" t="s">
        <v>1245</v>
      </c>
      <c r="G981" s="42" t="s">
        <v>1207</v>
      </c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</row>
    <row r="982" spans="1:22" ht="15.75" customHeight="1" x14ac:dyDescent="0.2">
      <c r="A982" s="40">
        <v>83</v>
      </c>
      <c r="B982" s="41" t="s">
        <v>707</v>
      </c>
      <c r="C982" s="42" t="s">
        <v>1264</v>
      </c>
      <c r="D982" s="42" t="s">
        <v>39</v>
      </c>
      <c r="E982" s="42" t="s">
        <v>306</v>
      </c>
      <c r="F982" s="42" t="s">
        <v>1245</v>
      </c>
      <c r="G982" s="42" t="s">
        <v>1207</v>
      </c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</row>
    <row r="983" spans="1:22" ht="15.75" customHeight="1" x14ac:dyDescent="0.2">
      <c r="A983" s="40">
        <v>909</v>
      </c>
      <c r="B983" s="41" t="s">
        <v>694</v>
      </c>
      <c r="C983" s="42" t="s">
        <v>1264</v>
      </c>
      <c r="D983" s="42" t="s">
        <v>39</v>
      </c>
      <c r="E983" s="42" t="s">
        <v>306</v>
      </c>
      <c r="F983" s="42" t="s">
        <v>1245</v>
      </c>
      <c r="G983" s="42" t="s">
        <v>1207</v>
      </c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</row>
    <row r="984" spans="1:22" ht="15.75" customHeight="1" x14ac:dyDescent="0.2">
      <c r="A984" s="40">
        <v>2023</v>
      </c>
      <c r="B984" s="41" t="s">
        <v>701</v>
      </c>
      <c r="C984" s="42" t="s">
        <v>1264</v>
      </c>
      <c r="D984" s="42" t="s">
        <v>39</v>
      </c>
      <c r="E984" s="42" t="s">
        <v>306</v>
      </c>
      <c r="F984" s="42" t="s">
        <v>1245</v>
      </c>
      <c r="G984" s="42" t="s">
        <v>1207</v>
      </c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</row>
    <row r="985" spans="1:22" ht="15.75" customHeight="1" x14ac:dyDescent="0.2">
      <c r="A985" s="40"/>
      <c r="B985" s="45" t="s">
        <v>126</v>
      </c>
      <c r="C985" s="46" t="s">
        <v>1265</v>
      </c>
      <c r="D985" s="46" t="s">
        <v>1266</v>
      </c>
      <c r="E985" s="46" t="s">
        <v>393</v>
      </c>
      <c r="F985" s="46" t="s">
        <v>1245</v>
      </c>
      <c r="G985" s="46" t="s">
        <v>1207</v>
      </c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</row>
    <row r="986" spans="1:22" ht="15.75" customHeight="1" x14ac:dyDescent="0.2">
      <c r="A986" s="40"/>
      <c r="B986" s="45" t="s">
        <v>94</v>
      </c>
      <c r="C986" s="46" t="s">
        <v>1265</v>
      </c>
      <c r="D986" s="46" t="s">
        <v>1266</v>
      </c>
      <c r="E986" s="46" t="s">
        <v>393</v>
      </c>
      <c r="F986" s="46" t="s">
        <v>1245</v>
      </c>
      <c r="G986" s="46" t="s">
        <v>1207</v>
      </c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</row>
    <row r="987" spans="1:22" ht="15.75" customHeight="1" x14ac:dyDescent="0.2">
      <c r="A987" s="40">
        <v>315</v>
      </c>
      <c r="B987" s="41" t="s">
        <v>552</v>
      </c>
      <c r="C987" s="42" t="s">
        <v>1202</v>
      </c>
      <c r="D987" s="42" t="s">
        <v>39</v>
      </c>
      <c r="E987" s="42" t="s">
        <v>87</v>
      </c>
      <c r="F987" s="42" t="s">
        <v>1245</v>
      </c>
      <c r="G987" s="42" t="s">
        <v>1207</v>
      </c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</row>
    <row r="988" spans="1:22" ht="15.75" customHeight="1" x14ac:dyDescent="0.2">
      <c r="A988" s="40">
        <v>1473</v>
      </c>
      <c r="B988" s="41" t="s">
        <v>261</v>
      </c>
      <c r="C988" s="42" t="s">
        <v>1202</v>
      </c>
      <c r="D988" s="42" t="s">
        <v>39</v>
      </c>
      <c r="E988" s="42" t="s">
        <v>87</v>
      </c>
      <c r="F988" s="42" t="s">
        <v>1245</v>
      </c>
      <c r="G988" s="42" t="s">
        <v>1207</v>
      </c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</row>
    <row r="989" spans="1:22" ht="15.75" customHeight="1" x14ac:dyDescent="0.2">
      <c r="A989" s="40">
        <v>1915</v>
      </c>
      <c r="B989" s="41" t="s">
        <v>277</v>
      </c>
      <c r="C989" s="42" t="s">
        <v>1202</v>
      </c>
      <c r="D989" s="42" t="s">
        <v>39</v>
      </c>
      <c r="E989" s="42" t="s">
        <v>87</v>
      </c>
      <c r="F989" s="42" t="s">
        <v>1245</v>
      </c>
      <c r="G989" s="42" t="s">
        <v>1207</v>
      </c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</row>
    <row r="990" spans="1:22" ht="15.75" customHeight="1" x14ac:dyDescent="0.2">
      <c r="A990" s="40">
        <v>2177</v>
      </c>
      <c r="B990" s="41" t="s">
        <v>281</v>
      </c>
      <c r="C990" s="42" t="s">
        <v>1202</v>
      </c>
      <c r="D990" s="42" t="s">
        <v>39</v>
      </c>
      <c r="E990" s="42" t="s">
        <v>87</v>
      </c>
      <c r="F990" s="42" t="s">
        <v>1245</v>
      </c>
      <c r="G990" s="42" t="s">
        <v>1207</v>
      </c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</row>
    <row r="991" spans="1:22" ht="15.75" customHeight="1" x14ac:dyDescent="0.2">
      <c r="A991" s="40">
        <v>219</v>
      </c>
      <c r="B991" s="41" t="s">
        <v>946</v>
      </c>
      <c r="C991" s="42" t="s">
        <v>1267</v>
      </c>
      <c r="D991" s="42" t="s">
        <v>183</v>
      </c>
      <c r="E991" s="42" t="s">
        <v>334</v>
      </c>
      <c r="F991" s="42" t="s">
        <v>1245</v>
      </c>
      <c r="G991" s="42" t="s">
        <v>1207</v>
      </c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</row>
    <row r="992" spans="1:22" ht="15.75" customHeight="1" x14ac:dyDescent="0.2">
      <c r="A992" s="40">
        <v>1279</v>
      </c>
      <c r="B992" s="41" t="s">
        <v>453</v>
      </c>
      <c r="C992" s="42" t="s">
        <v>1267</v>
      </c>
      <c r="D992" s="42" t="s">
        <v>183</v>
      </c>
      <c r="E992" s="42" t="s">
        <v>334</v>
      </c>
      <c r="F992" s="42" t="s">
        <v>1245</v>
      </c>
      <c r="G992" s="42" t="s">
        <v>1207</v>
      </c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</row>
    <row r="993" spans="1:22" ht="15.75" customHeight="1" x14ac:dyDescent="0.2">
      <c r="A993" s="40">
        <v>2115</v>
      </c>
      <c r="B993" s="41" t="s">
        <v>280</v>
      </c>
      <c r="C993" s="42" t="s">
        <v>1267</v>
      </c>
      <c r="D993" s="42" t="s">
        <v>183</v>
      </c>
      <c r="E993" s="42" t="s">
        <v>334</v>
      </c>
      <c r="F993" s="42" t="s">
        <v>1245</v>
      </c>
      <c r="G993" s="42" t="s">
        <v>1207</v>
      </c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</row>
    <row r="994" spans="1:22" ht="15.75" customHeight="1" x14ac:dyDescent="0.2">
      <c r="A994" s="40">
        <v>69</v>
      </c>
      <c r="B994" s="41" t="s">
        <v>226</v>
      </c>
      <c r="C994" s="42" t="s">
        <v>1268</v>
      </c>
      <c r="D994" s="42" t="s">
        <v>116</v>
      </c>
      <c r="E994" s="42" t="s">
        <v>326</v>
      </c>
      <c r="F994" s="42" t="s">
        <v>1245</v>
      </c>
      <c r="G994" s="42" t="s">
        <v>1207</v>
      </c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</row>
    <row r="995" spans="1:22" ht="15.75" customHeight="1" x14ac:dyDescent="0.2">
      <c r="A995" s="40"/>
      <c r="B995" s="45" t="s">
        <v>94</v>
      </c>
      <c r="C995" s="46" t="s">
        <v>1268</v>
      </c>
      <c r="D995" s="46" t="s">
        <v>116</v>
      </c>
      <c r="E995" s="46" t="s">
        <v>326</v>
      </c>
      <c r="F995" s="46" t="s">
        <v>1245</v>
      </c>
      <c r="G995" s="46" t="s">
        <v>1207</v>
      </c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</row>
    <row r="996" spans="1:22" ht="15.75" customHeight="1" x14ac:dyDescent="0.2">
      <c r="A996" s="40">
        <v>189</v>
      </c>
      <c r="B996" s="41" t="s">
        <v>549</v>
      </c>
      <c r="C996" s="42" t="s">
        <v>1269</v>
      </c>
      <c r="D996" s="42" t="s">
        <v>73</v>
      </c>
      <c r="E996" s="42" t="s">
        <v>32</v>
      </c>
      <c r="F996" s="42" t="s">
        <v>1245</v>
      </c>
      <c r="G996" s="42" t="s">
        <v>1207</v>
      </c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</row>
    <row r="997" spans="1:22" ht="15.75" customHeight="1" x14ac:dyDescent="0.2">
      <c r="A997" s="40">
        <v>2117</v>
      </c>
      <c r="B997" s="41" t="s">
        <v>280</v>
      </c>
      <c r="C997" s="42" t="s">
        <v>1269</v>
      </c>
      <c r="D997" s="42" t="s">
        <v>73</v>
      </c>
      <c r="E997" s="42" t="s">
        <v>32</v>
      </c>
      <c r="F997" s="42" t="s">
        <v>1245</v>
      </c>
      <c r="G997" s="42" t="s">
        <v>1207</v>
      </c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</row>
    <row r="998" spans="1:22" ht="15.75" customHeight="1" x14ac:dyDescent="0.2">
      <c r="A998" s="40">
        <v>2949</v>
      </c>
      <c r="B998" s="41" t="s">
        <v>1270</v>
      </c>
      <c r="C998" s="42" t="s">
        <v>1269</v>
      </c>
      <c r="D998" s="42" t="s">
        <v>73</v>
      </c>
      <c r="E998" s="42" t="s">
        <v>32</v>
      </c>
      <c r="F998" s="42" t="s">
        <v>1245</v>
      </c>
      <c r="G998" s="42" t="s">
        <v>1207</v>
      </c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</row>
    <row r="999" spans="1:22" ht="15.75" customHeight="1" x14ac:dyDescent="0.2">
      <c r="A999" s="40">
        <v>1565</v>
      </c>
      <c r="B999" s="41" t="s">
        <v>377</v>
      </c>
      <c r="C999" s="42" t="s">
        <v>1271</v>
      </c>
      <c r="D999" s="42" t="s">
        <v>295</v>
      </c>
      <c r="E999" s="42" t="s">
        <v>626</v>
      </c>
      <c r="F999" s="42" t="s">
        <v>1245</v>
      </c>
      <c r="G999" s="42" t="s">
        <v>1207</v>
      </c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</row>
    <row r="1000" spans="1:22" ht="15.75" customHeight="1" x14ac:dyDescent="0.2">
      <c r="A1000" s="40">
        <v>2345</v>
      </c>
      <c r="B1000" s="41" t="s">
        <v>285</v>
      </c>
      <c r="C1000" s="42" t="s">
        <v>1271</v>
      </c>
      <c r="D1000" s="42" t="s">
        <v>295</v>
      </c>
      <c r="E1000" s="42" t="s">
        <v>626</v>
      </c>
      <c r="F1000" s="42" t="s">
        <v>1245</v>
      </c>
      <c r="G1000" s="42" t="s">
        <v>1207</v>
      </c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</row>
    <row r="1001" spans="1:22" ht="15.75" customHeight="1" x14ac:dyDescent="0.2">
      <c r="A1001" s="40">
        <v>2731</v>
      </c>
      <c r="B1001" s="41" t="s">
        <v>703</v>
      </c>
      <c r="C1001" s="42" t="s">
        <v>1271</v>
      </c>
      <c r="D1001" s="42" t="s">
        <v>295</v>
      </c>
      <c r="E1001" s="42" t="s">
        <v>626</v>
      </c>
      <c r="F1001" s="42" t="s">
        <v>1245</v>
      </c>
      <c r="G1001" s="42" t="s">
        <v>1207</v>
      </c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</row>
    <row r="1002" spans="1:22" ht="15.75" customHeight="1" x14ac:dyDescent="0.2">
      <c r="A1002" s="40">
        <v>675</v>
      </c>
      <c r="B1002" s="41" t="s">
        <v>252</v>
      </c>
      <c r="C1002" s="42" t="s">
        <v>1272</v>
      </c>
      <c r="D1002" s="42" t="s">
        <v>171</v>
      </c>
      <c r="E1002" s="42" t="s">
        <v>105</v>
      </c>
      <c r="F1002" s="42" t="s">
        <v>1245</v>
      </c>
      <c r="G1002" s="42" t="s">
        <v>1207</v>
      </c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</row>
    <row r="1003" spans="1:22" ht="15.75" customHeight="1" x14ac:dyDescent="0.2">
      <c r="A1003" s="40">
        <v>1581</v>
      </c>
      <c r="B1003" s="41" t="s">
        <v>585</v>
      </c>
      <c r="C1003" s="42" t="s">
        <v>1272</v>
      </c>
      <c r="D1003" s="42" t="s">
        <v>171</v>
      </c>
      <c r="E1003" s="42" t="s">
        <v>105</v>
      </c>
      <c r="F1003" s="42" t="s">
        <v>1245</v>
      </c>
      <c r="G1003" s="42" t="s">
        <v>1207</v>
      </c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</row>
    <row r="1004" spans="1:22" ht="15.75" customHeight="1" x14ac:dyDescent="0.2">
      <c r="A1004" s="40">
        <v>2337</v>
      </c>
      <c r="B1004" s="41" t="s">
        <v>285</v>
      </c>
      <c r="C1004" s="42" t="s">
        <v>1272</v>
      </c>
      <c r="D1004" s="42" t="s">
        <v>171</v>
      </c>
      <c r="E1004" s="42" t="s">
        <v>105</v>
      </c>
      <c r="F1004" s="42" t="s">
        <v>1245</v>
      </c>
      <c r="G1004" s="42" t="s">
        <v>1207</v>
      </c>
      <c r="H1004" s="43"/>
      <c r="I1004" s="43"/>
      <c r="J1004" s="43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</row>
    <row r="1005" spans="1:22" ht="15.75" customHeight="1" x14ac:dyDescent="0.2">
      <c r="A1005" s="40">
        <v>2589</v>
      </c>
      <c r="B1005" s="41" t="s">
        <v>287</v>
      </c>
      <c r="C1005" s="42" t="s">
        <v>1272</v>
      </c>
      <c r="D1005" s="42" t="s">
        <v>171</v>
      </c>
      <c r="E1005" s="42" t="s">
        <v>105</v>
      </c>
      <c r="F1005" s="42" t="s">
        <v>1245</v>
      </c>
      <c r="G1005" s="42" t="s">
        <v>1207</v>
      </c>
      <c r="H1005" s="43"/>
      <c r="I1005" s="43"/>
      <c r="J1005" s="43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</row>
    <row r="1006" spans="1:22" ht="15.75" customHeight="1" x14ac:dyDescent="0.2">
      <c r="A1006" s="40"/>
      <c r="B1006" s="45" t="s">
        <v>307</v>
      </c>
      <c r="C1006" s="46" t="s">
        <v>1272</v>
      </c>
      <c r="D1006" s="46" t="s">
        <v>39</v>
      </c>
      <c r="E1006" s="46" t="s">
        <v>337</v>
      </c>
      <c r="F1006" s="46" t="s">
        <v>1245</v>
      </c>
      <c r="G1006" s="46" t="s">
        <v>1207</v>
      </c>
      <c r="H1006" s="43"/>
      <c r="I1006" s="43"/>
      <c r="J1006" s="43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</row>
    <row r="1007" spans="1:22" ht="15.75" customHeight="1" x14ac:dyDescent="0.2">
      <c r="A1007" s="40"/>
      <c r="B1007" s="45" t="s">
        <v>108</v>
      </c>
      <c r="C1007" s="46" t="s">
        <v>1272</v>
      </c>
      <c r="D1007" s="46" t="s">
        <v>39</v>
      </c>
      <c r="E1007" s="46" t="s">
        <v>337</v>
      </c>
      <c r="F1007" s="46" t="s">
        <v>1245</v>
      </c>
      <c r="G1007" s="46" t="s">
        <v>1207</v>
      </c>
      <c r="H1007" s="43"/>
      <c r="I1007" s="43"/>
      <c r="J1007" s="43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</row>
    <row r="1008" spans="1:22" ht="15.75" customHeight="1" x14ac:dyDescent="0.2">
      <c r="A1008" s="40"/>
      <c r="B1008" s="45" t="s">
        <v>102</v>
      </c>
      <c r="C1008" s="46" t="s">
        <v>1273</v>
      </c>
      <c r="D1008" s="46" t="s">
        <v>917</v>
      </c>
      <c r="E1008" s="46" t="s">
        <v>1274</v>
      </c>
      <c r="F1008" s="46" t="s">
        <v>1245</v>
      </c>
      <c r="G1008" s="46" t="s">
        <v>1207</v>
      </c>
      <c r="H1008" s="43"/>
      <c r="I1008" s="43"/>
      <c r="J1008" s="43"/>
      <c r="K1008" s="43"/>
      <c r="L1008" s="43"/>
      <c r="M1008" s="43"/>
      <c r="N1008" s="43"/>
      <c r="O1008" s="43"/>
      <c r="P1008" s="43"/>
      <c r="Q1008" s="43"/>
      <c r="R1008" s="43"/>
      <c r="S1008" s="43"/>
      <c r="T1008" s="43"/>
      <c r="U1008" s="43"/>
      <c r="V1008" s="43"/>
    </row>
    <row r="1009" spans="1:22" ht="15.75" customHeight="1" x14ac:dyDescent="0.2">
      <c r="A1009" s="40"/>
      <c r="B1009" s="45" t="s">
        <v>108</v>
      </c>
      <c r="C1009" s="46" t="s">
        <v>1273</v>
      </c>
      <c r="D1009" s="46" t="s">
        <v>917</v>
      </c>
      <c r="E1009" s="46" t="s">
        <v>1274</v>
      </c>
      <c r="F1009" s="46" t="s">
        <v>1245</v>
      </c>
      <c r="G1009" s="46" t="s">
        <v>1207</v>
      </c>
      <c r="H1009" s="43"/>
      <c r="I1009" s="43"/>
      <c r="J1009" s="43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</row>
    <row r="1010" spans="1:22" ht="15.75" customHeight="1" x14ac:dyDescent="0.2">
      <c r="A1010" s="40"/>
      <c r="B1010" s="45" t="s">
        <v>94</v>
      </c>
      <c r="C1010" s="46" t="s">
        <v>1273</v>
      </c>
      <c r="D1010" s="46" t="s">
        <v>917</v>
      </c>
      <c r="E1010" s="46" t="s">
        <v>1274</v>
      </c>
      <c r="F1010" s="46" t="s">
        <v>1245</v>
      </c>
      <c r="G1010" s="46" t="s">
        <v>1207</v>
      </c>
      <c r="H1010" s="43"/>
      <c r="I1010" s="43"/>
      <c r="J1010" s="43"/>
      <c r="K1010" s="43"/>
      <c r="L1010" s="43"/>
      <c r="M1010" s="43"/>
      <c r="N1010" s="43"/>
      <c r="O1010" s="43"/>
      <c r="P1010" s="43"/>
      <c r="Q1010" s="43"/>
      <c r="R1010" s="43"/>
      <c r="S1010" s="43"/>
      <c r="T1010" s="43"/>
      <c r="U1010" s="43"/>
      <c r="V1010" s="43"/>
    </row>
    <row r="1011" spans="1:22" ht="15.75" customHeight="1" x14ac:dyDescent="0.2">
      <c r="A1011" s="40">
        <v>1475</v>
      </c>
      <c r="B1011" s="41" t="s">
        <v>261</v>
      </c>
      <c r="C1011" s="42" t="s">
        <v>1275</v>
      </c>
      <c r="D1011" s="42" t="s">
        <v>86</v>
      </c>
      <c r="E1011" s="42" t="s">
        <v>334</v>
      </c>
      <c r="F1011" s="42" t="s">
        <v>1245</v>
      </c>
      <c r="G1011" s="42" t="s">
        <v>1207</v>
      </c>
      <c r="H1011" s="43"/>
      <c r="I1011" s="43"/>
      <c r="J1011" s="43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</row>
    <row r="1012" spans="1:22" ht="15.75" customHeight="1" x14ac:dyDescent="0.2">
      <c r="A1012" s="40">
        <v>2703</v>
      </c>
      <c r="B1012" s="41" t="s">
        <v>1098</v>
      </c>
      <c r="C1012" s="42" t="s">
        <v>1275</v>
      </c>
      <c r="D1012" s="42" t="s">
        <v>309</v>
      </c>
      <c r="E1012" s="42" t="s">
        <v>334</v>
      </c>
      <c r="F1012" s="42" t="s">
        <v>1245</v>
      </c>
      <c r="G1012" s="42" t="s">
        <v>1207</v>
      </c>
      <c r="H1012" s="43"/>
      <c r="I1012" s="43"/>
      <c r="J1012" s="43"/>
      <c r="K1012" s="43"/>
      <c r="L1012" s="43"/>
      <c r="M1012" s="43"/>
      <c r="N1012" s="43"/>
      <c r="O1012" s="43"/>
      <c r="P1012" s="43"/>
      <c r="Q1012" s="43"/>
      <c r="R1012" s="43"/>
      <c r="S1012" s="43"/>
      <c r="T1012" s="43"/>
      <c r="U1012" s="43"/>
      <c r="V1012" s="43"/>
    </row>
    <row r="1013" spans="1:22" ht="15.75" customHeight="1" x14ac:dyDescent="0.2">
      <c r="A1013" s="40"/>
      <c r="B1013" s="45" t="s">
        <v>94</v>
      </c>
      <c r="C1013" s="46" t="s">
        <v>1276</v>
      </c>
      <c r="D1013" s="46" t="s">
        <v>1277</v>
      </c>
      <c r="E1013" s="46" t="s">
        <v>1278</v>
      </c>
      <c r="F1013" s="46" t="s">
        <v>1245</v>
      </c>
      <c r="G1013" s="46" t="s">
        <v>1207</v>
      </c>
      <c r="H1013" s="43"/>
      <c r="I1013" s="43"/>
      <c r="J1013" s="43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</row>
    <row r="1014" spans="1:22" ht="15.75" customHeight="1" x14ac:dyDescent="0.2">
      <c r="A1014" s="40"/>
      <c r="B1014" s="45" t="s">
        <v>323</v>
      </c>
      <c r="C1014" s="46" t="s">
        <v>1279</v>
      </c>
      <c r="D1014" s="46" t="s">
        <v>1280</v>
      </c>
      <c r="E1014" s="46" t="s">
        <v>1281</v>
      </c>
      <c r="F1014" s="46" t="s">
        <v>1245</v>
      </c>
      <c r="G1014" s="46" t="s">
        <v>1207</v>
      </c>
      <c r="H1014" s="43"/>
      <c r="I1014" s="43"/>
      <c r="J1014" s="43"/>
      <c r="K1014" s="43"/>
      <c r="L1014" s="43"/>
      <c r="M1014" s="43"/>
      <c r="N1014" s="43"/>
      <c r="O1014" s="43"/>
      <c r="P1014" s="43"/>
      <c r="Q1014" s="43"/>
      <c r="R1014" s="43"/>
      <c r="S1014" s="43"/>
      <c r="T1014" s="43"/>
      <c r="U1014" s="43"/>
      <c r="V1014" s="43"/>
    </row>
    <row r="1015" spans="1:22" ht="15.75" customHeight="1" x14ac:dyDescent="0.2">
      <c r="A1015" s="40"/>
      <c r="B1015" s="45" t="s">
        <v>315</v>
      </c>
      <c r="C1015" s="46" t="s">
        <v>1282</v>
      </c>
      <c r="D1015" s="46" t="s">
        <v>1283</v>
      </c>
      <c r="E1015" s="46" t="s">
        <v>1284</v>
      </c>
      <c r="F1015" s="46" t="s">
        <v>1245</v>
      </c>
      <c r="G1015" s="46" t="s">
        <v>1207</v>
      </c>
      <c r="H1015" s="43"/>
      <c r="I1015" s="43"/>
      <c r="J1015" s="43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</row>
    <row r="1016" spans="1:22" ht="15.75" customHeight="1" x14ac:dyDescent="0.2">
      <c r="A1016" s="40">
        <v>31</v>
      </c>
      <c r="B1016" s="41" t="s">
        <v>939</v>
      </c>
      <c r="C1016" s="42" t="s">
        <v>813</v>
      </c>
      <c r="D1016" s="42" t="s">
        <v>58</v>
      </c>
      <c r="E1016" s="42" t="s">
        <v>630</v>
      </c>
      <c r="F1016" s="42" t="s">
        <v>1245</v>
      </c>
      <c r="G1016" s="42" t="s">
        <v>1207</v>
      </c>
      <c r="H1016" s="43"/>
      <c r="I1016" s="43"/>
      <c r="J1016" s="43"/>
      <c r="K1016" s="43"/>
      <c r="L1016" s="43"/>
      <c r="M1016" s="43"/>
      <c r="N1016" s="43"/>
      <c r="O1016" s="43"/>
      <c r="P1016" s="43"/>
      <c r="Q1016" s="43"/>
      <c r="R1016" s="43"/>
      <c r="S1016" s="43"/>
      <c r="T1016" s="43"/>
      <c r="U1016" s="43"/>
      <c r="V1016" s="43"/>
    </row>
    <row r="1017" spans="1:22" ht="15.75" customHeight="1" x14ac:dyDescent="0.2">
      <c r="A1017" s="40">
        <v>1995</v>
      </c>
      <c r="B1017" s="41" t="s">
        <v>652</v>
      </c>
      <c r="C1017" s="42" t="s">
        <v>813</v>
      </c>
      <c r="D1017" s="42" t="s">
        <v>58</v>
      </c>
      <c r="E1017" s="42" t="s">
        <v>630</v>
      </c>
      <c r="F1017" s="42" t="s">
        <v>1245</v>
      </c>
      <c r="G1017" s="42" t="s">
        <v>1207</v>
      </c>
      <c r="H1017" s="43"/>
      <c r="I1017" s="43"/>
      <c r="J1017" s="43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</row>
    <row r="1018" spans="1:22" ht="15.75" customHeight="1" x14ac:dyDescent="0.2">
      <c r="A1018" s="40"/>
      <c r="B1018" s="45" t="s">
        <v>126</v>
      </c>
      <c r="C1018" s="46" t="s">
        <v>1285</v>
      </c>
      <c r="D1018" s="46" t="s">
        <v>516</v>
      </c>
      <c r="E1018" s="46" t="s">
        <v>32</v>
      </c>
      <c r="F1018" s="46" t="s">
        <v>1245</v>
      </c>
      <c r="G1018" s="46" t="s">
        <v>1207</v>
      </c>
      <c r="H1018" s="43"/>
      <c r="I1018" s="43"/>
      <c r="J1018" s="43"/>
      <c r="K1018" s="43"/>
      <c r="L1018" s="43"/>
      <c r="M1018" s="43"/>
      <c r="N1018" s="43"/>
      <c r="O1018" s="43"/>
      <c r="P1018" s="43"/>
      <c r="Q1018" s="43"/>
      <c r="R1018" s="43"/>
      <c r="S1018" s="43"/>
      <c r="T1018" s="43"/>
      <c r="U1018" s="43"/>
      <c r="V1018" s="43"/>
    </row>
    <row r="1019" spans="1:22" ht="15.75" customHeight="1" x14ac:dyDescent="0.2">
      <c r="A1019" s="40"/>
      <c r="B1019" s="45" t="s">
        <v>94</v>
      </c>
      <c r="C1019" s="46" t="s">
        <v>1285</v>
      </c>
      <c r="D1019" s="46" t="s">
        <v>516</v>
      </c>
      <c r="E1019" s="46" t="s">
        <v>32</v>
      </c>
      <c r="F1019" s="46" t="s">
        <v>1245</v>
      </c>
      <c r="G1019" s="46" t="s">
        <v>1207</v>
      </c>
      <c r="H1019" s="43"/>
      <c r="I1019" s="43"/>
      <c r="J1019" s="43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</row>
    <row r="1020" spans="1:22" ht="15.75" customHeight="1" x14ac:dyDescent="0.2">
      <c r="A1020" s="40">
        <v>2175</v>
      </c>
      <c r="B1020" s="41" t="s">
        <v>281</v>
      </c>
      <c r="C1020" s="42" t="s">
        <v>1286</v>
      </c>
      <c r="D1020" s="42" t="s">
        <v>120</v>
      </c>
      <c r="E1020" s="42" t="s">
        <v>87</v>
      </c>
      <c r="F1020" s="42" t="s">
        <v>1245</v>
      </c>
      <c r="G1020" s="42" t="s">
        <v>1207</v>
      </c>
      <c r="H1020" s="43"/>
      <c r="I1020" s="43"/>
      <c r="J1020" s="43"/>
      <c r="K1020" s="43"/>
      <c r="L1020" s="43"/>
      <c r="M1020" s="43"/>
      <c r="N1020" s="43"/>
      <c r="O1020" s="43"/>
      <c r="P1020" s="43"/>
      <c r="Q1020" s="43"/>
      <c r="R1020" s="43"/>
      <c r="S1020" s="43"/>
      <c r="T1020" s="43"/>
      <c r="U1020" s="43"/>
      <c r="V1020" s="43"/>
    </row>
    <row r="1021" spans="1:22" ht="15.75" customHeight="1" x14ac:dyDescent="0.2">
      <c r="A1021" s="40">
        <v>2667</v>
      </c>
      <c r="B1021" s="41" t="s">
        <v>1055</v>
      </c>
      <c r="C1021" s="42" t="s">
        <v>1286</v>
      </c>
      <c r="D1021" s="42" t="s">
        <v>120</v>
      </c>
      <c r="E1021" s="42" t="s">
        <v>87</v>
      </c>
      <c r="F1021" s="42" t="s">
        <v>1245</v>
      </c>
      <c r="G1021" s="42" t="s">
        <v>1207</v>
      </c>
      <c r="H1021" s="43"/>
      <c r="I1021" s="43"/>
      <c r="J1021" s="43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</row>
    <row r="1022" spans="1:22" ht="15.75" customHeight="1" x14ac:dyDescent="0.2">
      <c r="A1022" s="40">
        <v>279</v>
      </c>
      <c r="B1022" s="41" t="s">
        <v>628</v>
      </c>
      <c r="C1022" s="42" t="s">
        <v>1287</v>
      </c>
      <c r="D1022" s="42" t="s">
        <v>78</v>
      </c>
      <c r="E1022" s="42" t="s">
        <v>32</v>
      </c>
      <c r="F1022" s="42" t="s">
        <v>1245</v>
      </c>
      <c r="G1022" s="42" t="s">
        <v>1207</v>
      </c>
      <c r="H1022" s="43"/>
      <c r="I1022" s="43"/>
      <c r="J1022" s="43"/>
      <c r="K1022" s="43"/>
      <c r="L1022" s="43"/>
      <c r="M1022" s="43"/>
      <c r="N1022" s="43"/>
      <c r="O1022" s="43"/>
      <c r="P1022" s="43"/>
      <c r="Q1022" s="43"/>
      <c r="R1022" s="43"/>
      <c r="S1022" s="43"/>
      <c r="T1022" s="43"/>
      <c r="U1022" s="43"/>
      <c r="V1022" s="43"/>
    </row>
    <row r="1023" spans="1:22" ht="15.75" customHeight="1" x14ac:dyDescent="0.2">
      <c r="A1023" s="40">
        <v>1247</v>
      </c>
      <c r="B1023" s="41" t="s">
        <v>699</v>
      </c>
      <c r="C1023" s="42" t="s">
        <v>1287</v>
      </c>
      <c r="D1023" s="42" t="s">
        <v>78</v>
      </c>
      <c r="E1023" s="42" t="s">
        <v>32</v>
      </c>
      <c r="F1023" s="42" t="s">
        <v>1245</v>
      </c>
      <c r="G1023" s="42" t="s">
        <v>1207</v>
      </c>
      <c r="H1023" s="43"/>
      <c r="I1023" s="43"/>
      <c r="J1023" s="43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</row>
    <row r="1024" spans="1:22" ht="15.75" customHeight="1" x14ac:dyDescent="0.2">
      <c r="A1024" s="40"/>
      <c r="B1024" s="45" t="s">
        <v>94</v>
      </c>
      <c r="C1024" s="46" t="s">
        <v>1288</v>
      </c>
      <c r="D1024" s="46" t="s">
        <v>1289</v>
      </c>
      <c r="E1024" s="46" t="s">
        <v>306</v>
      </c>
      <c r="F1024" s="46" t="s">
        <v>1245</v>
      </c>
      <c r="G1024" s="46" t="s">
        <v>1207</v>
      </c>
      <c r="H1024" s="43"/>
      <c r="I1024" s="43"/>
      <c r="J1024" s="43"/>
      <c r="K1024" s="43"/>
      <c r="L1024" s="43"/>
      <c r="M1024" s="43"/>
      <c r="N1024" s="43"/>
      <c r="O1024" s="43"/>
      <c r="P1024" s="43"/>
      <c r="Q1024" s="43"/>
      <c r="R1024" s="43"/>
      <c r="S1024" s="43"/>
      <c r="T1024" s="43"/>
      <c r="U1024" s="43"/>
      <c r="V1024" s="43"/>
    </row>
    <row r="1025" spans="1:22" ht="15.75" customHeight="1" x14ac:dyDescent="0.2">
      <c r="A1025" s="40"/>
      <c r="B1025" s="45" t="s">
        <v>118</v>
      </c>
      <c r="C1025" s="46" t="s">
        <v>1290</v>
      </c>
      <c r="D1025" s="46" t="s">
        <v>1024</v>
      </c>
      <c r="E1025" s="46" t="s">
        <v>1291</v>
      </c>
      <c r="F1025" s="46" t="s">
        <v>1245</v>
      </c>
      <c r="G1025" s="46" t="s">
        <v>1207</v>
      </c>
      <c r="H1025" s="43"/>
      <c r="I1025" s="43"/>
      <c r="J1025" s="43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</row>
    <row r="1026" spans="1:22" ht="15.75" customHeight="1" x14ac:dyDescent="0.2">
      <c r="A1026" s="40"/>
      <c r="B1026" s="45" t="s">
        <v>94</v>
      </c>
      <c r="C1026" s="46" t="s">
        <v>1290</v>
      </c>
      <c r="D1026" s="46" t="s">
        <v>1024</v>
      </c>
      <c r="E1026" s="46" t="s">
        <v>1291</v>
      </c>
      <c r="F1026" s="46" t="s">
        <v>1245</v>
      </c>
      <c r="G1026" s="46" t="s">
        <v>1207</v>
      </c>
      <c r="H1026" s="43"/>
      <c r="I1026" s="43"/>
      <c r="J1026" s="43"/>
      <c r="K1026" s="43"/>
      <c r="L1026" s="43"/>
      <c r="M1026" s="43"/>
      <c r="N1026" s="43"/>
      <c r="O1026" s="43"/>
      <c r="P1026" s="43"/>
      <c r="Q1026" s="43"/>
      <c r="R1026" s="43"/>
      <c r="S1026" s="43"/>
      <c r="T1026" s="43"/>
      <c r="U1026" s="43"/>
      <c r="V1026" s="43"/>
    </row>
    <row r="1027" spans="1:22" ht="15.75" customHeight="1" x14ac:dyDescent="0.2">
      <c r="A1027" s="40"/>
      <c r="B1027" s="45" t="s">
        <v>118</v>
      </c>
      <c r="C1027" s="46" t="s">
        <v>1292</v>
      </c>
      <c r="D1027" s="46" t="s">
        <v>139</v>
      </c>
      <c r="E1027" s="46" t="s">
        <v>334</v>
      </c>
      <c r="F1027" s="46" t="s">
        <v>1245</v>
      </c>
      <c r="G1027" s="46" t="s">
        <v>1207</v>
      </c>
      <c r="H1027" s="43"/>
      <c r="I1027" s="43"/>
      <c r="J1027" s="43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</row>
    <row r="1028" spans="1:22" ht="15.75" customHeight="1" x14ac:dyDescent="0.2">
      <c r="A1028" s="40"/>
      <c r="B1028" s="45" t="s">
        <v>108</v>
      </c>
      <c r="C1028" s="46" t="s">
        <v>1292</v>
      </c>
      <c r="D1028" s="46" t="s">
        <v>139</v>
      </c>
      <c r="E1028" s="46" t="s">
        <v>334</v>
      </c>
      <c r="F1028" s="46" t="s">
        <v>1245</v>
      </c>
      <c r="G1028" s="46" t="s">
        <v>1207</v>
      </c>
      <c r="H1028" s="43"/>
      <c r="I1028" s="43"/>
      <c r="J1028" s="43"/>
      <c r="K1028" s="43"/>
      <c r="L1028" s="43"/>
      <c r="M1028" s="43"/>
      <c r="N1028" s="43"/>
      <c r="O1028" s="43"/>
      <c r="P1028" s="43"/>
      <c r="Q1028" s="43"/>
      <c r="R1028" s="43"/>
      <c r="S1028" s="43"/>
      <c r="T1028" s="43"/>
      <c r="U1028" s="43"/>
      <c r="V1028" s="43"/>
    </row>
    <row r="1029" spans="1:22" ht="15.75" customHeight="1" x14ac:dyDescent="0.2">
      <c r="A1029" s="40"/>
      <c r="B1029" s="45" t="s">
        <v>94</v>
      </c>
      <c r="C1029" s="46" t="s">
        <v>1292</v>
      </c>
      <c r="D1029" s="46" t="s">
        <v>139</v>
      </c>
      <c r="E1029" s="46" t="s">
        <v>334</v>
      </c>
      <c r="F1029" s="46" t="s">
        <v>1245</v>
      </c>
      <c r="G1029" s="46" t="s">
        <v>1207</v>
      </c>
      <c r="H1029" s="43"/>
      <c r="I1029" s="43"/>
      <c r="J1029" s="43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</row>
    <row r="1030" spans="1:22" ht="15.75" customHeight="1" x14ac:dyDescent="0.2">
      <c r="A1030" s="40">
        <v>1139</v>
      </c>
      <c r="B1030" s="41" t="s">
        <v>449</v>
      </c>
      <c r="C1030" s="42" t="s">
        <v>1293</v>
      </c>
      <c r="D1030" s="42" t="s">
        <v>934</v>
      </c>
      <c r="E1030" s="42" t="s">
        <v>357</v>
      </c>
      <c r="F1030" s="42" t="s">
        <v>1245</v>
      </c>
      <c r="G1030" s="42" t="s">
        <v>1207</v>
      </c>
      <c r="H1030" s="43"/>
      <c r="I1030" s="43"/>
      <c r="J1030" s="43"/>
      <c r="K1030" s="43"/>
      <c r="L1030" s="43"/>
      <c r="M1030" s="43"/>
      <c r="N1030" s="43"/>
      <c r="O1030" s="43"/>
      <c r="P1030" s="43"/>
      <c r="Q1030" s="43"/>
      <c r="R1030" s="43"/>
      <c r="S1030" s="43"/>
      <c r="T1030" s="43"/>
      <c r="U1030" s="43"/>
      <c r="V1030" s="43"/>
    </row>
    <row r="1031" spans="1:22" ht="15.75" customHeight="1" x14ac:dyDescent="0.2">
      <c r="A1031" s="40">
        <v>2281</v>
      </c>
      <c r="B1031" s="41" t="s">
        <v>283</v>
      </c>
      <c r="C1031" s="42" t="s">
        <v>1293</v>
      </c>
      <c r="D1031" s="42" t="s">
        <v>934</v>
      </c>
      <c r="E1031" s="42" t="s">
        <v>357</v>
      </c>
      <c r="F1031" s="42" t="s">
        <v>1245</v>
      </c>
      <c r="G1031" s="42" t="s">
        <v>1207</v>
      </c>
      <c r="H1031" s="43"/>
      <c r="I1031" s="43"/>
      <c r="J1031" s="43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</row>
    <row r="1032" spans="1:22" ht="15.75" customHeight="1" x14ac:dyDescent="0.2">
      <c r="A1032" s="40">
        <v>2987</v>
      </c>
      <c r="B1032" s="41" t="s">
        <v>289</v>
      </c>
      <c r="C1032" s="42" t="s">
        <v>1293</v>
      </c>
      <c r="D1032" s="42" t="s">
        <v>934</v>
      </c>
      <c r="E1032" s="42" t="s">
        <v>357</v>
      </c>
      <c r="F1032" s="42" t="s">
        <v>1245</v>
      </c>
      <c r="G1032" s="42" t="s">
        <v>1207</v>
      </c>
      <c r="H1032" s="43"/>
      <c r="I1032" s="43"/>
      <c r="J1032" s="43"/>
      <c r="K1032" s="43"/>
      <c r="L1032" s="43"/>
      <c r="M1032" s="43"/>
      <c r="N1032" s="43"/>
      <c r="O1032" s="43"/>
      <c r="P1032" s="43"/>
      <c r="Q1032" s="43"/>
      <c r="R1032" s="43"/>
      <c r="S1032" s="43"/>
      <c r="T1032" s="43"/>
      <c r="U1032" s="43"/>
      <c r="V1032" s="43"/>
    </row>
    <row r="1033" spans="1:22" ht="15.75" customHeight="1" x14ac:dyDescent="0.2">
      <c r="A1033" s="40">
        <v>2029</v>
      </c>
      <c r="B1033" s="41" t="s">
        <v>701</v>
      </c>
      <c r="C1033" s="42" t="s">
        <v>1294</v>
      </c>
      <c r="D1033" s="42" t="s">
        <v>1295</v>
      </c>
      <c r="E1033" s="42" t="s">
        <v>1296</v>
      </c>
      <c r="F1033" s="42" t="s">
        <v>1245</v>
      </c>
      <c r="G1033" s="42" t="s">
        <v>1207</v>
      </c>
      <c r="H1033" s="43"/>
      <c r="I1033" s="43"/>
      <c r="J1033" s="43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</row>
    <row r="1034" spans="1:22" ht="15.75" customHeight="1" x14ac:dyDescent="0.2">
      <c r="A1034" s="40">
        <v>2627</v>
      </c>
      <c r="B1034" s="41" t="s">
        <v>702</v>
      </c>
      <c r="C1034" s="42" t="s">
        <v>1294</v>
      </c>
      <c r="D1034" s="42" t="s">
        <v>1295</v>
      </c>
      <c r="E1034" s="42" t="s">
        <v>1296</v>
      </c>
      <c r="F1034" s="42" t="s">
        <v>1245</v>
      </c>
      <c r="G1034" s="42" t="s">
        <v>1207</v>
      </c>
      <c r="H1034" s="43"/>
      <c r="I1034" s="43"/>
      <c r="J1034" s="43"/>
      <c r="K1034" s="43"/>
      <c r="L1034" s="43"/>
      <c r="M1034" s="43"/>
      <c r="N1034" s="43"/>
      <c r="O1034" s="43"/>
      <c r="P1034" s="43"/>
      <c r="Q1034" s="43"/>
      <c r="R1034" s="43"/>
      <c r="S1034" s="43"/>
      <c r="T1034" s="43"/>
      <c r="U1034" s="43"/>
      <c r="V1034" s="43"/>
    </row>
    <row r="1035" spans="1:22" ht="15.75" customHeight="1" x14ac:dyDescent="0.2">
      <c r="A1035" s="40">
        <v>2745</v>
      </c>
      <c r="B1035" s="41" t="s">
        <v>944</v>
      </c>
      <c r="C1035" s="42" t="s">
        <v>1294</v>
      </c>
      <c r="D1035" s="42" t="s">
        <v>1295</v>
      </c>
      <c r="E1035" s="42" t="s">
        <v>1296</v>
      </c>
      <c r="F1035" s="42" t="s">
        <v>1245</v>
      </c>
      <c r="G1035" s="42" t="s">
        <v>1207</v>
      </c>
      <c r="H1035" s="43"/>
      <c r="I1035" s="43"/>
      <c r="J1035" s="43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</row>
    <row r="1036" spans="1:22" ht="15.75" customHeight="1" x14ac:dyDescent="0.2">
      <c r="A1036" s="40">
        <v>29</v>
      </c>
      <c r="B1036" s="41" t="s">
        <v>939</v>
      </c>
      <c r="C1036" s="42" t="s">
        <v>700</v>
      </c>
      <c r="D1036" s="42" t="s">
        <v>822</v>
      </c>
      <c r="E1036" s="42" t="s">
        <v>571</v>
      </c>
      <c r="F1036" s="42" t="s">
        <v>1297</v>
      </c>
      <c r="G1036" s="42" t="s">
        <v>1207</v>
      </c>
      <c r="H1036" s="43"/>
      <c r="I1036" s="43"/>
      <c r="J1036" s="43"/>
      <c r="K1036" s="43"/>
      <c r="L1036" s="43"/>
      <c r="M1036" s="43"/>
      <c r="N1036" s="43"/>
      <c r="O1036" s="43"/>
      <c r="P1036" s="43"/>
      <c r="Q1036" s="43"/>
      <c r="R1036" s="43"/>
      <c r="S1036" s="43"/>
      <c r="T1036" s="43"/>
      <c r="U1036" s="43"/>
      <c r="V1036" s="43"/>
    </row>
    <row r="1037" spans="1:22" ht="15.75" customHeight="1" x14ac:dyDescent="0.2">
      <c r="A1037" s="40">
        <v>71</v>
      </c>
      <c r="B1037" s="41" t="s">
        <v>226</v>
      </c>
      <c r="C1037" s="42" t="s">
        <v>700</v>
      </c>
      <c r="D1037" s="42" t="s">
        <v>557</v>
      </c>
      <c r="E1037" s="42" t="s">
        <v>571</v>
      </c>
      <c r="F1037" s="42" t="s">
        <v>1297</v>
      </c>
      <c r="G1037" s="42" t="s">
        <v>1207</v>
      </c>
      <c r="H1037" s="43"/>
      <c r="I1037" s="43"/>
      <c r="J1037" s="43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</row>
    <row r="1038" spans="1:22" ht="15.75" customHeight="1" x14ac:dyDescent="0.2">
      <c r="A1038" s="40">
        <v>39</v>
      </c>
      <c r="B1038" s="41" t="s">
        <v>939</v>
      </c>
      <c r="C1038" s="42" t="s">
        <v>1298</v>
      </c>
      <c r="D1038" s="42" t="s">
        <v>884</v>
      </c>
      <c r="E1038" s="42" t="s">
        <v>237</v>
      </c>
      <c r="F1038" s="42" t="s">
        <v>1297</v>
      </c>
      <c r="G1038" s="42" t="s">
        <v>1207</v>
      </c>
      <c r="H1038" s="43"/>
      <c r="I1038" s="43"/>
      <c r="J1038" s="43"/>
      <c r="K1038" s="43"/>
      <c r="L1038" s="43"/>
      <c r="M1038" s="43"/>
      <c r="N1038" s="43"/>
      <c r="O1038" s="43"/>
      <c r="P1038" s="43"/>
      <c r="Q1038" s="43"/>
      <c r="R1038" s="43"/>
      <c r="S1038" s="43"/>
      <c r="T1038" s="43"/>
      <c r="U1038" s="43"/>
      <c r="V1038" s="43"/>
    </row>
    <row r="1039" spans="1:22" ht="15.75" customHeight="1" x14ac:dyDescent="0.2">
      <c r="A1039" s="40">
        <v>417</v>
      </c>
      <c r="B1039" s="41" t="s">
        <v>1299</v>
      </c>
      <c r="C1039" s="42" t="s">
        <v>1282</v>
      </c>
      <c r="D1039" s="42" t="s">
        <v>1300</v>
      </c>
      <c r="E1039" s="42" t="s">
        <v>1284</v>
      </c>
      <c r="F1039" s="42" t="s">
        <v>1297</v>
      </c>
      <c r="G1039" s="42" t="s">
        <v>1207</v>
      </c>
      <c r="H1039" s="43"/>
      <c r="I1039" s="43"/>
      <c r="J1039" s="43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</row>
    <row r="1040" spans="1:22" ht="15.75" customHeight="1" x14ac:dyDescent="0.2">
      <c r="A1040" s="40">
        <v>2231</v>
      </c>
      <c r="B1040" s="41" t="s">
        <v>282</v>
      </c>
      <c r="C1040" s="42" t="s">
        <v>1282</v>
      </c>
      <c r="D1040" s="42" t="s">
        <v>1300</v>
      </c>
      <c r="E1040" s="42" t="s">
        <v>1284</v>
      </c>
      <c r="F1040" s="42" t="s">
        <v>1297</v>
      </c>
      <c r="G1040" s="42" t="s">
        <v>1207</v>
      </c>
      <c r="H1040" s="43"/>
      <c r="I1040" s="43"/>
      <c r="J1040" s="43"/>
      <c r="K1040" s="43"/>
      <c r="L1040" s="43"/>
      <c r="M1040" s="43"/>
      <c r="N1040" s="43"/>
      <c r="O1040" s="43"/>
      <c r="P1040" s="43"/>
      <c r="Q1040" s="43"/>
      <c r="R1040" s="43"/>
      <c r="S1040" s="43"/>
      <c r="T1040" s="43"/>
      <c r="U1040" s="43"/>
      <c r="V1040" s="43"/>
    </row>
    <row r="1041" spans="1:22" ht="15.75" customHeight="1" x14ac:dyDescent="0.2">
      <c r="A1041" s="40">
        <v>65</v>
      </c>
      <c r="B1041" s="41" t="s">
        <v>1301</v>
      </c>
      <c r="C1041" s="42" t="s">
        <v>85</v>
      </c>
      <c r="D1041" s="42" t="s">
        <v>1302</v>
      </c>
      <c r="E1041" s="42" t="s">
        <v>112</v>
      </c>
      <c r="F1041" s="42" t="s">
        <v>1297</v>
      </c>
      <c r="G1041" s="42" t="s">
        <v>1207</v>
      </c>
      <c r="H1041" s="43"/>
      <c r="I1041" s="43"/>
      <c r="J1041" s="43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</row>
    <row r="1042" spans="1:22" ht="15.75" customHeight="1" x14ac:dyDescent="0.2">
      <c r="A1042" s="40">
        <v>881</v>
      </c>
      <c r="B1042" s="41" t="s">
        <v>634</v>
      </c>
      <c r="C1042" s="42" t="s">
        <v>85</v>
      </c>
      <c r="D1042" s="42" t="s">
        <v>1302</v>
      </c>
      <c r="E1042" s="42" t="s">
        <v>112</v>
      </c>
      <c r="F1042" s="42" t="s">
        <v>1297</v>
      </c>
      <c r="G1042" s="42" t="s">
        <v>1207</v>
      </c>
      <c r="H1042" s="43"/>
      <c r="I1042" s="43"/>
      <c r="J1042" s="43"/>
      <c r="K1042" s="43"/>
      <c r="L1042" s="43"/>
      <c r="M1042" s="43"/>
      <c r="N1042" s="43"/>
      <c r="O1042" s="43"/>
      <c r="P1042" s="43"/>
      <c r="Q1042" s="43"/>
      <c r="R1042" s="43"/>
      <c r="S1042" s="43"/>
      <c r="T1042" s="43"/>
      <c r="U1042" s="43"/>
      <c r="V1042" s="43"/>
    </row>
    <row r="1043" spans="1:22" ht="15.75" customHeight="1" x14ac:dyDescent="0.2">
      <c r="A1043" s="40">
        <v>2027</v>
      </c>
      <c r="B1043" s="41" t="s">
        <v>701</v>
      </c>
      <c r="C1043" s="42" t="s">
        <v>85</v>
      </c>
      <c r="D1043" s="42" t="s">
        <v>1302</v>
      </c>
      <c r="E1043" s="42" t="s">
        <v>112</v>
      </c>
      <c r="F1043" s="42" t="s">
        <v>1297</v>
      </c>
      <c r="G1043" s="42" t="s">
        <v>1207</v>
      </c>
    </row>
    <row r="1044" spans="1:22" ht="15.75" customHeight="1" x14ac:dyDescent="0.2">
      <c r="A1044" s="40">
        <v>1087</v>
      </c>
      <c r="B1044" s="41" t="s">
        <v>710</v>
      </c>
      <c r="C1044" s="42" t="s">
        <v>1303</v>
      </c>
      <c r="D1044" s="42" t="s">
        <v>973</v>
      </c>
      <c r="E1044" s="42" t="s">
        <v>1304</v>
      </c>
      <c r="F1044" s="42" t="s">
        <v>1305</v>
      </c>
      <c r="G1044" s="42" t="s">
        <v>1207</v>
      </c>
      <c r="H1044" s="43"/>
      <c r="I1044" s="43"/>
      <c r="J1044" s="43"/>
      <c r="K1044" s="43"/>
      <c r="L1044" s="43"/>
      <c r="M1044" s="43"/>
      <c r="N1044" s="43"/>
      <c r="O1044" s="43"/>
      <c r="P1044" s="43"/>
      <c r="Q1044" s="43"/>
      <c r="R1044" s="43"/>
      <c r="S1044" s="43"/>
      <c r="T1044" s="43"/>
      <c r="U1044" s="43"/>
      <c r="V1044" s="43"/>
    </row>
    <row r="1045" spans="1:22" ht="15.75" customHeight="1" x14ac:dyDescent="0.2">
      <c r="A1045" s="40">
        <v>2069</v>
      </c>
      <c r="B1045" s="41" t="s">
        <v>653</v>
      </c>
      <c r="C1045" s="42" t="s">
        <v>1303</v>
      </c>
      <c r="D1045" s="42" t="s">
        <v>973</v>
      </c>
      <c r="E1045" s="42" t="s">
        <v>1304</v>
      </c>
      <c r="F1045" s="42" t="s">
        <v>1305</v>
      </c>
      <c r="G1045" s="42" t="s">
        <v>1207</v>
      </c>
      <c r="H1045" s="43"/>
      <c r="I1045" s="43"/>
      <c r="J1045" s="43"/>
      <c r="K1045" s="43"/>
      <c r="L1045" s="43"/>
      <c r="M1045" s="43"/>
      <c r="N1045" s="43"/>
      <c r="O1045" s="43"/>
      <c r="P1045" s="43"/>
      <c r="Q1045" s="43"/>
      <c r="R1045" s="43"/>
      <c r="S1045" s="43"/>
      <c r="T1045" s="43"/>
      <c r="U1045" s="43"/>
      <c r="V1045" s="43"/>
    </row>
    <row r="1046" spans="1:22" ht="15.75" customHeight="1" x14ac:dyDescent="0.2">
      <c r="A1046" s="40">
        <v>2513</v>
      </c>
      <c r="B1046" s="41" t="s">
        <v>434</v>
      </c>
      <c r="C1046" s="42" t="s">
        <v>1306</v>
      </c>
      <c r="D1046" s="42" t="s">
        <v>1307</v>
      </c>
      <c r="E1046" s="42" t="s">
        <v>1308</v>
      </c>
      <c r="F1046" s="42" t="s">
        <v>1305</v>
      </c>
      <c r="G1046" s="42" t="s">
        <v>1207</v>
      </c>
      <c r="H1046" s="43"/>
      <c r="I1046" s="43"/>
      <c r="J1046" s="43"/>
      <c r="K1046" s="43"/>
      <c r="L1046" s="43"/>
      <c r="M1046" s="43"/>
      <c r="N1046" s="43"/>
      <c r="O1046" s="43"/>
      <c r="P1046" s="43"/>
      <c r="Q1046" s="43"/>
      <c r="R1046" s="43"/>
      <c r="S1046" s="43"/>
      <c r="T1046" s="43"/>
      <c r="U1046" s="43"/>
      <c r="V1046" s="43"/>
    </row>
    <row r="1047" spans="1:22" ht="15.75" customHeight="1" x14ac:dyDescent="0.2">
      <c r="A1047" s="40">
        <v>527</v>
      </c>
      <c r="B1047" s="41" t="s">
        <v>678</v>
      </c>
      <c r="C1047" s="42" t="s">
        <v>1309</v>
      </c>
      <c r="D1047" s="42" t="s">
        <v>1310</v>
      </c>
      <c r="E1047" s="42" t="s">
        <v>1038</v>
      </c>
      <c r="F1047" s="42" t="s">
        <v>1311</v>
      </c>
      <c r="G1047" s="42" t="s">
        <v>1207</v>
      </c>
      <c r="H1047" s="43"/>
      <c r="I1047" s="43"/>
      <c r="J1047" s="43"/>
      <c r="K1047" s="43"/>
      <c r="L1047" s="43"/>
      <c r="M1047" s="43"/>
      <c r="N1047" s="43"/>
      <c r="O1047" s="43"/>
      <c r="P1047" s="43"/>
      <c r="Q1047" s="43"/>
      <c r="R1047" s="43"/>
      <c r="S1047" s="43"/>
      <c r="T1047" s="43"/>
      <c r="U1047" s="43"/>
      <c r="V1047" s="43"/>
    </row>
    <row r="1048" spans="1:22" ht="15.75" customHeight="1" x14ac:dyDescent="0.2">
      <c r="A1048" s="40">
        <v>583</v>
      </c>
      <c r="B1048" s="41" t="s">
        <v>368</v>
      </c>
      <c r="C1048" s="42" t="s">
        <v>1312</v>
      </c>
      <c r="D1048" s="42" t="s">
        <v>1068</v>
      </c>
      <c r="E1048" s="42" t="s">
        <v>1313</v>
      </c>
      <c r="F1048" s="42" t="s">
        <v>1311</v>
      </c>
      <c r="G1048" s="42" t="s">
        <v>1207</v>
      </c>
      <c r="H1048" s="43"/>
      <c r="I1048" s="43"/>
      <c r="J1048" s="43"/>
      <c r="K1048" s="43"/>
      <c r="L1048" s="43"/>
      <c r="M1048" s="43"/>
      <c r="N1048" s="43"/>
      <c r="O1048" s="43"/>
      <c r="P1048" s="43"/>
      <c r="Q1048" s="43"/>
      <c r="R1048" s="43"/>
      <c r="S1048" s="43"/>
      <c r="T1048" s="43"/>
      <c r="U1048" s="43"/>
      <c r="V1048" s="43"/>
    </row>
    <row r="1049" spans="1:22" ht="15.75" customHeight="1" x14ac:dyDescent="0.2">
      <c r="A1049" s="40">
        <v>951</v>
      </c>
      <c r="B1049" s="41" t="s">
        <v>709</v>
      </c>
      <c r="C1049" s="42" t="s">
        <v>1314</v>
      </c>
      <c r="D1049" s="42" t="s">
        <v>562</v>
      </c>
      <c r="E1049" s="42" t="s">
        <v>630</v>
      </c>
      <c r="F1049" s="42" t="s">
        <v>1311</v>
      </c>
      <c r="G1049" s="42" t="s">
        <v>1207</v>
      </c>
      <c r="H1049" s="43"/>
      <c r="I1049" s="43"/>
      <c r="J1049" s="43"/>
      <c r="K1049" s="43"/>
      <c r="L1049" s="43"/>
      <c r="M1049" s="43"/>
      <c r="N1049" s="43"/>
      <c r="O1049" s="43"/>
      <c r="P1049" s="43"/>
      <c r="Q1049" s="43"/>
      <c r="R1049" s="43"/>
      <c r="S1049" s="43"/>
      <c r="T1049" s="43"/>
      <c r="U1049" s="43"/>
      <c r="V1049" s="43"/>
    </row>
    <row r="1050" spans="1:22" ht="15.75" customHeight="1" x14ac:dyDescent="0.2">
      <c r="A1050" s="40">
        <v>953</v>
      </c>
      <c r="B1050" s="41" t="s">
        <v>709</v>
      </c>
      <c r="C1050" s="42" t="s">
        <v>1315</v>
      </c>
      <c r="D1050" s="42" t="s">
        <v>39</v>
      </c>
      <c r="E1050" s="42" t="s">
        <v>650</v>
      </c>
      <c r="F1050" s="42" t="s">
        <v>1311</v>
      </c>
      <c r="G1050" s="42" t="s">
        <v>1207</v>
      </c>
      <c r="H1050" s="43"/>
      <c r="I1050" s="43"/>
      <c r="J1050" s="43"/>
      <c r="K1050" s="43"/>
      <c r="L1050" s="43"/>
      <c r="M1050" s="43"/>
      <c r="N1050" s="43"/>
      <c r="O1050" s="43"/>
      <c r="P1050" s="43"/>
      <c r="Q1050" s="43"/>
      <c r="R1050" s="43"/>
      <c r="S1050" s="43"/>
      <c r="T1050" s="43"/>
      <c r="U1050" s="43"/>
      <c r="V1050" s="43"/>
    </row>
    <row r="1051" spans="1:22" ht="15.75" customHeight="1" x14ac:dyDescent="0.2">
      <c r="A1051" s="40">
        <v>1141</v>
      </c>
      <c r="B1051" s="41" t="s">
        <v>449</v>
      </c>
      <c r="C1051" s="42" t="s">
        <v>1316</v>
      </c>
      <c r="D1051" s="42" t="s">
        <v>513</v>
      </c>
      <c r="E1051" s="42" t="s">
        <v>1200</v>
      </c>
      <c r="F1051" s="42" t="s">
        <v>1311</v>
      </c>
      <c r="G1051" s="42" t="s">
        <v>1207</v>
      </c>
      <c r="H1051" s="43"/>
      <c r="I1051" s="43"/>
      <c r="J1051" s="43"/>
      <c r="K1051" s="43"/>
      <c r="L1051" s="43"/>
      <c r="M1051" s="43"/>
      <c r="N1051" s="43"/>
      <c r="O1051" s="43"/>
      <c r="P1051" s="43"/>
      <c r="Q1051" s="43"/>
      <c r="R1051" s="43"/>
      <c r="S1051" s="43"/>
      <c r="T1051" s="43"/>
      <c r="U1051" s="43"/>
      <c r="V1051" s="43"/>
    </row>
    <row r="1052" spans="1:22" ht="15.75" customHeight="1" x14ac:dyDescent="0.2">
      <c r="A1052" s="40">
        <v>1173</v>
      </c>
      <c r="B1052" s="41" t="s">
        <v>256</v>
      </c>
      <c r="C1052" s="42" t="s">
        <v>1309</v>
      </c>
      <c r="D1052" s="42" t="s">
        <v>1310</v>
      </c>
      <c r="E1052" s="42" t="s">
        <v>1038</v>
      </c>
      <c r="F1052" s="42" t="s">
        <v>1311</v>
      </c>
      <c r="G1052" s="42" t="s">
        <v>1207</v>
      </c>
      <c r="H1052" s="43"/>
      <c r="I1052" s="43"/>
      <c r="J1052" s="43"/>
      <c r="K1052" s="43"/>
      <c r="L1052" s="43"/>
      <c r="M1052" s="43"/>
      <c r="N1052" s="43"/>
      <c r="O1052" s="43"/>
      <c r="P1052" s="43"/>
      <c r="Q1052" s="43"/>
      <c r="R1052" s="43"/>
      <c r="S1052" s="43"/>
      <c r="T1052" s="43"/>
      <c r="U1052" s="43"/>
      <c r="V1052" s="43"/>
    </row>
    <row r="1053" spans="1:22" ht="15.75" customHeight="1" x14ac:dyDescent="0.2">
      <c r="A1053" s="40">
        <v>2053</v>
      </c>
      <c r="B1053" s="41" t="s">
        <v>701</v>
      </c>
      <c r="C1053" s="42" t="s">
        <v>1314</v>
      </c>
      <c r="D1053" s="42" t="s">
        <v>562</v>
      </c>
      <c r="E1053" s="42" t="s">
        <v>630</v>
      </c>
      <c r="F1053" s="42" t="s">
        <v>1311</v>
      </c>
      <c r="G1053" s="42" t="s">
        <v>1207</v>
      </c>
      <c r="H1053" s="43"/>
      <c r="I1053" s="43"/>
      <c r="J1053" s="43"/>
      <c r="K1053" s="43"/>
      <c r="L1053" s="43"/>
      <c r="M1053" s="43"/>
      <c r="N1053" s="43"/>
      <c r="O1053" s="43"/>
      <c r="P1053" s="43"/>
      <c r="Q1053" s="43"/>
      <c r="R1053" s="43"/>
      <c r="S1053" s="43"/>
      <c r="T1053" s="43"/>
      <c r="U1053" s="43"/>
      <c r="V1053" s="43"/>
    </row>
    <row r="1054" spans="1:22" ht="15.75" customHeight="1" x14ac:dyDescent="0.2">
      <c r="A1054" s="40">
        <v>2265</v>
      </c>
      <c r="B1054" s="41" t="s">
        <v>517</v>
      </c>
      <c r="C1054" s="42" t="s">
        <v>1316</v>
      </c>
      <c r="D1054" s="42" t="s">
        <v>513</v>
      </c>
      <c r="E1054" s="42" t="s">
        <v>1200</v>
      </c>
      <c r="F1054" s="42" t="s">
        <v>1311</v>
      </c>
      <c r="G1054" s="42" t="s">
        <v>1207</v>
      </c>
      <c r="H1054" s="43"/>
      <c r="I1054" s="43"/>
      <c r="J1054" s="43"/>
      <c r="K1054" s="43"/>
      <c r="L1054" s="43"/>
      <c r="M1054" s="43"/>
      <c r="N1054" s="43"/>
      <c r="O1054" s="43"/>
      <c r="P1054" s="43"/>
      <c r="Q1054" s="43"/>
      <c r="R1054" s="43"/>
      <c r="S1054" s="43"/>
      <c r="T1054" s="43"/>
      <c r="U1054" s="43"/>
      <c r="V1054" s="43"/>
    </row>
    <row r="1055" spans="1:22" ht="15.75" customHeight="1" x14ac:dyDescent="0.2">
      <c r="A1055" s="40">
        <v>2269</v>
      </c>
      <c r="B1055" s="41" t="s">
        <v>283</v>
      </c>
      <c r="C1055" s="42" t="s">
        <v>1309</v>
      </c>
      <c r="D1055" s="42" t="s">
        <v>1310</v>
      </c>
      <c r="E1055" s="42" t="s">
        <v>1038</v>
      </c>
      <c r="F1055" s="42" t="s">
        <v>1311</v>
      </c>
      <c r="G1055" s="42" t="s">
        <v>1207</v>
      </c>
      <c r="H1055" s="43"/>
      <c r="I1055" s="43"/>
      <c r="J1055" s="43"/>
      <c r="K1055" s="43"/>
      <c r="L1055" s="43"/>
      <c r="M1055" s="43"/>
      <c r="N1055" s="43"/>
      <c r="O1055" s="43"/>
      <c r="P1055" s="43"/>
      <c r="Q1055" s="43"/>
      <c r="R1055" s="43"/>
      <c r="S1055" s="43"/>
      <c r="T1055" s="43"/>
      <c r="U1055" s="43"/>
      <c r="V1055" s="43"/>
    </row>
    <row r="1056" spans="1:22" ht="15.75" customHeight="1" x14ac:dyDescent="0.2">
      <c r="A1056" s="40">
        <v>2313</v>
      </c>
      <c r="B1056" s="41" t="s">
        <v>284</v>
      </c>
      <c r="C1056" s="42" t="s">
        <v>1312</v>
      </c>
      <c r="D1056" s="42" t="s">
        <v>1068</v>
      </c>
      <c r="E1056" s="42" t="s">
        <v>1313</v>
      </c>
      <c r="F1056" s="42" t="s">
        <v>1311</v>
      </c>
      <c r="G1056" s="42" t="s">
        <v>1207</v>
      </c>
      <c r="H1056" s="43"/>
      <c r="I1056" s="43"/>
      <c r="J1056" s="43"/>
      <c r="K1056" s="43"/>
      <c r="L1056" s="43"/>
      <c r="M1056" s="43"/>
      <c r="N1056" s="43"/>
      <c r="O1056" s="43"/>
      <c r="P1056" s="43"/>
      <c r="Q1056" s="43"/>
      <c r="R1056" s="43"/>
      <c r="S1056" s="43"/>
      <c r="T1056" s="43"/>
      <c r="U1056" s="43"/>
      <c r="V1056" s="43"/>
    </row>
    <row r="1057" spans="1:22" ht="15.75" customHeight="1" x14ac:dyDescent="0.2">
      <c r="A1057" s="40"/>
      <c r="B1057" s="45" t="s">
        <v>109</v>
      </c>
      <c r="C1057" s="46" t="s">
        <v>1317</v>
      </c>
      <c r="D1057" s="46" t="s">
        <v>39</v>
      </c>
      <c r="E1057" s="46" t="s">
        <v>413</v>
      </c>
      <c r="F1057" s="46" t="s">
        <v>1311</v>
      </c>
      <c r="G1057" s="46" t="s">
        <v>1207</v>
      </c>
      <c r="H1057" s="43"/>
      <c r="I1057" s="43"/>
      <c r="J1057" s="43"/>
      <c r="K1057" s="43"/>
      <c r="L1057" s="43"/>
      <c r="M1057" s="43"/>
      <c r="N1057" s="43"/>
      <c r="O1057" s="43"/>
      <c r="P1057" s="43"/>
      <c r="Q1057" s="43"/>
      <c r="R1057" s="43"/>
      <c r="S1057" s="43"/>
      <c r="T1057" s="43"/>
      <c r="U1057" s="43"/>
      <c r="V1057" s="43"/>
    </row>
    <row r="1058" spans="1:22" ht="15.75" customHeight="1" x14ac:dyDescent="0.2">
      <c r="A1058" s="40"/>
      <c r="B1058" s="45" t="s">
        <v>108</v>
      </c>
      <c r="C1058" s="46" t="s">
        <v>1317</v>
      </c>
      <c r="D1058" s="46" t="s">
        <v>39</v>
      </c>
      <c r="E1058" s="46" t="s">
        <v>413</v>
      </c>
      <c r="F1058" s="46" t="s">
        <v>1311</v>
      </c>
      <c r="G1058" s="46" t="s">
        <v>1207</v>
      </c>
      <c r="H1058" s="43"/>
      <c r="I1058" s="43"/>
      <c r="J1058" s="43"/>
      <c r="K1058" s="43"/>
      <c r="L1058" s="43"/>
      <c r="M1058" s="43"/>
      <c r="N1058" s="43"/>
      <c r="O1058" s="43"/>
      <c r="P1058" s="43"/>
      <c r="Q1058" s="43"/>
      <c r="R1058" s="43"/>
      <c r="S1058" s="43"/>
      <c r="T1058" s="43"/>
      <c r="U1058" s="43"/>
      <c r="V1058" s="43"/>
    </row>
    <row r="1059" spans="1:22" ht="15.75" customHeight="1" x14ac:dyDescent="0.2">
      <c r="A1059" s="40"/>
      <c r="B1059" s="45" t="s">
        <v>94</v>
      </c>
      <c r="C1059" s="46" t="s">
        <v>1318</v>
      </c>
      <c r="D1059" s="46" t="s">
        <v>1319</v>
      </c>
      <c r="E1059" s="46" t="s">
        <v>1320</v>
      </c>
      <c r="F1059" s="46" t="s">
        <v>1311</v>
      </c>
      <c r="G1059" s="46" t="s">
        <v>1207</v>
      </c>
      <c r="H1059" s="43"/>
      <c r="I1059" s="43"/>
      <c r="J1059" s="43"/>
      <c r="K1059" s="43"/>
      <c r="L1059" s="43"/>
      <c r="M1059" s="43"/>
      <c r="N1059" s="43"/>
      <c r="O1059" s="43"/>
      <c r="P1059" s="43"/>
      <c r="Q1059" s="43"/>
      <c r="R1059" s="43"/>
      <c r="S1059" s="43"/>
      <c r="T1059" s="43"/>
      <c r="U1059" s="43"/>
      <c r="V1059" s="43"/>
    </row>
    <row r="1060" spans="1:22" ht="15.75" customHeight="1" x14ac:dyDescent="0.2">
      <c r="A1060" s="40">
        <v>25</v>
      </c>
      <c r="B1060" s="41" t="s">
        <v>939</v>
      </c>
      <c r="C1060" s="42" t="s">
        <v>858</v>
      </c>
      <c r="D1060" s="42" t="s">
        <v>1321</v>
      </c>
      <c r="E1060" s="42" t="s">
        <v>1235</v>
      </c>
      <c r="F1060" s="42" t="s">
        <v>1322</v>
      </c>
      <c r="G1060" s="42" t="s">
        <v>1207</v>
      </c>
      <c r="H1060" s="43"/>
      <c r="I1060" s="43"/>
      <c r="J1060" s="43"/>
      <c r="K1060" s="43"/>
      <c r="L1060" s="43"/>
      <c r="M1060" s="43"/>
      <c r="N1060" s="43"/>
      <c r="O1060" s="43"/>
      <c r="P1060" s="43"/>
      <c r="Q1060" s="43"/>
      <c r="R1060" s="43"/>
      <c r="S1060" s="43"/>
      <c r="T1060" s="43"/>
      <c r="U1060" s="43"/>
      <c r="V1060" s="43"/>
    </row>
    <row r="1061" spans="1:22" ht="15.75" customHeight="1" x14ac:dyDescent="0.2">
      <c r="A1061" s="40">
        <v>27</v>
      </c>
      <c r="B1061" s="41" t="s">
        <v>939</v>
      </c>
      <c r="C1061" s="42" t="s">
        <v>1323</v>
      </c>
      <c r="D1061" s="42" t="s">
        <v>462</v>
      </c>
      <c r="E1061" s="42" t="s">
        <v>1212</v>
      </c>
      <c r="F1061" s="42" t="s">
        <v>1322</v>
      </c>
      <c r="G1061" s="42" t="s">
        <v>1207</v>
      </c>
      <c r="H1061" s="43"/>
      <c r="I1061" s="43"/>
      <c r="J1061" s="43"/>
      <c r="K1061" s="43"/>
      <c r="L1061" s="43"/>
      <c r="M1061" s="43"/>
      <c r="N1061" s="43"/>
      <c r="O1061" s="43"/>
      <c r="P1061" s="43"/>
      <c r="Q1061" s="43"/>
      <c r="R1061" s="43"/>
      <c r="S1061" s="43"/>
      <c r="T1061" s="43"/>
      <c r="U1061" s="43"/>
      <c r="V1061" s="43"/>
    </row>
    <row r="1062" spans="1:22" ht="15.75" customHeight="1" x14ac:dyDescent="0.2">
      <c r="A1062" s="40">
        <v>49</v>
      </c>
      <c r="B1062" s="41" t="s">
        <v>1301</v>
      </c>
      <c r="C1062" s="42" t="s">
        <v>1324</v>
      </c>
      <c r="D1062" s="42" t="s">
        <v>636</v>
      </c>
      <c r="E1062" s="42" t="s">
        <v>393</v>
      </c>
      <c r="F1062" s="42" t="s">
        <v>1322</v>
      </c>
      <c r="G1062" s="42" t="s">
        <v>1207</v>
      </c>
      <c r="H1062" s="43"/>
      <c r="I1062" s="43"/>
      <c r="J1062" s="43"/>
      <c r="K1062" s="43"/>
      <c r="L1062" s="43"/>
      <c r="M1062" s="43"/>
      <c r="N1062" s="43"/>
      <c r="O1062" s="43"/>
      <c r="P1062" s="43"/>
      <c r="Q1062" s="43"/>
      <c r="R1062" s="43"/>
      <c r="S1062" s="43"/>
      <c r="T1062" s="43"/>
      <c r="U1062" s="43"/>
      <c r="V1062" s="43"/>
    </row>
    <row r="1063" spans="1:22" ht="15.75" customHeight="1" x14ac:dyDescent="0.2">
      <c r="A1063" s="40">
        <v>59</v>
      </c>
      <c r="B1063" s="41" t="s">
        <v>1301</v>
      </c>
      <c r="C1063" s="42" t="s">
        <v>1325</v>
      </c>
      <c r="D1063" s="42" t="s">
        <v>163</v>
      </c>
      <c r="E1063" s="42" t="s">
        <v>452</v>
      </c>
      <c r="F1063" s="42" t="s">
        <v>1322</v>
      </c>
      <c r="G1063" s="42" t="s">
        <v>1207</v>
      </c>
      <c r="H1063" s="43"/>
      <c r="I1063" s="43"/>
      <c r="J1063" s="43"/>
      <c r="K1063" s="43"/>
      <c r="L1063" s="43"/>
      <c r="M1063" s="43"/>
      <c r="N1063" s="43"/>
      <c r="O1063" s="43"/>
      <c r="P1063" s="43"/>
      <c r="Q1063" s="43"/>
      <c r="R1063" s="43"/>
      <c r="S1063" s="43"/>
      <c r="T1063" s="43"/>
      <c r="U1063" s="43"/>
      <c r="V1063" s="43"/>
    </row>
    <row r="1064" spans="1:22" ht="15.75" customHeight="1" x14ac:dyDescent="0.2">
      <c r="A1064" s="40">
        <v>61</v>
      </c>
      <c r="B1064" s="41" t="s">
        <v>1301</v>
      </c>
      <c r="C1064" s="42" t="s">
        <v>1326</v>
      </c>
      <c r="D1064" s="42" t="s">
        <v>1327</v>
      </c>
      <c r="E1064" s="42" t="s">
        <v>40</v>
      </c>
      <c r="F1064" s="42" t="s">
        <v>1322</v>
      </c>
      <c r="G1064" s="42" t="s">
        <v>1207</v>
      </c>
      <c r="H1064" s="43"/>
      <c r="I1064" s="43"/>
      <c r="J1064" s="43"/>
      <c r="K1064" s="43"/>
      <c r="L1064" s="43"/>
      <c r="M1064" s="43"/>
      <c r="N1064" s="43"/>
      <c r="O1064" s="43"/>
      <c r="P1064" s="43"/>
      <c r="Q1064" s="43"/>
      <c r="R1064" s="43"/>
      <c r="S1064" s="43"/>
      <c r="T1064" s="43"/>
      <c r="U1064" s="43"/>
      <c r="V1064" s="43"/>
    </row>
    <row r="1065" spans="1:22" ht="15.75" customHeight="1" x14ac:dyDescent="0.2">
      <c r="A1065" s="40">
        <v>101</v>
      </c>
      <c r="B1065" s="41" t="s">
        <v>1262</v>
      </c>
      <c r="C1065" s="42" t="s">
        <v>1328</v>
      </c>
      <c r="D1065" s="42" t="s">
        <v>1329</v>
      </c>
      <c r="E1065" s="42" t="s">
        <v>1330</v>
      </c>
      <c r="F1065" s="42" t="s">
        <v>1322</v>
      </c>
      <c r="G1065" s="42" t="s">
        <v>1207</v>
      </c>
      <c r="H1065" s="43"/>
      <c r="I1065" s="43"/>
      <c r="J1065" s="43"/>
      <c r="K1065" s="43"/>
      <c r="L1065" s="43"/>
      <c r="M1065" s="43"/>
      <c r="N1065" s="43"/>
      <c r="O1065" s="43"/>
      <c r="P1065" s="43"/>
      <c r="Q1065" s="43"/>
      <c r="R1065" s="43"/>
      <c r="S1065" s="43"/>
      <c r="T1065" s="43"/>
      <c r="U1065" s="43"/>
      <c r="V1065" s="43"/>
    </row>
    <row r="1066" spans="1:22" ht="15.75" customHeight="1" x14ac:dyDescent="0.2">
      <c r="A1066" s="40">
        <v>135</v>
      </c>
      <c r="B1066" s="41" t="s">
        <v>460</v>
      </c>
      <c r="C1066" s="42" t="s">
        <v>1331</v>
      </c>
      <c r="D1066" s="42" t="s">
        <v>1332</v>
      </c>
      <c r="E1066" s="42" t="s">
        <v>1333</v>
      </c>
      <c r="F1066" s="42" t="s">
        <v>1322</v>
      </c>
      <c r="G1066" s="42" t="s">
        <v>1207</v>
      </c>
      <c r="H1066" s="43"/>
      <c r="I1066" s="43"/>
      <c r="J1066" s="43"/>
      <c r="K1066" s="43"/>
      <c r="L1066" s="43"/>
      <c r="M1066" s="43"/>
      <c r="N1066" s="43"/>
      <c r="O1066" s="43"/>
      <c r="P1066" s="43"/>
      <c r="Q1066" s="43"/>
      <c r="R1066" s="43"/>
      <c r="S1066" s="43"/>
      <c r="T1066" s="43"/>
      <c r="U1066" s="43"/>
      <c r="V1066" s="43"/>
    </row>
    <row r="1067" spans="1:22" ht="15.75" customHeight="1" x14ac:dyDescent="0.2">
      <c r="A1067" s="40">
        <v>163</v>
      </c>
      <c r="B1067" s="41" t="s">
        <v>549</v>
      </c>
      <c r="C1067" s="42" t="s">
        <v>1334</v>
      </c>
      <c r="D1067" s="42" t="s">
        <v>516</v>
      </c>
      <c r="E1067" s="42" t="s">
        <v>876</v>
      </c>
      <c r="F1067" s="42" t="s">
        <v>1322</v>
      </c>
      <c r="G1067" s="42" t="s">
        <v>1207</v>
      </c>
      <c r="H1067" s="43"/>
      <c r="I1067" s="43"/>
      <c r="J1067" s="43"/>
      <c r="K1067" s="43"/>
      <c r="L1067" s="43"/>
      <c r="M1067" s="43"/>
      <c r="N1067" s="43"/>
      <c r="O1067" s="43"/>
      <c r="P1067" s="43"/>
      <c r="Q1067" s="43"/>
      <c r="R1067" s="43"/>
      <c r="S1067" s="43"/>
      <c r="T1067" s="43"/>
      <c r="U1067" s="43"/>
      <c r="V1067" s="43"/>
    </row>
    <row r="1068" spans="1:22" ht="15.75" customHeight="1" x14ac:dyDescent="0.2">
      <c r="A1068" s="40">
        <v>165</v>
      </c>
      <c r="B1068" s="41" t="s">
        <v>549</v>
      </c>
      <c r="C1068" s="42" t="s">
        <v>1334</v>
      </c>
      <c r="D1068" s="42" t="s">
        <v>120</v>
      </c>
      <c r="E1068" s="42" t="s">
        <v>876</v>
      </c>
      <c r="F1068" s="42" t="s">
        <v>1322</v>
      </c>
      <c r="G1068" s="42" t="s">
        <v>1207</v>
      </c>
      <c r="H1068" s="43"/>
      <c r="I1068" s="43"/>
      <c r="J1068" s="43"/>
      <c r="K1068" s="43"/>
      <c r="L1068" s="43"/>
      <c r="M1068" s="43"/>
      <c r="N1068" s="43"/>
      <c r="O1068" s="43"/>
      <c r="P1068" s="43"/>
      <c r="Q1068" s="43"/>
      <c r="R1068" s="43"/>
      <c r="S1068" s="43"/>
      <c r="T1068" s="43"/>
      <c r="U1068" s="43"/>
      <c r="V1068" s="43"/>
    </row>
    <row r="1069" spans="1:22" ht="15.75" customHeight="1" x14ac:dyDescent="0.2">
      <c r="A1069" s="40">
        <v>181</v>
      </c>
      <c r="B1069" s="41" t="s">
        <v>549</v>
      </c>
      <c r="C1069" s="42" t="s">
        <v>1335</v>
      </c>
      <c r="D1069" s="42" t="s">
        <v>75</v>
      </c>
      <c r="E1069" s="42" t="s">
        <v>1048</v>
      </c>
      <c r="F1069" s="42" t="s">
        <v>1322</v>
      </c>
      <c r="G1069" s="42" t="s">
        <v>1207</v>
      </c>
      <c r="H1069" s="43"/>
      <c r="I1069" s="43"/>
      <c r="J1069" s="43"/>
      <c r="K1069" s="43"/>
      <c r="L1069" s="43"/>
      <c r="M1069" s="43"/>
      <c r="N1069" s="43"/>
      <c r="O1069" s="43"/>
      <c r="P1069" s="43"/>
      <c r="Q1069" s="43"/>
      <c r="R1069" s="43"/>
      <c r="S1069" s="43"/>
      <c r="T1069" s="43"/>
      <c r="U1069" s="43"/>
      <c r="V1069" s="43"/>
    </row>
    <row r="1070" spans="1:22" ht="15.75" customHeight="1" x14ac:dyDescent="0.2">
      <c r="A1070" s="40">
        <v>209</v>
      </c>
      <c r="B1070" s="41" t="s">
        <v>946</v>
      </c>
      <c r="C1070" s="42" t="s">
        <v>1336</v>
      </c>
      <c r="D1070" s="42" t="s">
        <v>1337</v>
      </c>
      <c r="E1070" s="42" t="s">
        <v>1217</v>
      </c>
      <c r="F1070" s="42" t="s">
        <v>1322</v>
      </c>
      <c r="G1070" s="42" t="s">
        <v>1207</v>
      </c>
      <c r="H1070" s="43"/>
      <c r="I1070" s="43"/>
      <c r="J1070" s="43"/>
      <c r="K1070" s="43"/>
      <c r="L1070" s="43"/>
      <c r="M1070" s="43"/>
      <c r="N1070" s="43"/>
      <c r="O1070" s="43"/>
      <c r="P1070" s="43"/>
      <c r="Q1070" s="43"/>
      <c r="R1070" s="43"/>
      <c r="S1070" s="43"/>
      <c r="T1070" s="43"/>
      <c r="U1070" s="43"/>
      <c r="V1070" s="43"/>
    </row>
    <row r="1071" spans="1:22" ht="15.75" customHeight="1" x14ac:dyDescent="0.2">
      <c r="A1071" s="40">
        <v>443</v>
      </c>
      <c r="B1071" s="41" t="s">
        <v>674</v>
      </c>
      <c r="C1071" s="42" t="s">
        <v>416</v>
      </c>
      <c r="D1071" s="42" t="s">
        <v>1338</v>
      </c>
      <c r="E1071" s="42" t="s">
        <v>389</v>
      </c>
      <c r="F1071" s="42" t="s">
        <v>1322</v>
      </c>
      <c r="G1071" s="42" t="s">
        <v>1207</v>
      </c>
      <c r="H1071" s="43"/>
      <c r="I1071" s="43"/>
      <c r="J1071" s="43"/>
      <c r="K1071" s="43"/>
      <c r="L1071" s="43"/>
      <c r="M1071" s="43"/>
      <c r="N1071" s="43"/>
      <c r="O1071" s="43"/>
      <c r="P1071" s="43"/>
      <c r="Q1071" s="43"/>
      <c r="R1071" s="43"/>
      <c r="S1071" s="43"/>
      <c r="T1071" s="43"/>
      <c r="U1071" s="43"/>
      <c r="V1071" s="43"/>
    </row>
    <row r="1072" spans="1:22" ht="15.75" customHeight="1" x14ac:dyDescent="0.2">
      <c r="A1072" s="40">
        <v>493</v>
      </c>
      <c r="B1072" s="41" t="s">
        <v>1339</v>
      </c>
      <c r="C1072" s="42" t="s">
        <v>1340</v>
      </c>
      <c r="D1072" s="42" t="s">
        <v>1068</v>
      </c>
      <c r="E1072" s="42" t="s">
        <v>18</v>
      </c>
      <c r="F1072" s="42" t="s">
        <v>1322</v>
      </c>
      <c r="G1072" s="42" t="s">
        <v>1207</v>
      </c>
      <c r="H1072" s="43"/>
      <c r="I1072" s="43"/>
      <c r="J1072" s="43"/>
      <c r="K1072" s="43"/>
      <c r="L1072" s="43"/>
      <c r="M1072" s="43"/>
      <c r="N1072" s="43"/>
      <c r="O1072" s="43"/>
      <c r="P1072" s="43"/>
      <c r="Q1072" s="43"/>
      <c r="R1072" s="43"/>
      <c r="S1072" s="43"/>
      <c r="T1072" s="43"/>
      <c r="U1072" s="43"/>
      <c r="V1072" s="43"/>
    </row>
    <row r="1073" spans="1:22" ht="15.75" customHeight="1" x14ac:dyDescent="0.2">
      <c r="A1073" s="40">
        <v>511</v>
      </c>
      <c r="B1073" s="41" t="s">
        <v>509</v>
      </c>
      <c r="C1073" s="42" t="s">
        <v>1341</v>
      </c>
      <c r="D1073" s="42" t="s">
        <v>1024</v>
      </c>
      <c r="E1073" s="42" t="s">
        <v>348</v>
      </c>
      <c r="F1073" s="42" t="s">
        <v>1322</v>
      </c>
      <c r="G1073" s="42" t="s">
        <v>1207</v>
      </c>
      <c r="H1073" s="43"/>
      <c r="I1073" s="43"/>
      <c r="J1073" s="43"/>
      <c r="K1073" s="43"/>
      <c r="L1073" s="43"/>
      <c r="M1073" s="43"/>
      <c r="N1073" s="43"/>
      <c r="O1073" s="43"/>
      <c r="P1073" s="43"/>
      <c r="Q1073" s="43"/>
      <c r="R1073" s="43"/>
      <c r="S1073" s="43"/>
      <c r="T1073" s="43"/>
      <c r="U1073" s="43"/>
      <c r="V1073" s="43"/>
    </row>
    <row r="1074" spans="1:22" ht="15.75" customHeight="1" x14ac:dyDescent="0.2">
      <c r="A1074" s="40">
        <v>557</v>
      </c>
      <c r="B1074" s="41" t="s">
        <v>368</v>
      </c>
      <c r="C1074" s="42" t="s">
        <v>1342</v>
      </c>
      <c r="D1074" s="42" t="s">
        <v>17</v>
      </c>
      <c r="E1074" s="42" t="s">
        <v>502</v>
      </c>
      <c r="F1074" s="42" t="s">
        <v>1322</v>
      </c>
      <c r="G1074" s="42" t="s">
        <v>1207</v>
      </c>
      <c r="H1074" s="43"/>
      <c r="I1074" s="43"/>
      <c r="J1074" s="43"/>
      <c r="K1074" s="43"/>
      <c r="L1074" s="43"/>
      <c r="M1074" s="43"/>
      <c r="N1074" s="43"/>
      <c r="O1074" s="43"/>
      <c r="P1074" s="43"/>
      <c r="Q1074" s="43"/>
      <c r="R1074" s="43"/>
      <c r="S1074" s="43"/>
      <c r="T1074" s="43"/>
      <c r="U1074" s="43"/>
      <c r="V1074" s="43"/>
    </row>
    <row r="1075" spans="1:22" ht="15.75" customHeight="1" x14ac:dyDescent="0.2">
      <c r="A1075" s="40">
        <v>865</v>
      </c>
      <c r="B1075" s="41" t="s">
        <v>454</v>
      </c>
      <c r="C1075" s="42" t="s">
        <v>1323</v>
      </c>
      <c r="D1075" s="42" t="s">
        <v>462</v>
      </c>
      <c r="E1075" s="42" t="s">
        <v>1212</v>
      </c>
      <c r="F1075" s="42" t="s">
        <v>1322</v>
      </c>
      <c r="G1075" s="42" t="s">
        <v>1207</v>
      </c>
      <c r="H1075" s="43"/>
      <c r="I1075" s="43"/>
      <c r="J1075" s="43"/>
      <c r="K1075" s="43"/>
      <c r="L1075" s="43"/>
      <c r="M1075" s="43"/>
      <c r="N1075" s="43"/>
      <c r="O1075" s="43"/>
      <c r="P1075" s="43"/>
      <c r="Q1075" s="43"/>
      <c r="R1075" s="43"/>
      <c r="S1075" s="43"/>
      <c r="T1075" s="43"/>
      <c r="U1075" s="43"/>
      <c r="V1075" s="43"/>
    </row>
    <row r="1076" spans="1:22" ht="15.75" customHeight="1" x14ac:dyDescent="0.2">
      <c r="A1076" s="40">
        <v>873</v>
      </c>
      <c r="B1076" s="41" t="s">
        <v>634</v>
      </c>
      <c r="C1076" s="42" t="s">
        <v>1324</v>
      </c>
      <c r="D1076" s="42" t="s">
        <v>636</v>
      </c>
      <c r="E1076" s="42" t="s">
        <v>393</v>
      </c>
      <c r="F1076" s="42" t="s">
        <v>1322</v>
      </c>
      <c r="G1076" s="42" t="s">
        <v>1207</v>
      </c>
      <c r="H1076" s="43"/>
      <c r="I1076" s="43"/>
      <c r="J1076" s="43"/>
      <c r="K1076" s="43"/>
      <c r="L1076" s="43"/>
      <c r="M1076" s="43"/>
      <c r="N1076" s="43"/>
      <c r="O1076" s="43"/>
      <c r="P1076" s="43"/>
      <c r="Q1076" s="43"/>
      <c r="R1076" s="43"/>
      <c r="S1076" s="43"/>
      <c r="T1076" s="43"/>
      <c r="U1076" s="43"/>
      <c r="V1076" s="43"/>
    </row>
    <row r="1077" spans="1:22" ht="15.75" customHeight="1" x14ac:dyDescent="0.2">
      <c r="A1077" s="40">
        <v>877</v>
      </c>
      <c r="B1077" s="41" t="s">
        <v>634</v>
      </c>
      <c r="C1077" s="42" t="s">
        <v>1325</v>
      </c>
      <c r="D1077" s="42" t="s">
        <v>163</v>
      </c>
      <c r="E1077" s="42" t="s">
        <v>452</v>
      </c>
      <c r="F1077" s="42" t="s">
        <v>1322</v>
      </c>
      <c r="G1077" s="42" t="s">
        <v>1207</v>
      </c>
      <c r="H1077" s="43"/>
      <c r="I1077" s="43"/>
      <c r="J1077" s="43"/>
      <c r="K1077" s="43"/>
      <c r="L1077" s="43"/>
      <c r="M1077" s="43"/>
      <c r="N1077" s="43"/>
      <c r="O1077" s="43"/>
      <c r="P1077" s="43"/>
      <c r="Q1077" s="43"/>
      <c r="R1077" s="43"/>
      <c r="S1077" s="43"/>
      <c r="T1077" s="43"/>
      <c r="U1077" s="43"/>
      <c r="V1077" s="43"/>
    </row>
    <row r="1078" spans="1:22" ht="15.75" customHeight="1" x14ac:dyDescent="0.2">
      <c r="A1078" s="40">
        <v>879</v>
      </c>
      <c r="B1078" s="41" t="s">
        <v>634</v>
      </c>
      <c r="C1078" s="42" t="s">
        <v>870</v>
      </c>
      <c r="D1078" s="42" t="s">
        <v>124</v>
      </c>
      <c r="E1078" s="42" t="s">
        <v>393</v>
      </c>
      <c r="F1078" s="42" t="s">
        <v>1322</v>
      </c>
      <c r="G1078" s="42" t="s">
        <v>1207</v>
      </c>
      <c r="H1078" s="43"/>
      <c r="I1078" s="43"/>
      <c r="J1078" s="43"/>
      <c r="K1078" s="43"/>
      <c r="L1078" s="43"/>
      <c r="M1078" s="43"/>
      <c r="N1078" s="43"/>
      <c r="O1078" s="43"/>
      <c r="P1078" s="43"/>
      <c r="Q1078" s="43"/>
      <c r="R1078" s="43"/>
      <c r="S1078" s="43"/>
      <c r="T1078" s="43"/>
      <c r="U1078" s="43"/>
      <c r="V1078" s="43"/>
    </row>
    <row r="1079" spans="1:22" ht="15.75" customHeight="1" x14ac:dyDescent="0.2">
      <c r="A1079" s="40">
        <v>935</v>
      </c>
      <c r="B1079" s="41" t="s">
        <v>709</v>
      </c>
      <c r="C1079" s="42" t="s">
        <v>858</v>
      </c>
      <c r="D1079" s="42" t="s">
        <v>1321</v>
      </c>
      <c r="E1079" s="42" t="s">
        <v>1235</v>
      </c>
      <c r="F1079" s="42" t="s">
        <v>1322</v>
      </c>
      <c r="G1079" s="42" t="s">
        <v>1207</v>
      </c>
      <c r="H1079" s="43"/>
      <c r="I1079" s="43"/>
      <c r="J1079" s="43"/>
      <c r="K1079" s="43"/>
      <c r="L1079" s="43"/>
      <c r="M1079" s="43"/>
      <c r="N1079" s="43"/>
      <c r="O1079" s="43"/>
      <c r="P1079" s="43"/>
      <c r="Q1079" s="43"/>
      <c r="R1079" s="43"/>
      <c r="S1079" s="43"/>
      <c r="T1079" s="43"/>
      <c r="U1079" s="43"/>
      <c r="V1079" s="43"/>
    </row>
    <row r="1080" spans="1:22" ht="15.75" customHeight="1" x14ac:dyDescent="0.2">
      <c r="A1080" s="40">
        <v>967</v>
      </c>
      <c r="B1080" s="41" t="s">
        <v>698</v>
      </c>
      <c r="C1080" s="42" t="s">
        <v>1343</v>
      </c>
      <c r="D1080" s="42" t="s">
        <v>56</v>
      </c>
      <c r="E1080" s="42" t="s">
        <v>743</v>
      </c>
      <c r="F1080" s="42" t="s">
        <v>1322</v>
      </c>
      <c r="G1080" s="42" t="s">
        <v>1207</v>
      </c>
      <c r="H1080" s="43"/>
      <c r="I1080" s="43"/>
      <c r="J1080" s="43"/>
      <c r="K1080" s="43"/>
      <c r="L1080" s="43"/>
      <c r="M1080" s="43"/>
      <c r="N1080" s="43"/>
      <c r="O1080" s="43"/>
      <c r="P1080" s="43"/>
      <c r="Q1080" s="43"/>
      <c r="R1080" s="43"/>
      <c r="S1080" s="43"/>
      <c r="T1080" s="43"/>
      <c r="U1080" s="43"/>
      <c r="V1080" s="43"/>
    </row>
    <row r="1081" spans="1:22" ht="15.75" customHeight="1" x14ac:dyDescent="0.2">
      <c r="A1081" s="40">
        <v>987</v>
      </c>
      <c r="B1081" s="41" t="s">
        <v>624</v>
      </c>
      <c r="C1081" s="42" t="s">
        <v>416</v>
      </c>
      <c r="D1081" s="42" t="s">
        <v>1338</v>
      </c>
      <c r="E1081" s="42" t="s">
        <v>389</v>
      </c>
      <c r="F1081" s="42" t="s">
        <v>1322</v>
      </c>
      <c r="G1081" s="42" t="s">
        <v>1207</v>
      </c>
      <c r="H1081" s="43"/>
      <c r="I1081" s="43"/>
      <c r="J1081" s="43"/>
      <c r="K1081" s="43"/>
      <c r="L1081" s="43"/>
      <c r="M1081" s="43"/>
      <c r="N1081" s="43"/>
      <c r="O1081" s="43"/>
      <c r="P1081" s="43"/>
      <c r="Q1081" s="43"/>
      <c r="R1081" s="43"/>
      <c r="S1081" s="43"/>
      <c r="T1081" s="43"/>
      <c r="U1081" s="43"/>
      <c r="V1081" s="43"/>
    </row>
    <row r="1082" spans="1:22" ht="15.75" customHeight="1" x14ac:dyDescent="0.2">
      <c r="A1082" s="40">
        <v>1001</v>
      </c>
      <c r="B1082" s="41" t="s">
        <v>1076</v>
      </c>
      <c r="C1082" s="42" t="s">
        <v>1331</v>
      </c>
      <c r="D1082" s="42" t="s">
        <v>1332</v>
      </c>
      <c r="E1082" s="42" t="s">
        <v>1333</v>
      </c>
      <c r="F1082" s="42" t="s">
        <v>1322</v>
      </c>
      <c r="G1082" s="42" t="s">
        <v>1207</v>
      </c>
      <c r="H1082" s="43"/>
      <c r="I1082" s="43"/>
      <c r="J1082" s="43"/>
      <c r="K1082" s="43"/>
      <c r="L1082" s="43"/>
      <c r="M1082" s="43"/>
      <c r="N1082" s="43"/>
      <c r="O1082" s="43"/>
      <c r="P1082" s="43"/>
      <c r="Q1082" s="43"/>
      <c r="R1082" s="43"/>
      <c r="S1082" s="43"/>
      <c r="T1082" s="43"/>
      <c r="U1082" s="43"/>
      <c r="V1082" s="43"/>
    </row>
    <row r="1083" spans="1:22" ht="15.75" customHeight="1" x14ac:dyDescent="0.2">
      <c r="A1083" s="40">
        <v>1019</v>
      </c>
      <c r="B1083" s="41" t="s">
        <v>1076</v>
      </c>
      <c r="C1083" s="42" t="s">
        <v>1328</v>
      </c>
      <c r="D1083" s="42" t="s">
        <v>1329</v>
      </c>
      <c r="E1083" s="42" t="s">
        <v>1330</v>
      </c>
      <c r="F1083" s="42" t="s">
        <v>1322</v>
      </c>
      <c r="G1083" s="42" t="s">
        <v>1207</v>
      </c>
      <c r="H1083" s="43"/>
      <c r="I1083" s="43"/>
      <c r="J1083" s="43"/>
      <c r="K1083" s="43"/>
      <c r="L1083" s="43"/>
      <c r="M1083" s="43"/>
      <c r="N1083" s="43"/>
      <c r="O1083" s="43"/>
      <c r="P1083" s="43"/>
      <c r="Q1083" s="43"/>
      <c r="R1083" s="43"/>
      <c r="S1083" s="43"/>
      <c r="T1083" s="43"/>
      <c r="U1083" s="43"/>
      <c r="V1083" s="43"/>
    </row>
    <row r="1084" spans="1:22" ht="15.75" customHeight="1" x14ac:dyDescent="0.2">
      <c r="A1084" s="40">
        <v>1113</v>
      </c>
      <c r="B1084" s="41" t="s">
        <v>1344</v>
      </c>
      <c r="C1084" s="42" t="s">
        <v>1341</v>
      </c>
      <c r="D1084" s="42" t="s">
        <v>1024</v>
      </c>
      <c r="E1084" s="42" t="s">
        <v>348</v>
      </c>
      <c r="F1084" s="42" t="s">
        <v>1322</v>
      </c>
      <c r="G1084" s="42" t="s">
        <v>1207</v>
      </c>
      <c r="H1084" s="43"/>
      <c r="I1084" s="43"/>
      <c r="J1084" s="43"/>
      <c r="K1084" s="43"/>
      <c r="L1084" s="43"/>
      <c r="M1084" s="43"/>
      <c r="N1084" s="43"/>
      <c r="O1084" s="43"/>
      <c r="P1084" s="43"/>
      <c r="Q1084" s="43"/>
      <c r="R1084" s="43"/>
      <c r="S1084" s="43"/>
      <c r="T1084" s="43"/>
      <c r="U1084" s="43"/>
      <c r="V1084" s="43"/>
    </row>
    <row r="1085" spans="1:22" ht="15.75" customHeight="1" x14ac:dyDescent="0.2">
      <c r="A1085" s="40">
        <v>1155</v>
      </c>
      <c r="B1085" s="41" t="s">
        <v>433</v>
      </c>
      <c r="C1085" s="42" t="s">
        <v>1340</v>
      </c>
      <c r="D1085" s="42" t="s">
        <v>1068</v>
      </c>
      <c r="E1085" s="42" t="s">
        <v>18</v>
      </c>
      <c r="F1085" s="42" t="s">
        <v>1322</v>
      </c>
      <c r="G1085" s="42" t="s">
        <v>1207</v>
      </c>
      <c r="H1085" s="43"/>
      <c r="I1085" s="43"/>
      <c r="J1085" s="43"/>
      <c r="K1085" s="43"/>
      <c r="L1085" s="43"/>
      <c r="M1085" s="43"/>
      <c r="N1085" s="43"/>
      <c r="O1085" s="43"/>
      <c r="P1085" s="43"/>
      <c r="Q1085" s="43"/>
      <c r="R1085" s="43"/>
      <c r="S1085" s="43"/>
      <c r="T1085" s="43"/>
      <c r="U1085" s="43"/>
      <c r="V1085" s="43"/>
    </row>
    <row r="1086" spans="1:22" ht="15.75" customHeight="1" x14ac:dyDescent="0.2">
      <c r="A1086" s="40">
        <v>1237</v>
      </c>
      <c r="B1086" s="41" t="s">
        <v>699</v>
      </c>
      <c r="C1086" s="42" t="s">
        <v>1334</v>
      </c>
      <c r="D1086" s="42" t="s">
        <v>120</v>
      </c>
      <c r="E1086" s="42" t="s">
        <v>876</v>
      </c>
      <c r="F1086" s="42" t="s">
        <v>1322</v>
      </c>
      <c r="G1086" s="42" t="s">
        <v>1207</v>
      </c>
      <c r="H1086" s="43"/>
      <c r="I1086" s="43"/>
      <c r="J1086" s="43"/>
      <c r="K1086" s="43"/>
      <c r="L1086" s="43"/>
      <c r="M1086" s="43"/>
      <c r="N1086" s="43"/>
      <c r="O1086" s="43"/>
      <c r="P1086" s="43"/>
      <c r="Q1086" s="43"/>
      <c r="R1086" s="43"/>
      <c r="S1086" s="43"/>
      <c r="T1086" s="43"/>
      <c r="U1086" s="43"/>
      <c r="V1086" s="43"/>
    </row>
    <row r="1087" spans="1:22" ht="15.75" customHeight="1" x14ac:dyDescent="0.2">
      <c r="A1087" s="40">
        <v>1243</v>
      </c>
      <c r="B1087" s="41" t="s">
        <v>699</v>
      </c>
      <c r="C1087" s="42" t="s">
        <v>1335</v>
      </c>
      <c r="D1087" s="42" t="s">
        <v>75</v>
      </c>
      <c r="E1087" s="42" t="s">
        <v>1048</v>
      </c>
      <c r="F1087" s="42" t="s">
        <v>1322</v>
      </c>
      <c r="G1087" s="42" t="s">
        <v>1207</v>
      </c>
      <c r="H1087" s="43"/>
      <c r="I1087" s="43"/>
      <c r="J1087" s="43"/>
      <c r="K1087" s="43"/>
      <c r="L1087" s="43"/>
      <c r="M1087" s="43"/>
      <c r="N1087" s="43"/>
      <c r="O1087" s="43"/>
      <c r="P1087" s="43"/>
      <c r="Q1087" s="43"/>
      <c r="R1087" s="43"/>
      <c r="S1087" s="43"/>
      <c r="T1087" s="43"/>
      <c r="U1087" s="43"/>
      <c r="V1087" s="43"/>
    </row>
    <row r="1088" spans="1:22" ht="15.75" customHeight="1" x14ac:dyDescent="0.2">
      <c r="A1088" s="40">
        <v>1267</v>
      </c>
      <c r="B1088" s="41" t="s">
        <v>453</v>
      </c>
      <c r="C1088" s="42" t="s">
        <v>1336</v>
      </c>
      <c r="D1088" s="42" t="s">
        <v>1337</v>
      </c>
      <c r="E1088" s="42" t="s">
        <v>1217</v>
      </c>
      <c r="F1088" s="42" t="s">
        <v>1322</v>
      </c>
      <c r="G1088" s="42" t="s">
        <v>1207</v>
      </c>
      <c r="H1088" s="43"/>
      <c r="I1088" s="43"/>
      <c r="J1088" s="43"/>
      <c r="K1088" s="43"/>
      <c r="L1088" s="43"/>
      <c r="M1088" s="43"/>
      <c r="N1088" s="43"/>
      <c r="O1088" s="43"/>
      <c r="P1088" s="43"/>
      <c r="Q1088" s="43"/>
      <c r="R1088" s="43"/>
      <c r="S1088" s="43"/>
      <c r="T1088" s="43"/>
      <c r="U1088" s="43"/>
      <c r="V1088" s="43"/>
    </row>
    <row r="1089" spans="1:22" ht="15.75" customHeight="1" x14ac:dyDescent="0.2">
      <c r="A1089" s="40">
        <v>1309</v>
      </c>
      <c r="B1089" s="41" t="s">
        <v>936</v>
      </c>
      <c r="C1089" s="42" t="s">
        <v>1334</v>
      </c>
      <c r="D1089" s="42" t="s">
        <v>516</v>
      </c>
      <c r="E1089" s="42" t="s">
        <v>876</v>
      </c>
      <c r="F1089" s="42" t="s">
        <v>1322</v>
      </c>
      <c r="G1089" s="42" t="s">
        <v>1207</v>
      </c>
      <c r="H1089" s="43"/>
      <c r="I1089" s="43"/>
      <c r="J1089" s="43"/>
      <c r="K1089" s="43"/>
      <c r="L1089" s="43"/>
      <c r="M1089" s="43"/>
      <c r="N1089" s="43"/>
      <c r="O1089" s="43"/>
      <c r="P1089" s="43"/>
      <c r="Q1089" s="43"/>
      <c r="R1089" s="43"/>
      <c r="S1089" s="43"/>
      <c r="T1089" s="43"/>
      <c r="U1089" s="43"/>
      <c r="V1089" s="43"/>
    </row>
    <row r="1090" spans="1:22" ht="15.75" customHeight="1" x14ac:dyDescent="0.2">
      <c r="A1090" s="40">
        <v>1701</v>
      </c>
      <c r="B1090" s="41" t="s">
        <v>1345</v>
      </c>
      <c r="C1090" s="42" t="s">
        <v>1331</v>
      </c>
      <c r="D1090" s="42" t="s">
        <v>1332</v>
      </c>
      <c r="E1090" s="42" t="s">
        <v>1333</v>
      </c>
      <c r="F1090" s="42" t="s">
        <v>1322</v>
      </c>
      <c r="G1090" s="42" t="s">
        <v>1207</v>
      </c>
      <c r="H1090" s="43"/>
      <c r="I1090" s="43"/>
      <c r="J1090" s="43"/>
      <c r="K1090" s="43"/>
      <c r="L1090" s="43"/>
      <c r="M1090" s="43"/>
      <c r="N1090" s="43"/>
      <c r="O1090" s="43"/>
      <c r="P1090" s="43"/>
      <c r="Q1090" s="43"/>
      <c r="R1090" s="43"/>
      <c r="S1090" s="43"/>
      <c r="T1090" s="43"/>
      <c r="U1090" s="43"/>
      <c r="V1090" s="43"/>
    </row>
    <row r="1091" spans="1:22" ht="15.75" customHeight="1" x14ac:dyDescent="0.2">
      <c r="A1091" s="40">
        <v>1777</v>
      </c>
      <c r="B1091" s="41" t="s">
        <v>442</v>
      </c>
      <c r="C1091" s="42" t="s">
        <v>1336</v>
      </c>
      <c r="D1091" s="42" t="s">
        <v>1337</v>
      </c>
      <c r="E1091" s="42" t="s">
        <v>1217</v>
      </c>
      <c r="F1091" s="42" t="s">
        <v>1322</v>
      </c>
      <c r="G1091" s="42" t="s">
        <v>1207</v>
      </c>
      <c r="H1091" s="43"/>
      <c r="I1091" s="43"/>
      <c r="J1091" s="43"/>
      <c r="K1091" s="43"/>
      <c r="L1091" s="43"/>
      <c r="M1091" s="43"/>
      <c r="N1091" s="43"/>
      <c r="O1091" s="43"/>
      <c r="P1091" s="43"/>
      <c r="Q1091" s="43"/>
      <c r="R1091" s="43"/>
      <c r="S1091" s="43"/>
      <c r="T1091" s="43"/>
      <c r="U1091" s="43"/>
      <c r="V1091" s="43"/>
    </row>
    <row r="1092" spans="1:22" ht="15.75" customHeight="1" x14ac:dyDescent="0.2">
      <c r="A1092" s="40">
        <v>2005</v>
      </c>
      <c r="B1092" s="41" t="s">
        <v>701</v>
      </c>
      <c r="C1092" s="42" t="s">
        <v>1346</v>
      </c>
      <c r="D1092" s="42" t="s">
        <v>1041</v>
      </c>
      <c r="E1092" s="42" t="s">
        <v>563</v>
      </c>
      <c r="F1092" s="42" t="s">
        <v>1322</v>
      </c>
      <c r="G1092" s="42" t="s">
        <v>1207</v>
      </c>
      <c r="H1092" s="43"/>
      <c r="I1092" s="43"/>
      <c r="J1092" s="43"/>
      <c r="K1092" s="43"/>
      <c r="L1092" s="43"/>
      <c r="M1092" s="43"/>
      <c r="N1092" s="43"/>
      <c r="O1092" s="43"/>
      <c r="P1092" s="43"/>
      <c r="Q1092" s="43"/>
      <c r="R1092" s="43"/>
      <c r="S1092" s="43"/>
      <c r="T1092" s="43"/>
      <c r="U1092" s="43"/>
      <c r="V1092" s="43"/>
    </row>
    <row r="1093" spans="1:22" ht="15.75" customHeight="1" x14ac:dyDescent="0.2">
      <c r="A1093" s="40">
        <v>2019</v>
      </c>
      <c r="B1093" s="41" t="s">
        <v>701</v>
      </c>
      <c r="C1093" s="42" t="s">
        <v>1325</v>
      </c>
      <c r="D1093" s="42" t="s">
        <v>163</v>
      </c>
      <c r="E1093" s="42" t="s">
        <v>452</v>
      </c>
      <c r="F1093" s="42" t="s">
        <v>1322</v>
      </c>
      <c r="G1093" s="42" t="s">
        <v>1207</v>
      </c>
      <c r="H1093" s="43"/>
      <c r="I1093" s="43"/>
      <c r="J1093" s="43"/>
      <c r="K1093" s="43"/>
      <c r="L1093" s="43"/>
      <c r="M1093" s="43"/>
      <c r="N1093" s="43"/>
      <c r="O1093" s="43"/>
      <c r="P1093" s="43"/>
      <c r="Q1093" s="43"/>
      <c r="R1093" s="43"/>
      <c r="S1093" s="43"/>
      <c r="T1093" s="43"/>
      <c r="U1093" s="43"/>
      <c r="V1093" s="43"/>
    </row>
    <row r="1094" spans="1:22" ht="15.75" customHeight="1" x14ac:dyDescent="0.2">
      <c r="A1094" s="40">
        <v>2021</v>
      </c>
      <c r="B1094" s="41" t="s">
        <v>701</v>
      </c>
      <c r="C1094" s="42" t="s">
        <v>870</v>
      </c>
      <c r="D1094" s="42" t="s">
        <v>124</v>
      </c>
      <c r="E1094" s="42" t="s">
        <v>393</v>
      </c>
      <c r="F1094" s="42" t="s">
        <v>1322</v>
      </c>
      <c r="G1094" s="42" t="s">
        <v>1207</v>
      </c>
      <c r="H1094" s="43"/>
      <c r="I1094" s="43"/>
      <c r="J1094" s="43"/>
      <c r="K1094" s="43"/>
      <c r="L1094" s="43"/>
      <c r="M1094" s="43"/>
      <c r="N1094" s="43"/>
      <c r="O1094" s="43"/>
      <c r="P1094" s="43"/>
      <c r="Q1094" s="43"/>
      <c r="R1094" s="43"/>
      <c r="S1094" s="43"/>
      <c r="T1094" s="43"/>
      <c r="U1094" s="43"/>
      <c r="V1094" s="43"/>
    </row>
    <row r="1095" spans="1:22" ht="15.75" customHeight="1" x14ac:dyDescent="0.2">
      <c r="A1095" s="40">
        <v>2733</v>
      </c>
      <c r="B1095" s="41" t="s">
        <v>944</v>
      </c>
      <c r="C1095" s="42" t="s">
        <v>1346</v>
      </c>
      <c r="D1095" s="42" t="s">
        <v>1041</v>
      </c>
      <c r="E1095" s="42" t="s">
        <v>563</v>
      </c>
      <c r="F1095" s="42" t="s">
        <v>1322</v>
      </c>
      <c r="G1095" s="42" t="s">
        <v>1207</v>
      </c>
      <c r="H1095" s="43"/>
      <c r="I1095" s="43"/>
      <c r="J1095" s="43"/>
      <c r="K1095" s="43"/>
      <c r="L1095" s="43"/>
      <c r="M1095" s="43"/>
      <c r="N1095" s="43"/>
      <c r="O1095" s="43"/>
      <c r="P1095" s="43"/>
      <c r="Q1095" s="43"/>
      <c r="R1095" s="43"/>
      <c r="S1095" s="43"/>
      <c r="T1095" s="43"/>
      <c r="U1095" s="43"/>
      <c r="V1095" s="43"/>
    </row>
    <row r="1096" spans="1:22" ht="15.75" customHeight="1" x14ac:dyDescent="0.2">
      <c r="A1096" s="40">
        <v>2739</v>
      </c>
      <c r="B1096" s="41" t="s">
        <v>944</v>
      </c>
      <c r="C1096" s="42" t="s">
        <v>1326</v>
      </c>
      <c r="D1096" s="42" t="s">
        <v>1327</v>
      </c>
      <c r="E1096" s="42" t="s">
        <v>40</v>
      </c>
      <c r="F1096" s="42" t="s">
        <v>1322</v>
      </c>
      <c r="G1096" s="42" t="s">
        <v>1207</v>
      </c>
      <c r="H1096" s="43"/>
      <c r="I1096" s="43"/>
      <c r="J1096" s="43"/>
      <c r="K1096" s="43"/>
      <c r="L1096" s="43"/>
      <c r="M1096" s="43"/>
      <c r="N1096" s="43"/>
      <c r="O1096" s="43"/>
      <c r="P1096" s="43"/>
      <c r="Q1096" s="43"/>
      <c r="R1096" s="43"/>
      <c r="S1096" s="43"/>
      <c r="T1096" s="43"/>
      <c r="U1096" s="43"/>
      <c r="V1096" s="43"/>
    </row>
    <row r="1097" spans="1:22" ht="15.75" customHeight="1" x14ac:dyDescent="0.2">
      <c r="A1097" s="40">
        <v>2763</v>
      </c>
      <c r="B1097" s="41" t="s">
        <v>623</v>
      </c>
      <c r="C1097" s="42" t="s">
        <v>1347</v>
      </c>
      <c r="D1097" s="42" t="s">
        <v>75</v>
      </c>
      <c r="E1097" s="42" t="s">
        <v>79</v>
      </c>
      <c r="F1097" s="42" t="s">
        <v>1322</v>
      </c>
      <c r="G1097" s="42" t="s">
        <v>1207</v>
      </c>
      <c r="H1097" s="43"/>
      <c r="I1097" s="43"/>
      <c r="J1097" s="43"/>
      <c r="K1097" s="43"/>
      <c r="L1097" s="43"/>
      <c r="M1097" s="43"/>
      <c r="N1097" s="43"/>
      <c r="O1097" s="43"/>
      <c r="P1097" s="43"/>
      <c r="Q1097" s="43"/>
      <c r="R1097" s="43"/>
      <c r="S1097" s="43"/>
      <c r="T1097" s="43"/>
      <c r="U1097" s="43"/>
      <c r="V1097" s="43"/>
    </row>
    <row r="1098" spans="1:22" ht="15.75" customHeight="1" x14ac:dyDescent="0.2">
      <c r="A1098" s="40">
        <v>2813</v>
      </c>
      <c r="B1098" s="41" t="s">
        <v>1348</v>
      </c>
      <c r="C1098" s="42" t="s">
        <v>1343</v>
      </c>
      <c r="D1098" s="42" t="s">
        <v>56</v>
      </c>
      <c r="E1098" s="42" t="s">
        <v>743</v>
      </c>
      <c r="F1098" s="42" t="s">
        <v>1322</v>
      </c>
      <c r="G1098" s="42" t="s">
        <v>1207</v>
      </c>
      <c r="H1098" s="43"/>
      <c r="I1098" s="43"/>
      <c r="J1098" s="43"/>
      <c r="K1098" s="43"/>
      <c r="L1098" s="43"/>
      <c r="M1098" s="43"/>
      <c r="N1098" s="43"/>
      <c r="O1098" s="43"/>
      <c r="P1098" s="43"/>
      <c r="Q1098" s="43"/>
      <c r="R1098" s="43"/>
      <c r="S1098" s="43"/>
      <c r="T1098" s="43"/>
      <c r="U1098" s="43"/>
      <c r="V1098" s="43"/>
    </row>
    <row r="1099" spans="1:22" ht="15.75" customHeight="1" x14ac:dyDescent="0.2">
      <c r="A1099" s="40">
        <v>2897</v>
      </c>
      <c r="B1099" s="41" t="s">
        <v>1133</v>
      </c>
      <c r="C1099" s="42" t="s">
        <v>1347</v>
      </c>
      <c r="D1099" s="42" t="s">
        <v>75</v>
      </c>
      <c r="E1099" s="42" t="s">
        <v>79</v>
      </c>
      <c r="F1099" s="42" t="s">
        <v>1322</v>
      </c>
      <c r="G1099" s="42" t="s">
        <v>1207</v>
      </c>
      <c r="H1099" s="43"/>
      <c r="I1099" s="43"/>
      <c r="J1099" s="43"/>
      <c r="K1099" s="43"/>
      <c r="L1099" s="43"/>
      <c r="M1099" s="43"/>
      <c r="N1099" s="43"/>
      <c r="O1099" s="43"/>
      <c r="P1099" s="43"/>
      <c r="Q1099" s="43"/>
      <c r="R1099" s="43"/>
      <c r="S1099" s="43"/>
      <c r="T1099" s="43"/>
      <c r="U1099" s="43"/>
      <c r="V1099" s="43"/>
    </row>
    <row r="1100" spans="1:22" ht="15.75" customHeight="1" x14ac:dyDescent="0.2">
      <c r="A1100" s="40">
        <v>777</v>
      </c>
      <c r="B1100" s="41" t="s">
        <v>405</v>
      </c>
      <c r="C1100" s="42" t="s">
        <v>1349</v>
      </c>
      <c r="D1100" s="42" t="s">
        <v>1350</v>
      </c>
      <c r="E1100" s="42" t="s">
        <v>22</v>
      </c>
      <c r="F1100" s="42" t="s">
        <v>1351</v>
      </c>
      <c r="G1100" s="42" t="s">
        <v>1207</v>
      </c>
      <c r="H1100" s="43"/>
      <c r="I1100" s="43"/>
      <c r="J1100" s="43"/>
      <c r="K1100" s="43"/>
      <c r="L1100" s="43"/>
      <c r="M1100" s="43"/>
      <c r="N1100" s="43"/>
      <c r="O1100" s="43"/>
      <c r="P1100" s="43"/>
      <c r="Q1100" s="43"/>
      <c r="R1100" s="43"/>
      <c r="S1100" s="43"/>
      <c r="T1100" s="43"/>
      <c r="U1100" s="43"/>
      <c r="V1100" s="43"/>
    </row>
    <row r="1101" spans="1:22" ht="15.75" customHeight="1" x14ac:dyDescent="0.2">
      <c r="A1101" s="40"/>
      <c r="B1101" s="45" t="s">
        <v>45</v>
      </c>
      <c r="C1101" s="46" t="s">
        <v>1349</v>
      </c>
      <c r="D1101" s="46" t="s">
        <v>78</v>
      </c>
      <c r="E1101" s="46" t="s">
        <v>1352</v>
      </c>
      <c r="F1101" s="46" t="s">
        <v>1351</v>
      </c>
      <c r="G1101" s="46" t="s">
        <v>1207</v>
      </c>
      <c r="H1101" s="43"/>
      <c r="I1101" s="43"/>
      <c r="J1101" s="43"/>
      <c r="K1101" s="43"/>
      <c r="L1101" s="43"/>
      <c r="M1101" s="43"/>
      <c r="N1101" s="43"/>
      <c r="O1101" s="43"/>
      <c r="P1101" s="43"/>
      <c r="Q1101" s="43"/>
      <c r="R1101" s="43"/>
      <c r="S1101" s="43"/>
      <c r="T1101" s="43"/>
      <c r="U1101" s="43"/>
      <c r="V1101" s="43"/>
    </row>
    <row r="1102" spans="1:22" ht="15.75" customHeight="1" x14ac:dyDescent="0.2">
      <c r="A1102" s="40"/>
      <c r="B1102" s="45" t="s">
        <v>46</v>
      </c>
      <c r="C1102" s="46" t="s">
        <v>1353</v>
      </c>
      <c r="D1102" s="46" t="s">
        <v>266</v>
      </c>
      <c r="E1102" s="46" t="s">
        <v>302</v>
      </c>
      <c r="F1102" s="46" t="s">
        <v>1351</v>
      </c>
      <c r="G1102" s="46" t="s">
        <v>1207</v>
      </c>
      <c r="H1102" s="43"/>
      <c r="I1102" s="43"/>
      <c r="J1102" s="43"/>
      <c r="K1102" s="43"/>
      <c r="L1102" s="43"/>
      <c r="M1102" s="43"/>
      <c r="N1102" s="43"/>
      <c r="O1102" s="43"/>
      <c r="P1102" s="43"/>
      <c r="Q1102" s="43"/>
      <c r="R1102" s="43"/>
      <c r="S1102" s="43"/>
      <c r="T1102" s="43"/>
      <c r="U1102" s="43"/>
      <c r="V1102" s="43"/>
    </row>
    <row r="1103" spans="1:22" ht="15.75" customHeight="1" x14ac:dyDescent="0.2">
      <c r="A1103" s="40"/>
      <c r="B1103" s="45" t="s">
        <v>26</v>
      </c>
      <c r="C1103" s="46" t="s">
        <v>1354</v>
      </c>
      <c r="D1103" s="46" t="s">
        <v>491</v>
      </c>
      <c r="E1103" s="46" t="s">
        <v>630</v>
      </c>
      <c r="F1103" s="46" t="s">
        <v>1351</v>
      </c>
      <c r="G1103" s="46" t="s">
        <v>1207</v>
      </c>
      <c r="H1103" s="43"/>
      <c r="I1103" s="43"/>
      <c r="J1103" s="43"/>
      <c r="K1103" s="43"/>
      <c r="L1103" s="43"/>
      <c r="M1103" s="43"/>
      <c r="N1103" s="43"/>
      <c r="O1103" s="43"/>
      <c r="P1103" s="43"/>
      <c r="Q1103" s="43"/>
      <c r="R1103" s="43"/>
      <c r="S1103" s="43"/>
      <c r="T1103" s="43"/>
      <c r="U1103" s="43"/>
      <c r="V1103" s="43"/>
    </row>
    <row r="1104" spans="1:22" ht="15.75" customHeight="1" x14ac:dyDescent="0.2">
      <c r="A1104" s="40">
        <v>127</v>
      </c>
      <c r="B1104" s="41" t="s">
        <v>504</v>
      </c>
      <c r="C1104" s="42" t="s">
        <v>1355</v>
      </c>
      <c r="D1104" s="42" t="s">
        <v>31</v>
      </c>
      <c r="E1104" s="42" t="s">
        <v>87</v>
      </c>
      <c r="F1104" s="42" t="s">
        <v>1356</v>
      </c>
      <c r="G1104" s="42" t="s">
        <v>1207</v>
      </c>
      <c r="H1104" s="43"/>
      <c r="I1104" s="43"/>
      <c r="J1104" s="43"/>
      <c r="K1104" s="43"/>
      <c r="L1104" s="43"/>
      <c r="M1104" s="43"/>
      <c r="N1104" s="43"/>
      <c r="O1104" s="43"/>
      <c r="P1104" s="43"/>
      <c r="Q1104" s="43"/>
      <c r="R1104" s="43"/>
      <c r="S1104" s="43"/>
      <c r="T1104" s="43"/>
      <c r="U1104" s="43"/>
      <c r="V1104" s="43"/>
    </row>
    <row r="1105" spans="1:22" ht="15.75" customHeight="1" x14ac:dyDescent="0.2">
      <c r="A1105" s="40">
        <v>269</v>
      </c>
      <c r="B1105" s="41" t="s">
        <v>628</v>
      </c>
      <c r="C1105" s="42" t="s">
        <v>1357</v>
      </c>
      <c r="D1105" s="42" t="s">
        <v>1327</v>
      </c>
      <c r="E1105" s="42" t="s">
        <v>1358</v>
      </c>
      <c r="F1105" s="42" t="s">
        <v>1356</v>
      </c>
      <c r="G1105" s="42" t="s">
        <v>1207</v>
      </c>
      <c r="H1105" s="43"/>
      <c r="I1105" s="43"/>
      <c r="J1105" s="43"/>
      <c r="K1105" s="43"/>
      <c r="L1105" s="43"/>
      <c r="M1105" s="43"/>
      <c r="N1105" s="43"/>
      <c r="O1105" s="43"/>
      <c r="P1105" s="43"/>
      <c r="Q1105" s="43"/>
      <c r="R1105" s="43"/>
      <c r="S1105" s="43"/>
      <c r="T1105" s="43"/>
      <c r="U1105" s="43"/>
      <c r="V1105" s="43"/>
    </row>
    <row r="1106" spans="1:22" ht="15.75" customHeight="1" x14ac:dyDescent="0.2">
      <c r="A1106" s="40">
        <v>585</v>
      </c>
      <c r="B1106" s="41" t="s">
        <v>428</v>
      </c>
      <c r="C1106" s="42" t="s">
        <v>1359</v>
      </c>
      <c r="D1106" s="42" t="s">
        <v>534</v>
      </c>
      <c r="E1106" s="42" t="s">
        <v>676</v>
      </c>
      <c r="F1106" s="42" t="s">
        <v>1356</v>
      </c>
      <c r="G1106" s="42" t="s">
        <v>1207</v>
      </c>
      <c r="H1106" s="43"/>
      <c r="I1106" s="43"/>
      <c r="J1106" s="43"/>
      <c r="K1106" s="43"/>
      <c r="L1106" s="43"/>
      <c r="M1106" s="43"/>
      <c r="N1106" s="43"/>
      <c r="O1106" s="43"/>
      <c r="P1106" s="43"/>
      <c r="Q1106" s="43"/>
      <c r="R1106" s="43"/>
      <c r="S1106" s="43"/>
      <c r="T1106" s="43"/>
      <c r="U1106" s="43"/>
      <c r="V1106" s="43"/>
    </row>
    <row r="1107" spans="1:22" ht="15.75" customHeight="1" x14ac:dyDescent="0.2">
      <c r="A1107" s="40">
        <v>629</v>
      </c>
      <c r="B1107" s="41" t="s">
        <v>248</v>
      </c>
      <c r="C1107" s="42" t="s">
        <v>1360</v>
      </c>
      <c r="D1107" s="42" t="s">
        <v>104</v>
      </c>
      <c r="E1107" s="42" t="s">
        <v>18</v>
      </c>
      <c r="F1107" s="42" t="s">
        <v>1356</v>
      </c>
      <c r="G1107" s="42" t="s">
        <v>1207</v>
      </c>
      <c r="H1107" s="43"/>
      <c r="I1107" s="43"/>
      <c r="J1107" s="43"/>
      <c r="K1107" s="43"/>
      <c r="L1107" s="43"/>
      <c r="M1107" s="43"/>
      <c r="N1107" s="43"/>
      <c r="O1107" s="43"/>
      <c r="P1107" s="43"/>
      <c r="Q1107" s="43"/>
      <c r="R1107" s="43"/>
      <c r="S1107" s="43"/>
      <c r="T1107" s="43"/>
      <c r="U1107" s="43"/>
      <c r="V1107" s="43"/>
    </row>
    <row r="1108" spans="1:22" ht="15.75" customHeight="1" x14ac:dyDescent="0.2">
      <c r="A1108" s="40">
        <v>643</v>
      </c>
      <c r="B1108" s="41" t="s">
        <v>248</v>
      </c>
      <c r="C1108" s="42" t="s">
        <v>1361</v>
      </c>
      <c r="D1108" s="42" t="s">
        <v>104</v>
      </c>
      <c r="E1108" s="42" t="s">
        <v>1362</v>
      </c>
      <c r="F1108" s="42" t="s">
        <v>1356</v>
      </c>
      <c r="G1108" s="42" t="s">
        <v>1207</v>
      </c>
      <c r="H1108" s="43"/>
      <c r="I1108" s="43"/>
      <c r="J1108" s="43"/>
      <c r="K1108" s="43"/>
      <c r="L1108" s="43"/>
      <c r="M1108" s="43"/>
      <c r="N1108" s="43"/>
      <c r="O1108" s="43"/>
      <c r="P1108" s="43"/>
      <c r="Q1108" s="43"/>
      <c r="R1108" s="43"/>
      <c r="S1108" s="43"/>
      <c r="T1108" s="43"/>
      <c r="U1108" s="43"/>
      <c r="V1108" s="43"/>
    </row>
    <row r="1109" spans="1:22" ht="15.75" customHeight="1" x14ac:dyDescent="0.2">
      <c r="A1109" s="40">
        <v>645</v>
      </c>
      <c r="B1109" s="41" t="s">
        <v>248</v>
      </c>
      <c r="C1109" s="42" t="s">
        <v>537</v>
      </c>
      <c r="D1109" s="42" t="s">
        <v>1363</v>
      </c>
      <c r="E1109" s="42" t="s">
        <v>357</v>
      </c>
      <c r="F1109" s="42" t="s">
        <v>1356</v>
      </c>
      <c r="G1109" s="42" t="s">
        <v>1207</v>
      </c>
      <c r="H1109" s="43"/>
      <c r="I1109" s="43"/>
      <c r="J1109" s="43"/>
      <c r="K1109" s="43"/>
      <c r="L1109" s="43"/>
      <c r="M1109" s="43"/>
      <c r="N1109" s="43"/>
      <c r="O1109" s="43"/>
      <c r="P1109" s="43"/>
      <c r="Q1109" s="43"/>
      <c r="R1109" s="43"/>
      <c r="S1109" s="43"/>
      <c r="T1109" s="43"/>
      <c r="U1109" s="43"/>
      <c r="V1109" s="43"/>
    </row>
    <row r="1110" spans="1:22" ht="15.75" customHeight="1" x14ac:dyDescent="0.2">
      <c r="A1110" s="40">
        <v>1103</v>
      </c>
      <c r="B1110" s="41" t="s">
        <v>641</v>
      </c>
      <c r="C1110" s="42" t="s">
        <v>1355</v>
      </c>
      <c r="D1110" s="42" t="s">
        <v>31</v>
      </c>
      <c r="E1110" s="42" t="s">
        <v>87</v>
      </c>
      <c r="F1110" s="42" t="s">
        <v>1356</v>
      </c>
      <c r="G1110" s="42" t="s">
        <v>1207</v>
      </c>
      <c r="H1110" s="43"/>
      <c r="I1110" s="43"/>
      <c r="J1110" s="43"/>
      <c r="K1110" s="43"/>
      <c r="L1110" s="43"/>
      <c r="M1110" s="43"/>
      <c r="N1110" s="43"/>
      <c r="O1110" s="43"/>
      <c r="P1110" s="43"/>
      <c r="Q1110" s="43"/>
      <c r="R1110" s="43"/>
      <c r="S1110" s="43"/>
      <c r="T1110" s="43"/>
      <c r="U1110" s="43"/>
      <c r="V1110" s="43"/>
    </row>
    <row r="1111" spans="1:22" ht="15.75" customHeight="1" x14ac:dyDescent="0.2">
      <c r="A1111" s="40">
        <v>1201</v>
      </c>
      <c r="B1111" s="41" t="s">
        <v>1364</v>
      </c>
      <c r="C1111" s="42" t="s">
        <v>1357</v>
      </c>
      <c r="D1111" s="42" t="s">
        <v>1327</v>
      </c>
      <c r="E1111" s="42" t="s">
        <v>1358</v>
      </c>
      <c r="F1111" s="42" t="s">
        <v>1356</v>
      </c>
      <c r="G1111" s="42" t="s">
        <v>1207</v>
      </c>
      <c r="H1111" s="43"/>
      <c r="I1111" s="43"/>
      <c r="J1111" s="43"/>
      <c r="K1111" s="43"/>
      <c r="L1111" s="43"/>
      <c r="M1111" s="43"/>
      <c r="N1111" s="43"/>
      <c r="O1111" s="43"/>
      <c r="P1111" s="43"/>
      <c r="Q1111" s="43"/>
      <c r="R1111" s="43"/>
      <c r="S1111" s="43"/>
      <c r="T1111" s="43"/>
      <c r="U1111" s="43"/>
      <c r="V1111" s="43"/>
    </row>
    <row r="1112" spans="1:22" ht="15.75" customHeight="1" x14ac:dyDescent="0.2">
      <c r="A1112" s="40">
        <v>1381</v>
      </c>
      <c r="B1112" s="41" t="s">
        <v>601</v>
      </c>
      <c r="C1112" s="42" t="s">
        <v>1365</v>
      </c>
      <c r="D1112" s="42" t="s">
        <v>1366</v>
      </c>
      <c r="E1112" s="42" t="s">
        <v>1367</v>
      </c>
      <c r="F1112" s="42" t="s">
        <v>1356</v>
      </c>
      <c r="G1112" s="42" t="s">
        <v>1207</v>
      </c>
      <c r="H1112" s="43"/>
      <c r="I1112" s="43"/>
      <c r="J1112" s="43"/>
      <c r="K1112" s="43"/>
      <c r="L1112" s="43"/>
      <c r="M1112" s="43"/>
      <c r="N1112" s="43"/>
      <c r="O1112" s="43"/>
      <c r="P1112" s="43"/>
      <c r="Q1112" s="43"/>
      <c r="R1112" s="43"/>
      <c r="S1112" s="43"/>
      <c r="T1112" s="43"/>
      <c r="U1112" s="43"/>
      <c r="V1112" s="43"/>
    </row>
    <row r="1113" spans="1:22" ht="15.75" customHeight="1" x14ac:dyDescent="0.2">
      <c r="A1113" s="40">
        <v>1463</v>
      </c>
      <c r="B1113" s="41" t="s">
        <v>261</v>
      </c>
      <c r="C1113" s="42" t="s">
        <v>1368</v>
      </c>
      <c r="D1113" s="42" t="s">
        <v>1369</v>
      </c>
      <c r="E1113" s="42" t="s">
        <v>125</v>
      </c>
      <c r="F1113" s="42" t="s">
        <v>1356</v>
      </c>
      <c r="G1113" s="42" t="s">
        <v>1207</v>
      </c>
      <c r="H1113" s="43"/>
      <c r="I1113" s="43"/>
      <c r="J1113" s="43"/>
      <c r="K1113" s="43"/>
      <c r="L1113" s="43"/>
      <c r="M1113" s="43"/>
      <c r="N1113" s="43"/>
      <c r="O1113" s="43"/>
      <c r="P1113" s="43"/>
      <c r="Q1113" s="43"/>
      <c r="R1113" s="43"/>
      <c r="S1113" s="43"/>
      <c r="T1113" s="43"/>
      <c r="U1113" s="43"/>
      <c r="V1113" s="43"/>
    </row>
    <row r="1114" spans="1:22" ht="15.75" customHeight="1" x14ac:dyDescent="0.2">
      <c r="A1114" s="40">
        <v>1489</v>
      </c>
      <c r="B1114" s="41" t="s">
        <v>262</v>
      </c>
      <c r="C1114" s="42" t="s">
        <v>1370</v>
      </c>
      <c r="D1114" s="42" t="s">
        <v>1371</v>
      </c>
      <c r="E1114" s="42" t="s">
        <v>1372</v>
      </c>
      <c r="F1114" s="42" t="s">
        <v>1356</v>
      </c>
      <c r="G1114" s="42" t="s">
        <v>1207</v>
      </c>
      <c r="H1114" s="43"/>
      <c r="I1114" s="43"/>
      <c r="J1114" s="43"/>
      <c r="K1114" s="43"/>
      <c r="L1114" s="43"/>
      <c r="M1114" s="43"/>
      <c r="N1114" s="43"/>
      <c r="O1114" s="43"/>
      <c r="P1114" s="43"/>
      <c r="Q1114" s="43"/>
      <c r="R1114" s="43"/>
      <c r="S1114" s="43"/>
      <c r="T1114" s="43"/>
      <c r="U1114" s="43"/>
      <c r="V1114" s="43"/>
    </row>
    <row r="1115" spans="1:22" ht="15.75" customHeight="1" x14ac:dyDescent="0.2">
      <c r="A1115" s="40">
        <v>1513</v>
      </c>
      <c r="B1115" s="41" t="s">
        <v>262</v>
      </c>
      <c r="C1115" s="42" t="s">
        <v>1361</v>
      </c>
      <c r="D1115" s="42" t="s">
        <v>104</v>
      </c>
      <c r="E1115" s="42" t="s">
        <v>1362</v>
      </c>
      <c r="F1115" s="42" t="s">
        <v>1356</v>
      </c>
      <c r="G1115" s="42" t="s">
        <v>1207</v>
      </c>
      <c r="H1115" s="43"/>
      <c r="I1115" s="43"/>
      <c r="J1115" s="43"/>
      <c r="K1115" s="43"/>
      <c r="L1115" s="43"/>
      <c r="M1115" s="43"/>
      <c r="N1115" s="43"/>
      <c r="O1115" s="43"/>
      <c r="P1115" s="43"/>
      <c r="Q1115" s="43"/>
      <c r="R1115" s="43"/>
      <c r="S1115" s="43"/>
      <c r="T1115" s="43"/>
      <c r="U1115" s="43"/>
      <c r="V1115" s="43"/>
    </row>
    <row r="1116" spans="1:22" ht="15.75" customHeight="1" x14ac:dyDescent="0.2">
      <c r="A1116" s="40">
        <v>1515</v>
      </c>
      <c r="B1116" s="41" t="s">
        <v>262</v>
      </c>
      <c r="C1116" s="42" t="s">
        <v>537</v>
      </c>
      <c r="D1116" s="42" t="s">
        <v>1363</v>
      </c>
      <c r="E1116" s="42" t="s">
        <v>357</v>
      </c>
      <c r="F1116" s="42" t="s">
        <v>1356</v>
      </c>
      <c r="G1116" s="42" t="s">
        <v>1207</v>
      </c>
      <c r="H1116" s="43"/>
      <c r="I1116" s="43"/>
      <c r="J1116" s="43"/>
      <c r="K1116" s="43"/>
      <c r="L1116" s="43"/>
      <c r="M1116" s="43"/>
      <c r="N1116" s="43"/>
      <c r="O1116" s="43"/>
      <c r="P1116" s="43"/>
      <c r="Q1116" s="43"/>
      <c r="R1116" s="43"/>
      <c r="S1116" s="43"/>
      <c r="T1116" s="43"/>
      <c r="U1116" s="43"/>
      <c r="V1116" s="43"/>
    </row>
    <row r="1117" spans="1:22" ht="15.75" customHeight="1" x14ac:dyDescent="0.2">
      <c r="A1117" s="40">
        <v>1571</v>
      </c>
      <c r="B1117" s="41" t="s">
        <v>585</v>
      </c>
      <c r="C1117" s="42" t="s">
        <v>1360</v>
      </c>
      <c r="D1117" s="42" t="s">
        <v>104</v>
      </c>
      <c r="E1117" s="42" t="s">
        <v>18</v>
      </c>
      <c r="F1117" s="42" t="s">
        <v>1356</v>
      </c>
      <c r="G1117" s="42" t="s">
        <v>1207</v>
      </c>
      <c r="H1117" s="43"/>
      <c r="I1117" s="43"/>
      <c r="J1117" s="43"/>
      <c r="K1117" s="43"/>
      <c r="L1117" s="43"/>
      <c r="M1117" s="43"/>
      <c r="N1117" s="43"/>
      <c r="O1117" s="43"/>
      <c r="P1117" s="43"/>
      <c r="Q1117" s="43"/>
      <c r="R1117" s="43"/>
      <c r="S1117" s="43"/>
      <c r="T1117" s="43"/>
      <c r="U1117" s="43"/>
      <c r="V1117" s="43"/>
    </row>
    <row r="1118" spans="1:22" ht="15.75" customHeight="1" x14ac:dyDescent="0.2">
      <c r="A1118" s="40">
        <v>1629</v>
      </c>
      <c r="B1118" s="41" t="s">
        <v>267</v>
      </c>
      <c r="C1118" s="42" t="s">
        <v>1373</v>
      </c>
      <c r="D1118" s="42" t="s">
        <v>86</v>
      </c>
      <c r="E1118" s="42" t="s">
        <v>1330</v>
      </c>
      <c r="F1118" s="42" t="s">
        <v>1356</v>
      </c>
      <c r="G1118" s="42" t="s">
        <v>1207</v>
      </c>
      <c r="H1118" s="43"/>
      <c r="I1118" s="43"/>
      <c r="J1118" s="43"/>
      <c r="K1118" s="43"/>
      <c r="L1118" s="43"/>
      <c r="M1118" s="43"/>
      <c r="N1118" s="43"/>
      <c r="O1118" s="43"/>
      <c r="P1118" s="43"/>
      <c r="Q1118" s="43"/>
      <c r="R1118" s="43"/>
      <c r="S1118" s="43"/>
      <c r="T1118" s="43"/>
      <c r="U1118" s="43"/>
      <c r="V1118" s="43"/>
    </row>
    <row r="1119" spans="1:22" ht="15.75" customHeight="1" x14ac:dyDescent="0.2">
      <c r="A1119" s="40">
        <v>1693</v>
      </c>
      <c r="B1119" s="41" t="s">
        <v>270</v>
      </c>
      <c r="C1119" s="42" t="s">
        <v>1374</v>
      </c>
      <c r="D1119" s="42" t="s">
        <v>1375</v>
      </c>
      <c r="E1119" s="42" t="s">
        <v>1376</v>
      </c>
      <c r="F1119" s="42" t="s">
        <v>1356</v>
      </c>
      <c r="G1119" s="42" t="s">
        <v>1207</v>
      </c>
      <c r="H1119" s="43"/>
      <c r="I1119" s="43"/>
      <c r="J1119" s="43"/>
      <c r="K1119" s="43"/>
      <c r="L1119" s="43"/>
      <c r="M1119" s="43"/>
      <c r="N1119" s="43"/>
      <c r="O1119" s="43"/>
      <c r="P1119" s="43"/>
      <c r="Q1119" s="43"/>
      <c r="R1119" s="43"/>
      <c r="S1119" s="43"/>
      <c r="T1119" s="43"/>
      <c r="U1119" s="43"/>
      <c r="V1119" s="43"/>
    </row>
    <row r="1120" spans="1:22" ht="15.75" customHeight="1" x14ac:dyDescent="0.2">
      <c r="A1120" s="40">
        <v>2077</v>
      </c>
      <c r="B1120" s="41" t="s">
        <v>653</v>
      </c>
      <c r="C1120" s="42" t="s">
        <v>1355</v>
      </c>
      <c r="D1120" s="42" t="s">
        <v>31</v>
      </c>
      <c r="E1120" s="42" t="s">
        <v>87</v>
      </c>
      <c r="F1120" s="42" t="s">
        <v>1356</v>
      </c>
      <c r="G1120" s="42" t="s">
        <v>1207</v>
      </c>
      <c r="H1120" s="43"/>
      <c r="I1120" s="43"/>
      <c r="J1120" s="43"/>
      <c r="K1120" s="43"/>
      <c r="L1120" s="43"/>
      <c r="M1120" s="43"/>
      <c r="N1120" s="43"/>
      <c r="O1120" s="43"/>
      <c r="P1120" s="43"/>
      <c r="Q1120" s="43"/>
      <c r="R1120" s="43"/>
      <c r="S1120" s="43"/>
      <c r="T1120" s="43"/>
      <c r="U1120" s="43"/>
      <c r="V1120" s="43"/>
    </row>
    <row r="1121" spans="1:22" ht="15.75" customHeight="1" x14ac:dyDescent="0.2">
      <c r="A1121" s="40">
        <v>2095</v>
      </c>
      <c r="B1121" s="41" t="s">
        <v>280</v>
      </c>
      <c r="C1121" s="42" t="s">
        <v>1357</v>
      </c>
      <c r="D1121" s="42" t="s">
        <v>1327</v>
      </c>
      <c r="E1121" s="42" t="s">
        <v>1358</v>
      </c>
      <c r="F1121" s="42" t="s">
        <v>1356</v>
      </c>
      <c r="G1121" s="42" t="s">
        <v>1207</v>
      </c>
      <c r="H1121" s="43"/>
      <c r="I1121" s="43"/>
      <c r="J1121" s="43"/>
      <c r="K1121" s="43"/>
      <c r="L1121" s="43"/>
      <c r="M1121" s="43"/>
      <c r="N1121" s="43"/>
      <c r="O1121" s="43"/>
      <c r="P1121" s="43"/>
      <c r="Q1121" s="43"/>
      <c r="R1121" s="43"/>
      <c r="S1121" s="43"/>
      <c r="T1121" s="43"/>
      <c r="U1121" s="43"/>
      <c r="V1121" s="43"/>
    </row>
    <row r="1122" spans="1:22" ht="15.75" customHeight="1" x14ac:dyDescent="0.2">
      <c r="A1122" s="40">
        <v>2159</v>
      </c>
      <c r="B1122" s="41" t="s">
        <v>281</v>
      </c>
      <c r="C1122" s="42" t="s">
        <v>1365</v>
      </c>
      <c r="D1122" s="42" t="s">
        <v>1366</v>
      </c>
      <c r="E1122" s="42" t="s">
        <v>1367</v>
      </c>
      <c r="F1122" s="42" t="s">
        <v>1356</v>
      </c>
      <c r="G1122" s="42" t="s">
        <v>1207</v>
      </c>
      <c r="H1122" s="43"/>
      <c r="I1122" s="43"/>
      <c r="J1122" s="43"/>
      <c r="K1122" s="43"/>
      <c r="L1122" s="43"/>
      <c r="M1122" s="43"/>
      <c r="N1122" s="43"/>
      <c r="O1122" s="43"/>
      <c r="P1122" s="43"/>
      <c r="Q1122" s="43"/>
      <c r="R1122" s="43"/>
      <c r="S1122" s="43"/>
      <c r="T1122" s="43"/>
      <c r="U1122" s="43"/>
      <c r="V1122" s="43"/>
    </row>
    <row r="1123" spans="1:22" ht="15.75" customHeight="1" x14ac:dyDescent="0.2">
      <c r="A1123" s="40">
        <v>2161</v>
      </c>
      <c r="B1123" s="41" t="s">
        <v>281</v>
      </c>
      <c r="C1123" s="42" t="s">
        <v>1368</v>
      </c>
      <c r="D1123" s="42" t="s">
        <v>1369</v>
      </c>
      <c r="E1123" s="42" t="s">
        <v>125</v>
      </c>
      <c r="F1123" s="42" t="s">
        <v>1356</v>
      </c>
      <c r="G1123" s="42" t="s">
        <v>1207</v>
      </c>
      <c r="H1123" s="43"/>
      <c r="I1123" s="43"/>
      <c r="J1123" s="43"/>
      <c r="K1123" s="43"/>
      <c r="L1123" s="43"/>
      <c r="M1123" s="43"/>
      <c r="N1123" s="43"/>
      <c r="O1123" s="43"/>
      <c r="P1123" s="43"/>
      <c r="Q1123" s="43"/>
      <c r="R1123" s="43"/>
      <c r="S1123" s="43"/>
      <c r="T1123" s="43"/>
      <c r="U1123" s="43"/>
      <c r="V1123" s="43"/>
    </row>
    <row r="1124" spans="1:22" ht="15.75" customHeight="1" x14ac:dyDescent="0.2">
      <c r="A1124" s="40">
        <v>2187</v>
      </c>
      <c r="B1124" s="41" t="s">
        <v>282</v>
      </c>
      <c r="C1124" s="42" t="s">
        <v>1373</v>
      </c>
      <c r="D1124" s="42" t="s">
        <v>86</v>
      </c>
      <c r="E1124" s="42" t="s">
        <v>1330</v>
      </c>
      <c r="F1124" s="42" t="s">
        <v>1356</v>
      </c>
      <c r="G1124" s="42" t="s">
        <v>1207</v>
      </c>
      <c r="H1124" s="43"/>
      <c r="I1124" s="43"/>
      <c r="J1124" s="43"/>
      <c r="K1124" s="43"/>
      <c r="L1124" s="43"/>
      <c r="M1124" s="43"/>
      <c r="N1124" s="43"/>
      <c r="O1124" s="43"/>
      <c r="P1124" s="43"/>
      <c r="Q1124" s="43"/>
      <c r="R1124" s="43"/>
      <c r="S1124" s="43"/>
      <c r="T1124" s="43"/>
      <c r="U1124" s="43"/>
      <c r="V1124" s="43"/>
    </row>
    <row r="1125" spans="1:22" ht="15.75" customHeight="1" x14ac:dyDescent="0.2">
      <c r="A1125" s="40">
        <v>2217</v>
      </c>
      <c r="B1125" s="41" t="s">
        <v>282</v>
      </c>
      <c r="C1125" s="42" t="s">
        <v>1374</v>
      </c>
      <c r="D1125" s="42" t="s">
        <v>1375</v>
      </c>
      <c r="E1125" s="42" t="s">
        <v>1376</v>
      </c>
      <c r="F1125" s="42" t="s">
        <v>1356</v>
      </c>
      <c r="G1125" s="42" t="s">
        <v>1207</v>
      </c>
      <c r="H1125" s="43"/>
      <c r="I1125" s="43"/>
      <c r="J1125" s="43"/>
      <c r="K1125" s="43"/>
      <c r="L1125" s="43"/>
      <c r="M1125" s="43"/>
      <c r="N1125" s="43"/>
      <c r="O1125" s="43"/>
      <c r="P1125" s="43"/>
      <c r="Q1125" s="43"/>
      <c r="R1125" s="43"/>
      <c r="S1125" s="43"/>
      <c r="T1125" s="43"/>
      <c r="U1125" s="43"/>
      <c r="V1125" s="43"/>
    </row>
    <row r="1126" spans="1:22" ht="15.75" customHeight="1" x14ac:dyDescent="0.2">
      <c r="A1126" s="40">
        <v>2283</v>
      </c>
      <c r="B1126" s="41" t="s">
        <v>284</v>
      </c>
      <c r="C1126" s="42" t="s">
        <v>1359</v>
      </c>
      <c r="D1126" s="42" t="s">
        <v>534</v>
      </c>
      <c r="E1126" s="42" t="s">
        <v>676</v>
      </c>
      <c r="F1126" s="42" t="s">
        <v>1356</v>
      </c>
      <c r="G1126" s="42" t="s">
        <v>1207</v>
      </c>
      <c r="H1126" s="43"/>
      <c r="I1126" s="43"/>
      <c r="J1126" s="43"/>
      <c r="K1126" s="43"/>
      <c r="L1126" s="43"/>
      <c r="M1126" s="43"/>
      <c r="N1126" s="43"/>
      <c r="O1126" s="43"/>
      <c r="P1126" s="43"/>
      <c r="Q1126" s="43"/>
      <c r="R1126" s="43"/>
      <c r="S1126" s="43"/>
      <c r="T1126" s="43"/>
      <c r="U1126" s="43"/>
      <c r="V1126" s="43"/>
    </row>
    <row r="1127" spans="1:22" ht="15.75" customHeight="1" x14ac:dyDescent="0.2">
      <c r="A1127" s="40">
        <v>2287</v>
      </c>
      <c r="B1127" s="41" t="s">
        <v>284</v>
      </c>
      <c r="C1127" s="42" t="s">
        <v>1360</v>
      </c>
      <c r="D1127" s="42" t="s">
        <v>104</v>
      </c>
      <c r="E1127" s="42" t="s">
        <v>18</v>
      </c>
      <c r="F1127" s="42" t="s">
        <v>1356</v>
      </c>
      <c r="G1127" s="42" t="s">
        <v>1207</v>
      </c>
      <c r="H1127" s="43"/>
      <c r="I1127" s="43"/>
      <c r="J1127" s="43"/>
      <c r="K1127" s="43"/>
      <c r="L1127" s="43"/>
      <c r="M1127" s="43"/>
      <c r="N1127" s="43"/>
      <c r="O1127" s="43"/>
      <c r="P1127" s="43"/>
      <c r="Q1127" s="43"/>
      <c r="R1127" s="43"/>
      <c r="S1127" s="43"/>
      <c r="T1127" s="43"/>
      <c r="U1127" s="43"/>
      <c r="V1127" s="43"/>
    </row>
    <row r="1128" spans="1:22" ht="15.75" customHeight="1" x14ac:dyDescent="0.2">
      <c r="A1128" s="40">
        <v>2305</v>
      </c>
      <c r="B1128" s="41" t="s">
        <v>284</v>
      </c>
      <c r="C1128" s="42" t="s">
        <v>1361</v>
      </c>
      <c r="D1128" s="42" t="s">
        <v>104</v>
      </c>
      <c r="E1128" s="42" t="s">
        <v>1362</v>
      </c>
      <c r="F1128" s="42" t="s">
        <v>1356</v>
      </c>
      <c r="G1128" s="42" t="s">
        <v>1207</v>
      </c>
      <c r="H1128" s="43"/>
      <c r="I1128" s="43"/>
      <c r="J1128" s="43"/>
      <c r="K1128" s="43"/>
      <c r="L1128" s="43"/>
      <c r="M1128" s="43"/>
      <c r="N1128" s="43"/>
      <c r="O1128" s="43"/>
      <c r="P1128" s="43"/>
      <c r="Q1128" s="43"/>
      <c r="R1128" s="43"/>
      <c r="S1128" s="43"/>
      <c r="T1128" s="43"/>
      <c r="U1128" s="43"/>
      <c r="V1128" s="43"/>
    </row>
    <row r="1129" spans="1:22" ht="15.75" customHeight="1" x14ac:dyDescent="0.2">
      <c r="A1129" s="40">
        <v>2307</v>
      </c>
      <c r="B1129" s="41" t="s">
        <v>284</v>
      </c>
      <c r="C1129" s="42" t="s">
        <v>1377</v>
      </c>
      <c r="D1129" s="42" t="s">
        <v>1378</v>
      </c>
      <c r="E1129" s="42" t="s">
        <v>1379</v>
      </c>
      <c r="F1129" s="42" t="s">
        <v>1356</v>
      </c>
      <c r="G1129" s="42" t="s">
        <v>1207</v>
      </c>
      <c r="H1129" s="43"/>
      <c r="I1129" s="43"/>
      <c r="J1129" s="43"/>
      <c r="K1129" s="43"/>
      <c r="L1129" s="43"/>
      <c r="M1129" s="43"/>
      <c r="N1129" s="43"/>
      <c r="O1129" s="43"/>
      <c r="P1129" s="43"/>
      <c r="Q1129" s="43"/>
      <c r="R1129" s="43"/>
      <c r="S1129" s="43"/>
      <c r="T1129" s="43"/>
      <c r="U1129" s="43"/>
      <c r="V1129" s="43"/>
    </row>
    <row r="1130" spans="1:22" ht="15.75" customHeight="1" x14ac:dyDescent="0.2">
      <c r="A1130" s="40">
        <v>2709</v>
      </c>
      <c r="B1130" s="41" t="s">
        <v>703</v>
      </c>
      <c r="C1130" s="42" t="s">
        <v>1370</v>
      </c>
      <c r="D1130" s="42" t="s">
        <v>1371</v>
      </c>
      <c r="E1130" s="42" t="s">
        <v>1372</v>
      </c>
      <c r="F1130" s="42" t="s">
        <v>1356</v>
      </c>
      <c r="G1130" s="42" t="s">
        <v>1207</v>
      </c>
      <c r="H1130" s="43"/>
      <c r="I1130" s="43"/>
      <c r="J1130" s="43"/>
      <c r="K1130" s="43"/>
      <c r="L1130" s="43"/>
      <c r="M1130" s="43"/>
      <c r="N1130" s="43"/>
      <c r="O1130" s="43"/>
      <c r="P1130" s="43"/>
      <c r="Q1130" s="43"/>
      <c r="R1130" s="43"/>
      <c r="S1130" s="43"/>
      <c r="T1130" s="43"/>
      <c r="U1130" s="43"/>
      <c r="V1130" s="43"/>
    </row>
    <row r="1131" spans="1:22" ht="15.75" customHeight="1" x14ac:dyDescent="0.2">
      <c r="A1131" s="40">
        <v>2879</v>
      </c>
      <c r="B1131" s="41" t="s">
        <v>378</v>
      </c>
      <c r="C1131" s="42" t="s">
        <v>1359</v>
      </c>
      <c r="D1131" s="42" t="s">
        <v>534</v>
      </c>
      <c r="E1131" s="42" t="s">
        <v>676</v>
      </c>
      <c r="F1131" s="42" t="s">
        <v>1356</v>
      </c>
      <c r="G1131" s="42" t="s">
        <v>1207</v>
      </c>
      <c r="H1131" s="43"/>
      <c r="I1131" s="43"/>
      <c r="J1131" s="43"/>
      <c r="K1131" s="43"/>
      <c r="L1131" s="43"/>
      <c r="M1131" s="43"/>
      <c r="N1131" s="43"/>
      <c r="O1131" s="43"/>
      <c r="P1131" s="43"/>
      <c r="Q1131" s="43"/>
      <c r="R1131" s="43"/>
      <c r="S1131" s="43"/>
      <c r="T1131" s="43"/>
      <c r="U1131" s="43"/>
      <c r="V1131" s="43"/>
    </row>
    <row r="1132" spans="1:22" ht="15.75" customHeight="1" x14ac:dyDescent="0.2">
      <c r="A1132" s="40">
        <v>2885</v>
      </c>
      <c r="B1132" s="41" t="s">
        <v>378</v>
      </c>
      <c r="C1132" s="42" t="s">
        <v>1377</v>
      </c>
      <c r="D1132" s="42" t="s">
        <v>1378</v>
      </c>
      <c r="E1132" s="42" t="s">
        <v>1379</v>
      </c>
      <c r="F1132" s="42" t="s">
        <v>1356</v>
      </c>
      <c r="G1132" s="42" t="s">
        <v>1207</v>
      </c>
      <c r="H1132" s="43"/>
      <c r="I1132" s="43"/>
      <c r="J1132" s="43"/>
      <c r="K1132" s="43"/>
      <c r="L1132" s="43"/>
      <c r="M1132" s="43"/>
      <c r="N1132" s="43"/>
      <c r="O1132" s="43"/>
      <c r="P1132" s="43"/>
      <c r="Q1132" s="43"/>
      <c r="R1132" s="43"/>
      <c r="S1132" s="43"/>
      <c r="T1132" s="43"/>
      <c r="U1132" s="43"/>
      <c r="V1132" s="43"/>
    </row>
    <row r="1133" spans="1:22" ht="15.75" customHeight="1" x14ac:dyDescent="0.2">
      <c r="A1133" s="48">
        <v>2993</v>
      </c>
      <c r="B1133" s="49" t="s">
        <v>290</v>
      </c>
      <c r="C1133" s="50" t="s">
        <v>1373</v>
      </c>
      <c r="D1133" s="50" t="s">
        <v>86</v>
      </c>
      <c r="E1133" s="50" t="s">
        <v>1330</v>
      </c>
      <c r="F1133" s="42" t="s">
        <v>1356</v>
      </c>
      <c r="G1133" s="42" t="s">
        <v>1207</v>
      </c>
      <c r="H1133" s="43"/>
      <c r="I1133" s="43"/>
      <c r="J1133" s="43"/>
      <c r="K1133" s="43"/>
      <c r="L1133" s="43"/>
      <c r="M1133" s="43"/>
      <c r="N1133" s="43"/>
      <c r="O1133" s="43"/>
      <c r="P1133" s="43"/>
      <c r="Q1133" s="43"/>
      <c r="R1133" s="43"/>
      <c r="S1133" s="43"/>
      <c r="T1133" s="43"/>
      <c r="U1133" s="43"/>
      <c r="V1133" s="43"/>
    </row>
    <row r="1134" spans="1:22" ht="15.75" customHeight="1" x14ac:dyDescent="0.2">
      <c r="A1134" s="48">
        <v>3009</v>
      </c>
      <c r="B1134" s="49" t="s">
        <v>290</v>
      </c>
      <c r="C1134" s="50" t="s">
        <v>1374</v>
      </c>
      <c r="D1134" s="50" t="s">
        <v>1375</v>
      </c>
      <c r="E1134" s="50" t="s">
        <v>1376</v>
      </c>
      <c r="F1134" s="42" t="s">
        <v>1356</v>
      </c>
      <c r="G1134" s="42" t="s">
        <v>1207</v>
      </c>
      <c r="H1134" s="43"/>
      <c r="I1134" s="43"/>
      <c r="J1134" s="43"/>
      <c r="K1134" s="43"/>
      <c r="L1134" s="43"/>
      <c r="M1134" s="43"/>
      <c r="N1134" s="43"/>
      <c r="O1134" s="43"/>
      <c r="P1134" s="43"/>
      <c r="Q1134" s="43"/>
      <c r="R1134" s="43"/>
      <c r="S1134" s="43"/>
      <c r="T1134" s="43"/>
      <c r="U1134" s="43"/>
      <c r="V1134" s="43"/>
    </row>
    <row r="1135" spans="1:22" ht="15.75" customHeight="1" x14ac:dyDescent="0.2">
      <c r="A1135" s="40"/>
      <c r="B1135" s="45" t="s">
        <v>108</v>
      </c>
      <c r="C1135" s="46" t="s">
        <v>1380</v>
      </c>
      <c r="D1135" s="46" t="s">
        <v>430</v>
      </c>
      <c r="E1135" s="46" t="s">
        <v>1381</v>
      </c>
      <c r="F1135" s="46" t="s">
        <v>1356</v>
      </c>
      <c r="G1135" s="46" t="s">
        <v>1207</v>
      </c>
    </row>
    <row r="1136" spans="1:22" ht="15.75" customHeight="1" x14ac:dyDescent="0.2">
      <c r="A1136" s="40"/>
      <c r="B1136" s="45" t="s">
        <v>94</v>
      </c>
      <c r="C1136" s="46" t="s">
        <v>1382</v>
      </c>
      <c r="D1136" s="46" t="s">
        <v>1383</v>
      </c>
      <c r="E1136" s="46" t="s">
        <v>1384</v>
      </c>
      <c r="F1136" s="46" t="s">
        <v>1356</v>
      </c>
      <c r="G1136" s="46" t="s">
        <v>1207</v>
      </c>
    </row>
    <row r="1137" spans="1:7" ht="15.75" customHeight="1" x14ac:dyDescent="0.2">
      <c r="A1137" s="40"/>
      <c r="B1137" s="47" t="s">
        <v>108</v>
      </c>
      <c r="C1137" s="46" t="s">
        <v>475</v>
      </c>
      <c r="D1137" s="46" t="s">
        <v>1385</v>
      </c>
      <c r="E1137" s="46" t="s">
        <v>1217</v>
      </c>
      <c r="F1137" s="46" t="s">
        <v>1356</v>
      </c>
      <c r="G1137" s="46" t="s">
        <v>1207</v>
      </c>
    </row>
    <row r="1138" spans="1:7" ht="15.75" customHeight="1" x14ac:dyDescent="0.2">
      <c r="A1138" s="40"/>
      <c r="B1138" s="45" t="s">
        <v>303</v>
      </c>
      <c r="C1138" s="46" t="s">
        <v>475</v>
      </c>
      <c r="D1138" s="46" t="s">
        <v>1385</v>
      </c>
      <c r="E1138" s="46" t="s">
        <v>1217</v>
      </c>
      <c r="F1138" s="46" t="s">
        <v>1356</v>
      </c>
      <c r="G1138" s="46" t="s">
        <v>1207</v>
      </c>
    </row>
    <row r="1139" spans="1:7" ht="15.75" customHeight="1" x14ac:dyDescent="0.2">
      <c r="A1139" s="40"/>
      <c r="B1139" s="45" t="s">
        <v>118</v>
      </c>
      <c r="C1139" s="46" t="s">
        <v>1386</v>
      </c>
      <c r="D1139" s="46" t="s">
        <v>852</v>
      </c>
      <c r="E1139" s="46" t="s">
        <v>1387</v>
      </c>
      <c r="F1139" s="46" t="s">
        <v>1356</v>
      </c>
      <c r="G1139" s="46" t="s">
        <v>1207</v>
      </c>
    </row>
    <row r="1140" spans="1:7" ht="15.75" customHeight="1" x14ac:dyDescent="0.2">
      <c r="A1140" s="40"/>
      <c r="B1140" s="45" t="s">
        <v>108</v>
      </c>
      <c r="C1140" s="46" t="s">
        <v>1386</v>
      </c>
      <c r="D1140" s="46" t="s">
        <v>852</v>
      </c>
      <c r="E1140" s="46" t="s">
        <v>1387</v>
      </c>
      <c r="F1140" s="46" t="s">
        <v>1356</v>
      </c>
      <c r="G1140" s="46" t="s">
        <v>1207</v>
      </c>
    </row>
    <row r="1141" spans="1:7" ht="15.75" customHeight="1" x14ac:dyDescent="0.2">
      <c r="A1141" s="40"/>
      <c r="B1141" s="45" t="s">
        <v>94</v>
      </c>
      <c r="C1141" s="46" t="s">
        <v>1386</v>
      </c>
      <c r="D1141" s="46" t="s">
        <v>852</v>
      </c>
      <c r="E1141" s="46" t="s">
        <v>1387</v>
      </c>
      <c r="F1141" s="46" t="s">
        <v>1356</v>
      </c>
      <c r="G1141" s="46" t="s">
        <v>1207</v>
      </c>
    </row>
    <row r="1142" spans="1:7" ht="15.75" customHeight="1" x14ac:dyDescent="0.2">
      <c r="A1142" s="40"/>
      <c r="B1142" s="45" t="s">
        <v>315</v>
      </c>
      <c r="C1142" s="46" t="s">
        <v>1388</v>
      </c>
      <c r="D1142" s="46" t="s">
        <v>1389</v>
      </c>
      <c r="E1142" s="46" t="s">
        <v>1390</v>
      </c>
      <c r="F1142" s="46" t="s">
        <v>1356</v>
      </c>
      <c r="G1142" s="46" t="s">
        <v>1207</v>
      </c>
    </row>
    <row r="1143" spans="1:7" ht="15.75" customHeight="1" x14ac:dyDescent="0.2">
      <c r="A1143" s="40"/>
      <c r="B1143" s="45" t="s">
        <v>94</v>
      </c>
      <c r="C1143" s="46" t="s">
        <v>1388</v>
      </c>
      <c r="D1143" s="46" t="s">
        <v>1389</v>
      </c>
      <c r="E1143" s="46" t="s">
        <v>1390</v>
      </c>
      <c r="F1143" s="46" t="s">
        <v>1356</v>
      </c>
      <c r="G1143" s="46" t="s">
        <v>1207</v>
      </c>
    </row>
    <row r="1144" spans="1:7" ht="15.75" customHeight="1" x14ac:dyDescent="0.2">
      <c r="A1144" s="40"/>
      <c r="B1144" s="45" t="s">
        <v>315</v>
      </c>
      <c r="C1144" s="46" t="s">
        <v>1379</v>
      </c>
      <c r="D1144" s="46" t="s">
        <v>1157</v>
      </c>
      <c r="E1144" s="46" t="s">
        <v>255</v>
      </c>
      <c r="F1144" s="46" t="s">
        <v>1356</v>
      </c>
      <c r="G1144" s="46" t="s">
        <v>1207</v>
      </c>
    </row>
    <row r="1145" spans="1:7" ht="15.75" customHeight="1" x14ac:dyDescent="0.2">
      <c r="A1145" s="40"/>
      <c r="B1145" s="45" t="s">
        <v>108</v>
      </c>
      <c r="C1145" s="46" t="s">
        <v>1379</v>
      </c>
      <c r="D1145" s="46" t="s">
        <v>1157</v>
      </c>
      <c r="E1145" s="46" t="s">
        <v>255</v>
      </c>
      <c r="F1145" s="46" t="s">
        <v>1356</v>
      </c>
      <c r="G1145" s="46" t="s">
        <v>1207</v>
      </c>
    </row>
    <row r="1146" spans="1:7" ht="15.75" customHeight="1" x14ac:dyDescent="0.2">
      <c r="A1146" s="40"/>
      <c r="B1146" s="45" t="s">
        <v>126</v>
      </c>
      <c r="C1146" s="46" t="s">
        <v>1391</v>
      </c>
      <c r="D1146" s="46" t="s">
        <v>771</v>
      </c>
      <c r="E1146" s="46" t="s">
        <v>1078</v>
      </c>
      <c r="F1146" s="46" t="s">
        <v>1356</v>
      </c>
      <c r="G1146" s="46" t="s">
        <v>1207</v>
      </c>
    </row>
    <row r="1147" spans="1:7" ht="15.75" customHeight="1" x14ac:dyDescent="0.2">
      <c r="A1147" s="40"/>
      <c r="B1147" s="45" t="s">
        <v>108</v>
      </c>
      <c r="C1147" s="46" t="s">
        <v>1392</v>
      </c>
      <c r="D1147" s="46" t="s">
        <v>266</v>
      </c>
      <c r="E1147" s="46" t="s">
        <v>302</v>
      </c>
      <c r="F1147" s="46" t="s">
        <v>1356</v>
      </c>
      <c r="G1147" s="46" t="s">
        <v>1207</v>
      </c>
    </row>
    <row r="1148" spans="1:7" ht="15.75" customHeight="1" x14ac:dyDescent="0.2">
      <c r="A1148" s="40"/>
      <c r="B1148" s="45" t="s">
        <v>303</v>
      </c>
      <c r="C1148" s="46" t="s">
        <v>1392</v>
      </c>
      <c r="D1148" s="46" t="s">
        <v>266</v>
      </c>
      <c r="E1148" s="46" t="s">
        <v>302</v>
      </c>
      <c r="F1148" s="46" t="s">
        <v>1356</v>
      </c>
      <c r="G1148" s="46" t="s">
        <v>1207</v>
      </c>
    </row>
    <row r="1149" spans="1:7" ht="15.75" customHeight="1" x14ac:dyDescent="0.2">
      <c r="A1149" s="40"/>
      <c r="B1149" s="45" t="s">
        <v>94</v>
      </c>
      <c r="C1149" s="46" t="s">
        <v>1392</v>
      </c>
      <c r="D1149" s="46" t="s">
        <v>266</v>
      </c>
      <c r="E1149" s="46" t="s">
        <v>302</v>
      </c>
      <c r="F1149" s="46" t="s">
        <v>1356</v>
      </c>
      <c r="G1149" s="46" t="s">
        <v>1207</v>
      </c>
    </row>
    <row r="1150" spans="1:7" ht="15.75" customHeight="1" x14ac:dyDescent="0.2">
      <c r="A1150" s="40"/>
      <c r="B1150" s="47" t="s">
        <v>126</v>
      </c>
      <c r="C1150" s="51" t="s">
        <v>1393</v>
      </c>
      <c r="D1150" s="51" t="s">
        <v>1394</v>
      </c>
      <c r="E1150" s="46" t="s">
        <v>1395</v>
      </c>
      <c r="F1150" s="51" t="s">
        <v>1356</v>
      </c>
      <c r="G1150" s="51" t="s">
        <v>1207</v>
      </c>
    </row>
    <row r="1151" spans="1:7" ht="15.75" customHeight="1" x14ac:dyDescent="0.2">
      <c r="A1151" s="40"/>
      <c r="B1151" s="45" t="s">
        <v>94</v>
      </c>
      <c r="C1151" s="46" t="s">
        <v>1393</v>
      </c>
      <c r="D1151" s="46" t="s">
        <v>1394</v>
      </c>
      <c r="E1151" s="46" t="s">
        <v>1395</v>
      </c>
      <c r="F1151" s="46" t="s">
        <v>1356</v>
      </c>
      <c r="G1151" s="46" t="s">
        <v>1207</v>
      </c>
    </row>
    <row r="1152" spans="1:7" ht="15.75" customHeight="1" x14ac:dyDescent="0.2">
      <c r="A1152" s="40"/>
      <c r="B1152" s="45" t="s">
        <v>315</v>
      </c>
      <c r="C1152" s="46" t="s">
        <v>1396</v>
      </c>
      <c r="D1152" s="46" t="s">
        <v>1397</v>
      </c>
      <c r="E1152" s="46" t="s">
        <v>1384</v>
      </c>
      <c r="F1152" s="46" t="s">
        <v>1356</v>
      </c>
      <c r="G1152" s="46" t="s">
        <v>1207</v>
      </c>
    </row>
    <row r="1153" spans="1:22" ht="15.75" customHeight="1" x14ac:dyDescent="0.2">
      <c r="A1153" s="40"/>
      <c r="B1153" s="45" t="s">
        <v>108</v>
      </c>
      <c r="C1153" s="46" t="s">
        <v>1396</v>
      </c>
      <c r="D1153" s="46" t="s">
        <v>1397</v>
      </c>
      <c r="E1153" s="46" t="s">
        <v>1384</v>
      </c>
      <c r="F1153" s="46" t="s">
        <v>1356</v>
      </c>
      <c r="G1153" s="46" t="s">
        <v>1207</v>
      </c>
    </row>
    <row r="1154" spans="1:22" ht="15.75" customHeight="1" x14ac:dyDescent="0.2">
      <c r="A1154" s="40"/>
      <c r="B1154" s="45" t="s">
        <v>303</v>
      </c>
      <c r="C1154" s="46" t="s">
        <v>1396</v>
      </c>
      <c r="D1154" s="46" t="s">
        <v>1397</v>
      </c>
      <c r="E1154" s="46" t="s">
        <v>1384</v>
      </c>
      <c r="F1154" s="46" t="s">
        <v>1356</v>
      </c>
      <c r="G1154" s="46" t="s">
        <v>1207</v>
      </c>
    </row>
    <row r="1155" spans="1:22" ht="15.75" customHeight="1" x14ac:dyDescent="0.2">
      <c r="A1155" s="40">
        <v>763</v>
      </c>
      <c r="B1155" s="41" t="s">
        <v>977</v>
      </c>
      <c r="C1155" s="42" t="s">
        <v>1398</v>
      </c>
      <c r="D1155" s="42" t="s">
        <v>1369</v>
      </c>
      <c r="E1155" s="42" t="s">
        <v>310</v>
      </c>
      <c r="F1155" s="42" t="s">
        <v>1399</v>
      </c>
      <c r="G1155" s="42" t="s">
        <v>1207</v>
      </c>
      <c r="H1155" s="43"/>
      <c r="I1155" s="43"/>
      <c r="J1155" s="43"/>
      <c r="K1155" s="43"/>
      <c r="L1155" s="43"/>
      <c r="M1155" s="43"/>
      <c r="N1155" s="43"/>
      <c r="O1155" s="43"/>
      <c r="P1155" s="43"/>
      <c r="Q1155" s="43"/>
      <c r="R1155" s="43"/>
      <c r="S1155" s="43"/>
      <c r="T1155" s="43"/>
      <c r="U1155" s="43"/>
      <c r="V1155" s="43"/>
    </row>
    <row r="1156" spans="1:22" ht="15.75" customHeight="1" x14ac:dyDescent="0.2">
      <c r="A1156" s="40">
        <v>779</v>
      </c>
      <c r="B1156" s="41" t="s">
        <v>405</v>
      </c>
      <c r="C1156" s="42" t="s">
        <v>1400</v>
      </c>
      <c r="D1156" s="42" t="s">
        <v>1401</v>
      </c>
      <c r="E1156" s="42" t="s">
        <v>1402</v>
      </c>
      <c r="F1156" s="42" t="s">
        <v>1399</v>
      </c>
      <c r="G1156" s="42" t="s">
        <v>1207</v>
      </c>
      <c r="H1156" s="43"/>
      <c r="I1156" s="43"/>
      <c r="J1156" s="43"/>
      <c r="K1156" s="43"/>
      <c r="L1156" s="43"/>
      <c r="M1156" s="43"/>
      <c r="N1156" s="43"/>
      <c r="O1156" s="43"/>
      <c r="P1156" s="43"/>
      <c r="Q1156" s="43"/>
      <c r="R1156" s="43"/>
      <c r="S1156" s="43"/>
      <c r="T1156" s="43"/>
      <c r="U1156" s="43"/>
      <c r="V1156" s="43"/>
    </row>
    <row r="1157" spans="1:22" ht="15.75" customHeight="1" x14ac:dyDescent="0.2">
      <c r="A1157" s="40"/>
      <c r="B1157" s="45" t="s">
        <v>94</v>
      </c>
      <c r="C1157" s="46" t="s">
        <v>1403</v>
      </c>
      <c r="D1157" s="46" t="s">
        <v>376</v>
      </c>
      <c r="E1157" s="46" t="s">
        <v>530</v>
      </c>
      <c r="F1157" s="46" t="s">
        <v>1399</v>
      </c>
      <c r="G1157" s="46" t="s">
        <v>1207</v>
      </c>
      <c r="H1157" s="43"/>
      <c r="I1157" s="43"/>
      <c r="J1157" s="43"/>
      <c r="K1157" s="43"/>
      <c r="L1157" s="43"/>
      <c r="M1157" s="43"/>
      <c r="N1157" s="43"/>
      <c r="O1157" s="43"/>
      <c r="P1157" s="43"/>
      <c r="Q1157" s="43"/>
      <c r="R1157" s="43"/>
      <c r="S1157" s="43"/>
      <c r="T1157" s="43"/>
      <c r="U1157" s="43"/>
      <c r="V1157" s="43"/>
    </row>
    <row r="1158" spans="1:22" ht="15.75" customHeight="1" x14ac:dyDescent="0.2">
      <c r="A1158" s="40"/>
      <c r="B1158" s="45" t="s">
        <v>94</v>
      </c>
      <c r="C1158" s="46" t="s">
        <v>1404</v>
      </c>
      <c r="D1158" s="46" t="s">
        <v>376</v>
      </c>
      <c r="E1158" s="46" t="s">
        <v>530</v>
      </c>
      <c r="F1158" s="46" t="s">
        <v>1399</v>
      </c>
      <c r="G1158" s="46" t="s">
        <v>1207</v>
      </c>
      <c r="H1158" s="43"/>
      <c r="I1158" s="43"/>
      <c r="J1158" s="43"/>
      <c r="K1158" s="43"/>
      <c r="L1158" s="43"/>
      <c r="M1158" s="43"/>
      <c r="N1158" s="43"/>
      <c r="O1158" s="43"/>
      <c r="P1158" s="43"/>
      <c r="Q1158" s="43"/>
      <c r="R1158" s="43"/>
      <c r="S1158" s="43"/>
      <c r="T1158" s="43"/>
      <c r="U1158" s="43"/>
      <c r="V1158" s="43"/>
    </row>
    <row r="1159" spans="1:22" ht="15.75" customHeight="1" x14ac:dyDescent="0.2">
      <c r="A1159" s="40"/>
      <c r="B1159" s="45" t="s">
        <v>728</v>
      </c>
      <c r="C1159" s="46" t="s">
        <v>1404</v>
      </c>
      <c r="D1159" s="46" t="s">
        <v>376</v>
      </c>
      <c r="E1159" s="46" t="s">
        <v>530</v>
      </c>
      <c r="F1159" s="46" t="s">
        <v>1399</v>
      </c>
      <c r="G1159" s="46" t="s">
        <v>1207</v>
      </c>
      <c r="H1159" s="43"/>
      <c r="I1159" s="43"/>
      <c r="J1159" s="43"/>
      <c r="K1159" s="43"/>
      <c r="L1159" s="43"/>
      <c r="M1159" s="43"/>
      <c r="N1159" s="43"/>
      <c r="O1159" s="43"/>
      <c r="P1159" s="43"/>
      <c r="Q1159" s="43"/>
      <c r="R1159" s="43"/>
      <c r="S1159" s="43"/>
      <c r="T1159" s="43"/>
      <c r="U1159" s="43"/>
      <c r="V1159" s="43"/>
    </row>
    <row r="1160" spans="1:22" ht="15.75" customHeight="1" x14ac:dyDescent="0.2">
      <c r="A1160" s="40">
        <v>3</v>
      </c>
      <c r="B1160" s="41" t="s">
        <v>704</v>
      </c>
      <c r="C1160" s="42" t="s">
        <v>1405</v>
      </c>
      <c r="D1160" s="42" t="s">
        <v>396</v>
      </c>
      <c r="E1160" s="42" t="s">
        <v>1358</v>
      </c>
      <c r="F1160" s="42" t="s">
        <v>1406</v>
      </c>
      <c r="G1160" s="42" t="s">
        <v>1207</v>
      </c>
      <c r="H1160" s="43"/>
      <c r="I1160" s="43"/>
      <c r="J1160" s="43"/>
      <c r="K1160" s="43"/>
      <c r="L1160" s="43"/>
      <c r="M1160" s="43"/>
      <c r="N1160" s="43"/>
      <c r="O1160" s="43"/>
      <c r="P1160" s="43"/>
      <c r="Q1160" s="43"/>
      <c r="R1160" s="43"/>
      <c r="S1160" s="43"/>
      <c r="T1160" s="43"/>
      <c r="U1160" s="43"/>
      <c r="V1160" s="43"/>
    </row>
    <row r="1161" spans="1:22" ht="15.75" customHeight="1" x14ac:dyDescent="0.2">
      <c r="A1161" s="40">
        <v>725</v>
      </c>
      <c r="B1161" s="41" t="s">
        <v>1407</v>
      </c>
      <c r="C1161" s="42" t="s">
        <v>1173</v>
      </c>
      <c r="D1161" s="42" t="s">
        <v>593</v>
      </c>
      <c r="E1161" s="42" t="s">
        <v>1408</v>
      </c>
      <c r="F1161" s="42" t="s">
        <v>1406</v>
      </c>
      <c r="G1161" s="42" t="s">
        <v>1207</v>
      </c>
      <c r="H1161" s="43"/>
      <c r="I1161" s="43"/>
      <c r="J1161" s="43"/>
      <c r="K1161" s="43"/>
      <c r="L1161" s="43"/>
      <c r="M1161" s="43"/>
      <c r="N1161" s="43"/>
      <c r="O1161" s="43"/>
      <c r="P1161" s="43"/>
      <c r="Q1161" s="43"/>
      <c r="R1161" s="43"/>
      <c r="S1161" s="43"/>
      <c r="T1161" s="43"/>
      <c r="U1161" s="43"/>
      <c r="V1161" s="43"/>
    </row>
    <row r="1162" spans="1:22" ht="15.75" customHeight="1" x14ac:dyDescent="0.2">
      <c r="A1162" s="40">
        <v>727</v>
      </c>
      <c r="B1162" s="41" t="s">
        <v>1407</v>
      </c>
      <c r="C1162" s="42" t="s">
        <v>1409</v>
      </c>
      <c r="D1162" s="42" t="s">
        <v>1410</v>
      </c>
      <c r="E1162" s="42" t="s">
        <v>1411</v>
      </c>
      <c r="F1162" s="42" t="s">
        <v>1406</v>
      </c>
      <c r="G1162" s="42" t="s">
        <v>1207</v>
      </c>
      <c r="H1162" s="43"/>
      <c r="I1162" s="43"/>
      <c r="J1162" s="43"/>
      <c r="K1162" s="43"/>
      <c r="L1162" s="43"/>
      <c r="M1162" s="43"/>
      <c r="N1162" s="43"/>
      <c r="O1162" s="43"/>
      <c r="P1162" s="43"/>
      <c r="Q1162" s="43"/>
      <c r="R1162" s="43"/>
      <c r="S1162" s="43"/>
      <c r="T1162" s="43"/>
      <c r="U1162" s="43"/>
      <c r="V1162" s="43"/>
    </row>
    <row r="1163" spans="1:22" ht="15.75" customHeight="1" x14ac:dyDescent="0.2">
      <c r="A1163" s="40">
        <v>913</v>
      </c>
      <c r="B1163" s="41" t="s">
        <v>694</v>
      </c>
      <c r="C1163" s="42" t="s">
        <v>1412</v>
      </c>
      <c r="D1163" s="42" t="s">
        <v>266</v>
      </c>
      <c r="E1163" s="42" t="s">
        <v>40</v>
      </c>
      <c r="F1163" s="42" t="s">
        <v>1406</v>
      </c>
      <c r="G1163" s="42" t="s">
        <v>1207</v>
      </c>
      <c r="H1163" s="43"/>
      <c r="I1163" s="43"/>
      <c r="J1163" s="43"/>
      <c r="K1163" s="43"/>
      <c r="L1163" s="43"/>
      <c r="M1163" s="43"/>
      <c r="N1163" s="43"/>
      <c r="O1163" s="43"/>
      <c r="P1163" s="43"/>
      <c r="Q1163" s="43"/>
      <c r="R1163" s="43"/>
      <c r="S1163" s="43"/>
      <c r="T1163" s="43"/>
      <c r="U1163" s="43"/>
      <c r="V1163" s="43"/>
    </row>
    <row r="1164" spans="1:22" ht="15.75" customHeight="1" x14ac:dyDescent="0.2">
      <c r="A1164" s="40">
        <v>919</v>
      </c>
      <c r="B1164" s="41" t="s">
        <v>694</v>
      </c>
      <c r="C1164" s="42" t="s">
        <v>1413</v>
      </c>
      <c r="D1164" s="42" t="s">
        <v>292</v>
      </c>
      <c r="E1164" s="42" t="s">
        <v>32</v>
      </c>
      <c r="F1164" s="42" t="s">
        <v>1406</v>
      </c>
      <c r="G1164" s="42" t="s">
        <v>1207</v>
      </c>
      <c r="H1164" s="43"/>
      <c r="I1164" s="43"/>
      <c r="J1164" s="43"/>
      <c r="K1164" s="43"/>
      <c r="L1164" s="43"/>
      <c r="M1164" s="43"/>
      <c r="N1164" s="43"/>
      <c r="O1164" s="43"/>
      <c r="P1164" s="43"/>
      <c r="Q1164" s="43"/>
      <c r="R1164" s="43"/>
      <c r="S1164" s="43"/>
      <c r="T1164" s="43"/>
      <c r="U1164" s="43"/>
      <c r="V1164" s="43"/>
    </row>
    <row r="1165" spans="1:22" ht="15.75" customHeight="1" x14ac:dyDescent="0.2">
      <c r="A1165" s="40">
        <v>1217</v>
      </c>
      <c r="B1165" s="41" t="s">
        <v>699</v>
      </c>
      <c r="C1165" s="42" t="s">
        <v>1414</v>
      </c>
      <c r="D1165" s="42" t="s">
        <v>1415</v>
      </c>
      <c r="E1165" s="42" t="s">
        <v>1416</v>
      </c>
      <c r="F1165" s="42" t="s">
        <v>1406</v>
      </c>
      <c r="G1165" s="42" t="s">
        <v>1207</v>
      </c>
      <c r="H1165" s="43"/>
      <c r="I1165" s="43"/>
      <c r="J1165" s="43"/>
      <c r="K1165" s="43"/>
      <c r="L1165" s="43"/>
      <c r="M1165" s="43"/>
      <c r="N1165" s="43"/>
      <c r="O1165" s="43"/>
      <c r="P1165" s="43"/>
      <c r="Q1165" s="43"/>
      <c r="R1165" s="43"/>
      <c r="S1165" s="43"/>
      <c r="T1165" s="43"/>
      <c r="U1165" s="43"/>
      <c r="V1165" s="43"/>
    </row>
    <row r="1166" spans="1:22" ht="15.75" customHeight="1" x14ac:dyDescent="0.2">
      <c r="A1166" s="40">
        <v>2497</v>
      </c>
      <c r="B1166" s="41" t="s">
        <v>444</v>
      </c>
      <c r="C1166" s="42" t="s">
        <v>1417</v>
      </c>
      <c r="D1166" s="42" t="s">
        <v>1418</v>
      </c>
      <c r="E1166" s="42" t="s">
        <v>1419</v>
      </c>
      <c r="F1166" s="42" t="s">
        <v>1406</v>
      </c>
      <c r="G1166" s="42" t="s">
        <v>1207</v>
      </c>
      <c r="H1166" s="43"/>
      <c r="I1166" s="43"/>
      <c r="J1166" s="43"/>
      <c r="K1166" s="43"/>
      <c r="L1166" s="43"/>
      <c r="M1166" s="43"/>
      <c r="N1166" s="43"/>
      <c r="O1166" s="43"/>
      <c r="P1166" s="43"/>
      <c r="Q1166" s="43"/>
      <c r="R1166" s="43"/>
      <c r="S1166" s="43"/>
      <c r="T1166" s="43"/>
      <c r="U1166" s="43"/>
      <c r="V1166" s="43"/>
    </row>
    <row r="1167" spans="1:22" ht="15.75" customHeight="1" x14ac:dyDescent="0.2">
      <c r="A1167" s="40">
        <v>2611</v>
      </c>
      <c r="B1167" s="41" t="s">
        <v>1420</v>
      </c>
      <c r="C1167" s="42" t="s">
        <v>1412</v>
      </c>
      <c r="D1167" s="42" t="s">
        <v>309</v>
      </c>
      <c r="E1167" s="42" t="s">
        <v>40</v>
      </c>
      <c r="F1167" s="42" t="s">
        <v>1406</v>
      </c>
      <c r="G1167" s="42" t="s">
        <v>1207</v>
      </c>
      <c r="H1167" s="43"/>
      <c r="I1167" s="43"/>
      <c r="J1167" s="43"/>
      <c r="K1167" s="43"/>
      <c r="L1167" s="43"/>
      <c r="M1167" s="43"/>
      <c r="N1167" s="43"/>
      <c r="O1167" s="43"/>
      <c r="P1167" s="43"/>
      <c r="Q1167" s="43"/>
      <c r="R1167" s="43"/>
      <c r="S1167" s="43"/>
      <c r="T1167" s="43"/>
      <c r="U1167" s="43"/>
      <c r="V1167" s="43"/>
    </row>
    <row r="1168" spans="1:22" ht="15.75" customHeight="1" x14ac:dyDescent="0.2">
      <c r="A1168" s="40">
        <v>2895</v>
      </c>
      <c r="B1168" s="41" t="s">
        <v>1133</v>
      </c>
      <c r="C1168" s="42" t="s">
        <v>1421</v>
      </c>
      <c r="D1168" s="42" t="s">
        <v>901</v>
      </c>
      <c r="E1168" s="42" t="s">
        <v>302</v>
      </c>
      <c r="F1168" s="42" t="s">
        <v>1406</v>
      </c>
      <c r="G1168" s="42" t="s">
        <v>1207</v>
      </c>
      <c r="H1168" s="43"/>
      <c r="I1168" s="43"/>
      <c r="J1168" s="43"/>
      <c r="K1168" s="43"/>
      <c r="L1168" s="43"/>
      <c r="M1168" s="43"/>
      <c r="N1168" s="43"/>
      <c r="O1168" s="43"/>
      <c r="P1168" s="43"/>
      <c r="Q1168" s="43"/>
      <c r="R1168" s="43"/>
      <c r="S1168" s="43"/>
      <c r="T1168" s="43"/>
      <c r="U1168" s="43"/>
      <c r="V1168" s="43"/>
    </row>
    <row r="1169" spans="1:22" ht="15.75" customHeight="1" x14ac:dyDescent="0.2">
      <c r="A1169" s="40">
        <v>2953</v>
      </c>
      <c r="B1169" s="41" t="s">
        <v>1270</v>
      </c>
      <c r="C1169" s="42" t="s">
        <v>1422</v>
      </c>
      <c r="D1169" s="42" t="s">
        <v>522</v>
      </c>
      <c r="E1169" s="42" t="s">
        <v>630</v>
      </c>
      <c r="F1169" s="42" t="s">
        <v>1406</v>
      </c>
      <c r="G1169" s="42" t="s">
        <v>1207</v>
      </c>
      <c r="H1169" s="43"/>
      <c r="I1169" s="43"/>
      <c r="J1169" s="43"/>
      <c r="K1169" s="43"/>
      <c r="L1169" s="43"/>
      <c r="M1169" s="43"/>
      <c r="N1169" s="43"/>
      <c r="O1169" s="43"/>
      <c r="P1169" s="43"/>
      <c r="Q1169" s="43"/>
      <c r="R1169" s="43"/>
      <c r="S1169" s="43"/>
      <c r="T1169" s="43"/>
      <c r="U1169" s="43"/>
      <c r="V1169" s="43"/>
    </row>
    <row r="1170" spans="1:22" ht="15.75" customHeight="1" x14ac:dyDescent="0.2">
      <c r="A1170" s="40"/>
      <c r="B1170" s="45" t="s">
        <v>88</v>
      </c>
      <c r="C1170" s="46" t="s">
        <v>1423</v>
      </c>
      <c r="D1170" s="46" t="s">
        <v>1424</v>
      </c>
      <c r="E1170" s="46" t="s">
        <v>1425</v>
      </c>
      <c r="F1170" s="46" t="s">
        <v>1406</v>
      </c>
      <c r="G1170" s="46" t="s">
        <v>1207</v>
      </c>
    </row>
    <row r="1171" spans="1:22" ht="15.75" customHeight="1" x14ac:dyDescent="0.2">
      <c r="A1171" s="40"/>
      <c r="B1171" s="45" t="s">
        <v>303</v>
      </c>
      <c r="C1171" s="46" t="s">
        <v>1294</v>
      </c>
      <c r="D1171" s="46" t="s">
        <v>1426</v>
      </c>
      <c r="E1171" s="46" t="s">
        <v>846</v>
      </c>
      <c r="F1171" s="46" t="s">
        <v>1406</v>
      </c>
      <c r="G1171" s="46" t="s">
        <v>1207</v>
      </c>
    </row>
    <row r="1172" spans="1:22" ht="15.75" customHeight="1" x14ac:dyDescent="0.2">
      <c r="A1172" s="40"/>
      <c r="B1172" s="47" t="s">
        <v>88</v>
      </c>
      <c r="C1172" s="46" t="s">
        <v>1294</v>
      </c>
      <c r="D1172" s="46" t="s">
        <v>1426</v>
      </c>
      <c r="E1172" s="46" t="s">
        <v>846</v>
      </c>
      <c r="F1172" s="46" t="s">
        <v>1406</v>
      </c>
      <c r="G1172" s="46" t="s">
        <v>1207</v>
      </c>
    </row>
    <row r="1173" spans="1:22" ht="15.75" customHeight="1" x14ac:dyDescent="0.2">
      <c r="A1173" s="40">
        <v>71</v>
      </c>
      <c r="B1173" s="41" t="s">
        <v>1301</v>
      </c>
      <c r="C1173" s="42" t="s">
        <v>1427</v>
      </c>
      <c r="D1173" s="42" t="s">
        <v>557</v>
      </c>
      <c r="E1173" s="42" t="s">
        <v>424</v>
      </c>
      <c r="F1173" s="42" t="s">
        <v>1428</v>
      </c>
      <c r="G1173" s="42" t="s">
        <v>1207</v>
      </c>
      <c r="H1173" s="43"/>
      <c r="I1173" s="43"/>
      <c r="J1173" s="43"/>
      <c r="K1173" s="43"/>
      <c r="L1173" s="43"/>
      <c r="M1173" s="43"/>
      <c r="N1173" s="43"/>
      <c r="O1173" s="43"/>
      <c r="P1173" s="43"/>
      <c r="Q1173" s="43"/>
      <c r="R1173" s="43"/>
      <c r="S1173" s="43"/>
      <c r="T1173" s="43"/>
      <c r="U1173" s="43"/>
      <c r="V1173" s="43"/>
    </row>
    <row r="1174" spans="1:22" ht="15.75" customHeight="1" x14ac:dyDescent="0.2">
      <c r="A1174" s="40">
        <v>939</v>
      </c>
      <c r="B1174" s="41" t="s">
        <v>709</v>
      </c>
      <c r="C1174" s="42" t="s">
        <v>1427</v>
      </c>
      <c r="D1174" s="42" t="s">
        <v>557</v>
      </c>
      <c r="E1174" s="42" t="s">
        <v>424</v>
      </c>
      <c r="F1174" s="42" t="s">
        <v>1428</v>
      </c>
      <c r="G1174" s="42" t="s">
        <v>1207</v>
      </c>
      <c r="H1174" s="43"/>
      <c r="I1174" s="43"/>
      <c r="J1174" s="43"/>
      <c r="K1174" s="43"/>
      <c r="L1174" s="43"/>
      <c r="M1174" s="43"/>
      <c r="N1174" s="43"/>
      <c r="O1174" s="43"/>
      <c r="P1174" s="43"/>
      <c r="Q1174" s="43"/>
      <c r="R1174" s="43"/>
      <c r="S1174" s="43"/>
      <c r="T1174" s="43"/>
      <c r="U1174" s="43"/>
      <c r="V1174" s="43"/>
    </row>
    <row r="1175" spans="1:22" ht="15.75" customHeight="1" x14ac:dyDescent="0.2">
      <c r="A1175" s="40">
        <v>2037</v>
      </c>
      <c r="B1175" s="41" t="s">
        <v>701</v>
      </c>
      <c r="C1175" s="42" t="s">
        <v>1427</v>
      </c>
      <c r="D1175" s="42" t="s">
        <v>557</v>
      </c>
      <c r="E1175" s="42" t="s">
        <v>424</v>
      </c>
      <c r="F1175" s="42" t="s">
        <v>1428</v>
      </c>
      <c r="G1175" s="42" t="s">
        <v>1207</v>
      </c>
      <c r="H1175" s="43"/>
      <c r="I1175" s="43"/>
      <c r="J1175" s="43"/>
      <c r="K1175" s="43"/>
      <c r="L1175" s="43"/>
      <c r="M1175" s="43"/>
      <c r="N1175" s="43"/>
      <c r="O1175" s="43"/>
      <c r="P1175" s="43"/>
      <c r="Q1175" s="43"/>
      <c r="R1175" s="43"/>
      <c r="S1175" s="43"/>
      <c r="T1175" s="43"/>
      <c r="U1175" s="43"/>
      <c r="V1175" s="43"/>
    </row>
    <row r="1176" spans="1:22" ht="15.75" customHeight="1" x14ac:dyDescent="0.2">
      <c r="A1176" s="40"/>
      <c r="B1176" s="45" t="s">
        <v>109</v>
      </c>
      <c r="C1176" s="46" t="s">
        <v>1429</v>
      </c>
      <c r="D1176" s="46" t="s">
        <v>554</v>
      </c>
      <c r="E1176" s="46" t="s">
        <v>79</v>
      </c>
      <c r="F1176" s="46" t="s">
        <v>1428</v>
      </c>
      <c r="G1176" s="46" t="s">
        <v>1207</v>
      </c>
      <c r="H1176" s="43"/>
      <c r="I1176" s="43"/>
      <c r="J1176" s="43"/>
      <c r="K1176" s="43"/>
      <c r="L1176" s="43"/>
      <c r="M1176" s="43"/>
      <c r="N1176" s="43"/>
      <c r="O1176" s="43"/>
      <c r="P1176" s="43"/>
      <c r="Q1176" s="43"/>
      <c r="R1176" s="43"/>
      <c r="S1176" s="43"/>
      <c r="T1176" s="43"/>
      <c r="U1176" s="43"/>
      <c r="V1176" s="43"/>
    </row>
    <row r="1177" spans="1:22" ht="15.75" customHeight="1" x14ac:dyDescent="0.2">
      <c r="A1177" s="40"/>
      <c r="B1177" s="45" t="s">
        <v>108</v>
      </c>
      <c r="C1177" s="46" t="s">
        <v>1429</v>
      </c>
      <c r="D1177" s="46" t="s">
        <v>554</v>
      </c>
      <c r="E1177" s="46" t="s">
        <v>79</v>
      </c>
      <c r="F1177" s="46" t="s">
        <v>1428</v>
      </c>
      <c r="G1177" s="46" t="s">
        <v>1207</v>
      </c>
      <c r="H1177" s="43"/>
      <c r="I1177" s="43"/>
      <c r="J1177" s="43"/>
      <c r="K1177" s="43"/>
      <c r="L1177" s="43"/>
      <c r="M1177" s="43"/>
      <c r="N1177" s="43"/>
      <c r="O1177" s="43"/>
      <c r="P1177" s="43"/>
      <c r="Q1177" s="43"/>
      <c r="R1177" s="43"/>
      <c r="S1177" s="43"/>
      <c r="T1177" s="43"/>
      <c r="U1177" s="43"/>
      <c r="V1177" s="43"/>
    </row>
    <row r="1178" spans="1:22" ht="15.75" customHeight="1" x14ac:dyDescent="0.2">
      <c r="A1178" s="40">
        <v>1403</v>
      </c>
      <c r="B1178" s="41" t="s">
        <v>386</v>
      </c>
      <c r="C1178" s="42" t="s">
        <v>1336</v>
      </c>
      <c r="D1178" s="42" t="s">
        <v>1430</v>
      </c>
      <c r="E1178" s="42" t="s">
        <v>1431</v>
      </c>
      <c r="F1178" s="42" t="s">
        <v>1428</v>
      </c>
      <c r="G1178" s="42" t="s">
        <v>1207</v>
      </c>
      <c r="H1178" s="43"/>
      <c r="I1178" s="43"/>
      <c r="J1178" s="43"/>
      <c r="K1178" s="43"/>
      <c r="L1178" s="43"/>
      <c r="M1178" s="43"/>
      <c r="N1178" s="43"/>
      <c r="O1178" s="43"/>
      <c r="P1178" s="43"/>
      <c r="Q1178" s="43"/>
      <c r="R1178" s="43"/>
      <c r="S1178" s="43"/>
      <c r="T1178" s="43"/>
      <c r="U1178" s="43"/>
      <c r="V1178" s="43"/>
    </row>
    <row r="1179" spans="1:22" ht="15.75" customHeight="1" x14ac:dyDescent="0.2">
      <c r="A1179" s="40">
        <v>1875</v>
      </c>
      <c r="B1179" s="41" t="s">
        <v>711</v>
      </c>
      <c r="C1179" s="42" t="s">
        <v>1336</v>
      </c>
      <c r="D1179" s="42" t="s">
        <v>1430</v>
      </c>
      <c r="E1179" s="42" t="s">
        <v>1431</v>
      </c>
      <c r="F1179" s="42" t="s">
        <v>1428</v>
      </c>
      <c r="G1179" s="42" t="s">
        <v>1207</v>
      </c>
      <c r="H1179" s="43"/>
      <c r="I1179" s="43"/>
      <c r="J1179" s="43"/>
      <c r="K1179" s="43"/>
      <c r="L1179" s="43"/>
      <c r="M1179" s="43"/>
      <c r="N1179" s="43"/>
      <c r="O1179" s="43"/>
      <c r="P1179" s="43"/>
      <c r="Q1179" s="43"/>
      <c r="R1179" s="43"/>
      <c r="S1179" s="43"/>
      <c r="T1179" s="43"/>
      <c r="U1179" s="43"/>
      <c r="V1179" s="43"/>
    </row>
    <row r="1180" spans="1:22" ht="15.75" customHeight="1" x14ac:dyDescent="0.2">
      <c r="A1180" s="40">
        <v>2687</v>
      </c>
      <c r="B1180" s="41" t="s">
        <v>1098</v>
      </c>
      <c r="C1180" s="42" t="s">
        <v>1336</v>
      </c>
      <c r="D1180" s="42" t="s">
        <v>1430</v>
      </c>
      <c r="E1180" s="42" t="s">
        <v>1431</v>
      </c>
      <c r="F1180" s="42" t="s">
        <v>1428</v>
      </c>
      <c r="G1180" s="42" t="s">
        <v>1207</v>
      </c>
      <c r="H1180" s="43"/>
      <c r="I1180" s="43"/>
      <c r="J1180" s="43"/>
      <c r="K1180" s="43"/>
      <c r="L1180" s="43"/>
      <c r="M1180" s="43"/>
      <c r="N1180" s="43"/>
      <c r="O1180" s="43"/>
      <c r="P1180" s="43"/>
      <c r="Q1180" s="43"/>
      <c r="R1180" s="43"/>
      <c r="S1180" s="43"/>
      <c r="T1180" s="43"/>
      <c r="U1180" s="43"/>
      <c r="V1180" s="43"/>
    </row>
    <row r="1181" spans="1:22" ht="15.75" customHeight="1" x14ac:dyDescent="0.2">
      <c r="A1181" s="40">
        <v>1405</v>
      </c>
      <c r="B1181" s="41" t="s">
        <v>386</v>
      </c>
      <c r="C1181" s="42" t="s">
        <v>1432</v>
      </c>
      <c r="D1181" s="42" t="s">
        <v>557</v>
      </c>
      <c r="E1181" s="42" t="s">
        <v>1433</v>
      </c>
      <c r="F1181" s="42" t="s">
        <v>1428</v>
      </c>
      <c r="G1181" s="42" t="s">
        <v>1207</v>
      </c>
      <c r="H1181" s="43"/>
      <c r="I1181" s="43"/>
      <c r="J1181" s="43"/>
      <c r="K1181" s="43"/>
      <c r="L1181" s="43"/>
      <c r="M1181" s="43"/>
      <c r="N1181" s="43"/>
      <c r="O1181" s="43"/>
      <c r="P1181" s="43"/>
      <c r="Q1181" s="43"/>
      <c r="R1181" s="43"/>
      <c r="S1181" s="43"/>
      <c r="T1181" s="43"/>
      <c r="U1181" s="43"/>
      <c r="V1181" s="43"/>
    </row>
    <row r="1182" spans="1:22" ht="15.75" customHeight="1" x14ac:dyDescent="0.2">
      <c r="A1182" s="40">
        <v>2689</v>
      </c>
      <c r="B1182" s="41" t="s">
        <v>1098</v>
      </c>
      <c r="C1182" s="42" t="s">
        <v>1432</v>
      </c>
      <c r="D1182" s="42" t="s">
        <v>557</v>
      </c>
      <c r="E1182" s="42" t="s">
        <v>1433</v>
      </c>
      <c r="F1182" s="42" t="s">
        <v>1428</v>
      </c>
      <c r="G1182" s="42" t="s">
        <v>1207</v>
      </c>
      <c r="H1182" s="43"/>
      <c r="I1182" s="43"/>
      <c r="J1182" s="43"/>
      <c r="K1182" s="43"/>
      <c r="L1182" s="43"/>
      <c r="M1182" s="43"/>
      <c r="N1182" s="43"/>
      <c r="O1182" s="43"/>
      <c r="P1182" s="43"/>
      <c r="Q1182" s="43"/>
      <c r="R1182" s="43"/>
      <c r="S1182" s="43"/>
      <c r="T1182" s="43"/>
      <c r="U1182" s="43"/>
      <c r="V1182" s="43"/>
    </row>
    <row r="1183" spans="1:22" ht="15.75" customHeight="1" x14ac:dyDescent="0.2">
      <c r="A1183" s="40">
        <v>113</v>
      </c>
      <c r="B1183" s="41" t="s">
        <v>1262</v>
      </c>
      <c r="C1183" s="42" t="s">
        <v>1434</v>
      </c>
      <c r="D1183" s="42" t="s">
        <v>139</v>
      </c>
      <c r="E1183" s="42" t="s">
        <v>32</v>
      </c>
      <c r="F1183" s="42" t="s">
        <v>1428</v>
      </c>
      <c r="G1183" s="42" t="s">
        <v>1207</v>
      </c>
      <c r="H1183" s="43"/>
      <c r="I1183" s="43"/>
      <c r="J1183" s="43"/>
      <c r="K1183" s="43"/>
      <c r="L1183" s="43"/>
      <c r="M1183" s="43"/>
      <c r="N1183" s="43"/>
      <c r="O1183" s="43"/>
      <c r="P1183" s="43"/>
      <c r="Q1183" s="43"/>
      <c r="R1183" s="43"/>
      <c r="S1183" s="43"/>
      <c r="T1183" s="43"/>
      <c r="U1183" s="43"/>
      <c r="V1183" s="43"/>
    </row>
    <row r="1184" spans="1:22" ht="15.75" customHeight="1" x14ac:dyDescent="0.2">
      <c r="A1184" s="40">
        <v>2957</v>
      </c>
      <c r="B1184" s="41" t="s">
        <v>1270</v>
      </c>
      <c r="C1184" s="42" t="s">
        <v>1434</v>
      </c>
      <c r="D1184" s="42" t="s">
        <v>139</v>
      </c>
      <c r="E1184" s="42" t="s">
        <v>32</v>
      </c>
      <c r="F1184" s="42" t="s">
        <v>1428</v>
      </c>
      <c r="G1184" s="42" t="s">
        <v>1207</v>
      </c>
      <c r="H1184" s="43"/>
      <c r="I1184" s="43"/>
      <c r="J1184" s="43"/>
      <c r="K1184" s="43"/>
      <c r="L1184" s="43"/>
      <c r="M1184" s="43"/>
      <c r="N1184" s="43"/>
      <c r="O1184" s="43"/>
      <c r="P1184" s="43"/>
      <c r="Q1184" s="43"/>
      <c r="R1184" s="43"/>
      <c r="S1184" s="43"/>
      <c r="T1184" s="43"/>
      <c r="U1184" s="43"/>
      <c r="V1184" s="43"/>
    </row>
    <row r="1185" spans="1:22" ht="15.75" customHeight="1" x14ac:dyDescent="0.2">
      <c r="A1185" s="40"/>
      <c r="B1185" s="45" t="s">
        <v>121</v>
      </c>
      <c r="C1185" s="46" t="s">
        <v>1435</v>
      </c>
      <c r="D1185" s="46" t="s">
        <v>1436</v>
      </c>
      <c r="E1185" s="46" t="s">
        <v>1437</v>
      </c>
      <c r="F1185" s="46" t="s">
        <v>1428</v>
      </c>
      <c r="G1185" s="46" t="s">
        <v>1207</v>
      </c>
      <c r="H1185" s="43"/>
      <c r="I1185" s="43"/>
      <c r="J1185" s="43"/>
      <c r="K1185" s="43"/>
      <c r="L1185" s="43"/>
      <c r="M1185" s="43"/>
      <c r="N1185" s="43"/>
      <c r="O1185" s="43"/>
      <c r="P1185" s="43"/>
      <c r="Q1185" s="43"/>
      <c r="R1185" s="43"/>
      <c r="S1185" s="43"/>
      <c r="T1185" s="43"/>
      <c r="U1185" s="43"/>
      <c r="V1185" s="43"/>
    </row>
    <row r="1186" spans="1:22" ht="15.75" customHeight="1" x14ac:dyDescent="0.2">
      <c r="A1186" s="40"/>
      <c r="B1186" s="45" t="s">
        <v>307</v>
      </c>
      <c r="C1186" s="46" t="s">
        <v>1438</v>
      </c>
      <c r="D1186" s="46" t="s">
        <v>266</v>
      </c>
      <c r="E1186" s="46" t="s">
        <v>306</v>
      </c>
      <c r="F1186" s="46" t="s">
        <v>1428</v>
      </c>
      <c r="G1186" s="46" t="s">
        <v>1207</v>
      </c>
      <c r="H1186" s="43"/>
      <c r="I1186" s="43"/>
      <c r="J1186" s="43"/>
      <c r="K1186" s="43"/>
      <c r="L1186" s="43"/>
      <c r="M1186" s="43"/>
      <c r="N1186" s="43"/>
      <c r="O1186" s="43"/>
      <c r="P1186" s="43"/>
      <c r="Q1186" s="43"/>
      <c r="R1186" s="43"/>
      <c r="S1186" s="43"/>
      <c r="T1186" s="43"/>
      <c r="U1186" s="43"/>
      <c r="V1186" s="43"/>
    </row>
    <row r="1187" spans="1:22" ht="15.75" customHeight="1" x14ac:dyDescent="0.2">
      <c r="A1187" s="40"/>
      <c r="B1187" s="45" t="s">
        <v>94</v>
      </c>
      <c r="C1187" s="46" t="s">
        <v>1438</v>
      </c>
      <c r="D1187" s="46" t="s">
        <v>266</v>
      </c>
      <c r="E1187" s="46" t="s">
        <v>306</v>
      </c>
      <c r="F1187" s="46" t="s">
        <v>1428</v>
      </c>
      <c r="G1187" s="46" t="s">
        <v>1207</v>
      </c>
      <c r="H1187" s="43"/>
      <c r="I1187" s="43"/>
      <c r="J1187" s="43"/>
      <c r="K1187" s="43"/>
      <c r="L1187" s="43"/>
      <c r="M1187" s="43"/>
      <c r="N1187" s="43"/>
      <c r="O1187" s="43"/>
      <c r="P1187" s="43"/>
      <c r="Q1187" s="43"/>
      <c r="R1187" s="43"/>
      <c r="S1187" s="43"/>
      <c r="T1187" s="43"/>
      <c r="U1187" s="43"/>
      <c r="V1187" s="43"/>
    </row>
    <row r="1188" spans="1:22" ht="15.75" customHeight="1" x14ac:dyDescent="0.2">
      <c r="A1188" s="40">
        <v>513</v>
      </c>
      <c r="B1188" s="41" t="s">
        <v>509</v>
      </c>
      <c r="C1188" s="42" t="s">
        <v>1440</v>
      </c>
      <c r="D1188" s="42" t="s">
        <v>513</v>
      </c>
      <c r="E1188" s="42" t="s">
        <v>1441</v>
      </c>
      <c r="F1188" s="42" t="s">
        <v>1428</v>
      </c>
      <c r="G1188" s="42" t="s">
        <v>1207</v>
      </c>
      <c r="H1188" s="43"/>
      <c r="I1188" s="43"/>
      <c r="J1188" s="43"/>
      <c r="K1188" s="43"/>
      <c r="L1188" s="43"/>
      <c r="M1188" s="43"/>
      <c r="N1188" s="43"/>
      <c r="O1188" s="43"/>
      <c r="P1188" s="43"/>
      <c r="Q1188" s="43"/>
      <c r="R1188" s="43"/>
      <c r="S1188" s="43"/>
      <c r="T1188" s="43"/>
      <c r="U1188" s="43"/>
      <c r="V1188" s="43"/>
    </row>
    <row r="1189" spans="1:22" ht="15.75" customHeight="1" x14ac:dyDescent="0.2">
      <c r="A1189" s="40">
        <v>1115</v>
      </c>
      <c r="B1189" s="41" t="s">
        <v>1344</v>
      </c>
      <c r="C1189" s="42" t="s">
        <v>1440</v>
      </c>
      <c r="D1189" s="42" t="s">
        <v>513</v>
      </c>
      <c r="E1189" s="42" t="s">
        <v>1441</v>
      </c>
      <c r="F1189" s="42" t="s">
        <v>1428</v>
      </c>
      <c r="G1189" s="42" t="s">
        <v>1207</v>
      </c>
      <c r="H1189" s="43"/>
      <c r="I1189" s="43"/>
      <c r="J1189" s="43"/>
      <c r="K1189" s="43"/>
      <c r="L1189" s="43"/>
      <c r="M1189" s="43"/>
      <c r="N1189" s="43"/>
      <c r="O1189" s="43"/>
      <c r="P1189" s="43"/>
      <c r="Q1189" s="43"/>
      <c r="R1189" s="43"/>
      <c r="S1189" s="43"/>
      <c r="T1189" s="43"/>
      <c r="U1189" s="43"/>
      <c r="V1189" s="43"/>
    </row>
    <row r="1190" spans="1:22" ht="15.75" customHeight="1" x14ac:dyDescent="0.2">
      <c r="A1190" s="40">
        <v>2827</v>
      </c>
      <c r="B1190" s="41" t="s">
        <v>518</v>
      </c>
      <c r="C1190" s="42" t="s">
        <v>1440</v>
      </c>
      <c r="D1190" s="42" t="s">
        <v>513</v>
      </c>
      <c r="E1190" s="42" t="s">
        <v>1441</v>
      </c>
      <c r="F1190" s="42" t="s">
        <v>1428</v>
      </c>
      <c r="G1190" s="42" t="s">
        <v>1207</v>
      </c>
      <c r="H1190" s="43"/>
      <c r="I1190" s="43"/>
      <c r="J1190" s="43"/>
      <c r="K1190" s="43"/>
      <c r="L1190" s="43"/>
      <c r="M1190" s="43"/>
      <c r="N1190" s="43"/>
      <c r="O1190" s="43"/>
      <c r="P1190" s="43"/>
      <c r="Q1190" s="43"/>
      <c r="R1190" s="43"/>
      <c r="S1190" s="43"/>
      <c r="T1190" s="43"/>
      <c r="U1190" s="43"/>
      <c r="V1190" s="43"/>
    </row>
    <row r="1191" spans="1:22" ht="15.75" customHeight="1" x14ac:dyDescent="0.2">
      <c r="A1191" s="40">
        <v>107</v>
      </c>
      <c r="B1191" s="41" t="s">
        <v>1262</v>
      </c>
      <c r="C1191" s="42" t="s">
        <v>1442</v>
      </c>
      <c r="D1191" s="42" t="s">
        <v>949</v>
      </c>
      <c r="E1191" s="42" t="s">
        <v>393</v>
      </c>
      <c r="F1191" s="42" t="s">
        <v>1428</v>
      </c>
      <c r="G1191" s="42" t="s">
        <v>1207</v>
      </c>
      <c r="H1191" s="43"/>
      <c r="I1191" s="43"/>
      <c r="J1191" s="43"/>
      <c r="K1191" s="43"/>
      <c r="L1191" s="43"/>
      <c r="M1191" s="43"/>
      <c r="N1191" s="43"/>
      <c r="O1191" s="43"/>
      <c r="P1191" s="43"/>
      <c r="Q1191" s="43"/>
      <c r="R1191" s="43"/>
      <c r="S1191" s="43"/>
      <c r="T1191" s="43"/>
      <c r="U1191" s="43"/>
      <c r="V1191" s="43"/>
    </row>
    <row r="1192" spans="1:22" ht="15.75" customHeight="1" x14ac:dyDescent="0.2">
      <c r="A1192" s="40">
        <v>1025</v>
      </c>
      <c r="B1192" s="41" t="s">
        <v>1076</v>
      </c>
      <c r="C1192" s="42" t="s">
        <v>1442</v>
      </c>
      <c r="D1192" s="42" t="s">
        <v>949</v>
      </c>
      <c r="E1192" s="42" t="s">
        <v>393</v>
      </c>
      <c r="F1192" s="42" t="s">
        <v>1428</v>
      </c>
      <c r="G1192" s="42" t="s">
        <v>1207</v>
      </c>
      <c r="H1192" s="43"/>
      <c r="I1192" s="43"/>
      <c r="J1192" s="43"/>
      <c r="K1192" s="43"/>
      <c r="L1192" s="43"/>
      <c r="M1192" s="43"/>
      <c r="N1192" s="43"/>
      <c r="O1192" s="43"/>
      <c r="P1192" s="43"/>
      <c r="Q1192" s="43"/>
      <c r="R1192" s="43"/>
      <c r="S1192" s="43"/>
      <c r="T1192" s="43"/>
      <c r="U1192" s="43"/>
      <c r="V1192" s="43"/>
    </row>
    <row r="1193" spans="1:22" ht="15.75" customHeight="1" x14ac:dyDescent="0.2">
      <c r="A1193" s="40">
        <v>263</v>
      </c>
      <c r="B1193" s="41" t="s">
        <v>243</v>
      </c>
      <c r="C1193" s="42" t="s">
        <v>1443</v>
      </c>
      <c r="D1193" s="42" t="s">
        <v>75</v>
      </c>
      <c r="E1193" s="42" t="s">
        <v>637</v>
      </c>
      <c r="F1193" s="42" t="s">
        <v>1428</v>
      </c>
      <c r="G1193" s="42" t="s">
        <v>1207</v>
      </c>
      <c r="H1193" s="43"/>
      <c r="I1193" s="43"/>
      <c r="J1193" s="43"/>
      <c r="K1193" s="43"/>
      <c r="L1193" s="43"/>
      <c r="M1193" s="43"/>
      <c r="N1193" s="43"/>
      <c r="O1193" s="43"/>
      <c r="P1193" s="43"/>
      <c r="Q1193" s="43"/>
      <c r="R1193" s="43"/>
      <c r="S1193" s="43"/>
      <c r="T1193" s="43"/>
      <c r="U1193" s="43"/>
      <c r="V1193" s="43"/>
    </row>
    <row r="1194" spans="1:22" ht="15.75" customHeight="1" x14ac:dyDescent="0.2">
      <c r="A1194" s="40">
        <v>1283</v>
      </c>
      <c r="B1194" s="41" t="s">
        <v>453</v>
      </c>
      <c r="C1194" s="42" t="s">
        <v>1443</v>
      </c>
      <c r="D1194" s="42" t="s">
        <v>75</v>
      </c>
      <c r="E1194" s="42" t="s">
        <v>637</v>
      </c>
      <c r="F1194" s="42" t="s">
        <v>1428</v>
      </c>
      <c r="G1194" s="42" t="s">
        <v>1207</v>
      </c>
      <c r="H1194" s="43"/>
      <c r="I1194" s="43"/>
      <c r="J1194" s="43"/>
      <c r="K1194" s="43"/>
      <c r="L1194" s="43"/>
      <c r="M1194" s="43"/>
      <c r="N1194" s="43"/>
      <c r="O1194" s="43"/>
      <c r="P1194" s="43"/>
      <c r="Q1194" s="43"/>
      <c r="R1194" s="43"/>
      <c r="S1194" s="43"/>
      <c r="T1194" s="43"/>
      <c r="U1194" s="43"/>
      <c r="V1194" s="43"/>
    </row>
    <row r="1195" spans="1:22" ht="15.75" customHeight="1" x14ac:dyDescent="0.2">
      <c r="A1195" s="40">
        <v>477</v>
      </c>
      <c r="B1195" s="41" t="s">
        <v>1018</v>
      </c>
      <c r="C1195" s="42" t="s">
        <v>1444</v>
      </c>
      <c r="D1195" s="42" t="s">
        <v>370</v>
      </c>
      <c r="E1195" s="42" t="s">
        <v>1445</v>
      </c>
      <c r="F1195" s="42" t="s">
        <v>1428</v>
      </c>
      <c r="G1195" s="42" t="s">
        <v>1207</v>
      </c>
      <c r="H1195" s="43"/>
      <c r="I1195" s="43"/>
      <c r="J1195" s="43"/>
      <c r="K1195" s="43"/>
      <c r="L1195" s="43"/>
      <c r="M1195" s="43"/>
      <c r="N1195" s="43"/>
      <c r="O1195" s="43"/>
      <c r="P1195" s="43"/>
      <c r="Q1195" s="43"/>
      <c r="R1195" s="43"/>
      <c r="S1195" s="43"/>
      <c r="T1195" s="43"/>
      <c r="U1195" s="43"/>
      <c r="V1195" s="43"/>
    </row>
    <row r="1196" spans="1:22" ht="15.75" customHeight="1" x14ac:dyDescent="0.2">
      <c r="A1196" s="40">
        <v>1171</v>
      </c>
      <c r="B1196" s="41" t="s">
        <v>433</v>
      </c>
      <c r="C1196" s="42" t="s">
        <v>1444</v>
      </c>
      <c r="D1196" s="42" t="s">
        <v>370</v>
      </c>
      <c r="E1196" s="42" t="s">
        <v>1445</v>
      </c>
      <c r="F1196" s="42" t="s">
        <v>1428</v>
      </c>
      <c r="G1196" s="42" t="s">
        <v>1207</v>
      </c>
      <c r="H1196" s="43"/>
      <c r="I1196" s="43"/>
      <c r="J1196" s="43"/>
      <c r="K1196" s="43"/>
      <c r="L1196" s="43"/>
      <c r="M1196" s="43"/>
      <c r="N1196" s="43"/>
      <c r="O1196" s="43"/>
      <c r="P1196" s="43"/>
      <c r="Q1196" s="43"/>
      <c r="R1196" s="43"/>
      <c r="S1196" s="43"/>
      <c r="T1196" s="43"/>
      <c r="U1196" s="43"/>
      <c r="V1196" s="43"/>
    </row>
    <row r="1197" spans="1:22" ht="15.75" customHeight="1" x14ac:dyDescent="0.2">
      <c r="A1197" s="40">
        <v>109</v>
      </c>
      <c r="B1197" s="41" t="s">
        <v>1262</v>
      </c>
      <c r="C1197" s="42" t="s">
        <v>1446</v>
      </c>
      <c r="D1197" s="42" t="s">
        <v>901</v>
      </c>
      <c r="E1197" s="42" t="s">
        <v>70</v>
      </c>
      <c r="F1197" s="42" t="s">
        <v>1428</v>
      </c>
      <c r="G1197" s="42" t="s">
        <v>1207</v>
      </c>
      <c r="H1197" s="43"/>
      <c r="I1197" s="43"/>
      <c r="J1197" s="43"/>
      <c r="K1197" s="43"/>
      <c r="L1197" s="43"/>
      <c r="M1197" s="43"/>
      <c r="N1197" s="43"/>
      <c r="O1197" s="43"/>
      <c r="P1197" s="43"/>
      <c r="Q1197" s="43"/>
      <c r="R1197" s="43"/>
      <c r="S1197" s="43"/>
      <c r="T1197" s="43"/>
      <c r="U1197" s="43"/>
      <c r="V1197" s="43"/>
    </row>
    <row r="1198" spans="1:22" ht="15.75" customHeight="1" x14ac:dyDescent="0.2">
      <c r="A1198" s="40">
        <v>1079</v>
      </c>
      <c r="B1198" s="41" t="s">
        <v>458</v>
      </c>
      <c r="C1198" s="42" t="s">
        <v>1446</v>
      </c>
      <c r="D1198" s="42" t="s">
        <v>901</v>
      </c>
      <c r="E1198" s="42" t="s">
        <v>70</v>
      </c>
      <c r="F1198" s="42" t="s">
        <v>1428</v>
      </c>
      <c r="G1198" s="42" t="s">
        <v>1207</v>
      </c>
      <c r="H1198" s="43"/>
      <c r="I1198" s="43"/>
      <c r="J1198" s="43"/>
      <c r="K1198" s="43"/>
      <c r="L1198" s="43"/>
      <c r="M1198" s="43"/>
      <c r="N1198" s="43"/>
      <c r="O1198" s="43"/>
      <c r="P1198" s="43"/>
      <c r="Q1198" s="43"/>
      <c r="R1198" s="43"/>
      <c r="S1198" s="43"/>
      <c r="T1198" s="43"/>
      <c r="U1198" s="43"/>
      <c r="V1198" s="43"/>
    </row>
    <row r="1199" spans="1:22" ht="15.75" customHeight="1" x14ac:dyDescent="0.2">
      <c r="A1199" s="40">
        <v>475</v>
      </c>
      <c r="B1199" s="41" t="s">
        <v>1018</v>
      </c>
      <c r="C1199" s="42" t="s">
        <v>1447</v>
      </c>
      <c r="D1199" s="42" t="s">
        <v>481</v>
      </c>
      <c r="E1199" s="42" t="s">
        <v>482</v>
      </c>
      <c r="F1199" s="42" t="s">
        <v>1428</v>
      </c>
      <c r="G1199" s="42" t="s">
        <v>1207</v>
      </c>
      <c r="H1199" s="43"/>
      <c r="I1199" s="43"/>
      <c r="J1199" s="43"/>
      <c r="K1199" s="43"/>
      <c r="L1199" s="43"/>
      <c r="M1199" s="43"/>
      <c r="N1199" s="43"/>
      <c r="O1199" s="43"/>
      <c r="P1199" s="43"/>
      <c r="Q1199" s="43"/>
      <c r="R1199" s="43"/>
      <c r="S1199" s="43"/>
      <c r="T1199" s="43"/>
      <c r="U1199" s="43"/>
      <c r="V1199" s="43"/>
    </row>
    <row r="1200" spans="1:22" ht="15.75" customHeight="1" x14ac:dyDescent="0.2">
      <c r="A1200" s="40">
        <v>2521</v>
      </c>
      <c r="B1200" s="41" t="s">
        <v>434</v>
      </c>
      <c r="C1200" s="42" t="s">
        <v>1447</v>
      </c>
      <c r="D1200" s="42" t="s">
        <v>481</v>
      </c>
      <c r="E1200" s="42" t="s">
        <v>482</v>
      </c>
      <c r="F1200" s="42" t="s">
        <v>1428</v>
      </c>
      <c r="G1200" s="42" t="s">
        <v>1207</v>
      </c>
      <c r="H1200" s="43"/>
      <c r="I1200" s="43"/>
      <c r="J1200" s="43"/>
      <c r="K1200" s="43"/>
      <c r="L1200" s="43"/>
      <c r="M1200" s="43"/>
      <c r="N1200" s="43"/>
      <c r="O1200" s="43"/>
      <c r="P1200" s="43"/>
      <c r="Q1200" s="43"/>
      <c r="R1200" s="43"/>
      <c r="S1200" s="43"/>
      <c r="T1200" s="43"/>
      <c r="U1200" s="43"/>
      <c r="V1200" s="43"/>
    </row>
    <row r="1201" spans="1:22" ht="15.75" customHeight="1" x14ac:dyDescent="0.2">
      <c r="A1201" s="40">
        <v>253</v>
      </c>
      <c r="B1201" s="41" t="s">
        <v>243</v>
      </c>
      <c r="C1201" s="42" t="s">
        <v>1448</v>
      </c>
      <c r="D1201" s="42" t="s">
        <v>1300</v>
      </c>
      <c r="E1201" s="42" t="s">
        <v>302</v>
      </c>
      <c r="F1201" s="42" t="s">
        <v>1428</v>
      </c>
      <c r="G1201" s="42" t="s">
        <v>1207</v>
      </c>
      <c r="H1201" s="43"/>
      <c r="I1201" s="43"/>
      <c r="J1201" s="43"/>
      <c r="K1201" s="43"/>
      <c r="L1201" s="43"/>
      <c r="M1201" s="43"/>
      <c r="N1201" s="43"/>
      <c r="O1201" s="43"/>
      <c r="P1201" s="43"/>
      <c r="Q1201" s="43"/>
      <c r="R1201" s="43"/>
      <c r="S1201" s="43"/>
      <c r="T1201" s="43"/>
      <c r="U1201" s="43"/>
      <c r="V1201" s="43"/>
    </row>
    <row r="1202" spans="1:22" ht="15.75" customHeight="1" x14ac:dyDescent="0.2">
      <c r="A1202" s="40">
        <v>1327</v>
      </c>
      <c r="B1202" s="41" t="s">
        <v>260</v>
      </c>
      <c r="C1202" s="42" t="s">
        <v>1448</v>
      </c>
      <c r="D1202" s="42" t="s">
        <v>1300</v>
      </c>
      <c r="E1202" s="42" t="s">
        <v>302</v>
      </c>
      <c r="F1202" s="42" t="s">
        <v>1428</v>
      </c>
      <c r="G1202" s="42" t="s">
        <v>1207</v>
      </c>
      <c r="H1202" s="43"/>
      <c r="I1202" s="43"/>
      <c r="J1202" s="43"/>
      <c r="K1202" s="43"/>
      <c r="L1202" s="43"/>
      <c r="M1202" s="43"/>
      <c r="N1202" s="43"/>
      <c r="O1202" s="43"/>
      <c r="P1202" s="43"/>
      <c r="Q1202" s="43"/>
      <c r="R1202" s="43"/>
      <c r="S1202" s="43"/>
      <c r="T1202" s="43"/>
      <c r="U1202" s="43"/>
      <c r="V1202" s="43"/>
    </row>
    <row r="1203" spans="1:22" ht="15.75" customHeight="1" x14ac:dyDescent="0.2">
      <c r="A1203" s="40">
        <v>2105</v>
      </c>
      <c r="B1203" s="41" t="s">
        <v>280</v>
      </c>
      <c r="C1203" s="42" t="s">
        <v>1448</v>
      </c>
      <c r="D1203" s="42" t="s">
        <v>1300</v>
      </c>
      <c r="E1203" s="42" t="s">
        <v>302</v>
      </c>
      <c r="F1203" s="42" t="s">
        <v>1428</v>
      </c>
      <c r="G1203" s="42" t="s">
        <v>1207</v>
      </c>
      <c r="H1203" s="43"/>
      <c r="I1203" s="43"/>
      <c r="J1203" s="43"/>
      <c r="K1203" s="43"/>
      <c r="L1203" s="43"/>
      <c r="M1203" s="43"/>
      <c r="N1203" s="43"/>
      <c r="O1203" s="43"/>
      <c r="P1203" s="43"/>
      <c r="Q1203" s="43"/>
      <c r="R1203" s="43"/>
      <c r="S1203" s="43"/>
      <c r="T1203" s="43"/>
      <c r="U1203" s="43"/>
      <c r="V1203" s="43"/>
    </row>
    <row r="1204" spans="1:22" ht="15.75" customHeight="1" x14ac:dyDescent="0.2">
      <c r="A1204" s="40">
        <v>121</v>
      </c>
      <c r="B1204" s="41" t="s">
        <v>504</v>
      </c>
      <c r="C1204" s="42" t="s">
        <v>1449</v>
      </c>
      <c r="D1204" s="42" t="s">
        <v>1283</v>
      </c>
      <c r="E1204" s="42" t="s">
        <v>1450</v>
      </c>
      <c r="F1204" s="42" t="s">
        <v>1428</v>
      </c>
      <c r="G1204" s="42" t="s">
        <v>1207</v>
      </c>
      <c r="H1204" s="43"/>
      <c r="I1204" s="43"/>
      <c r="J1204" s="43"/>
      <c r="K1204" s="43"/>
      <c r="L1204" s="43"/>
      <c r="M1204" s="43"/>
      <c r="N1204" s="43"/>
      <c r="O1204" s="43"/>
      <c r="P1204" s="43"/>
      <c r="Q1204" s="43"/>
      <c r="R1204" s="43"/>
      <c r="S1204" s="43"/>
      <c r="T1204" s="43"/>
      <c r="U1204" s="43"/>
      <c r="V1204" s="43"/>
    </row>
    <row r="1205" spans="1:22" ht="15.75" customHeight="1" x14ac:dyDescent="0.2">
      <c r="A1205" s="40">
        <v>213</v>
      </c>
      <c r="B1205" s="41" t="s">
        <v>946</v>
      </c>
      <c r="C1205" s="42" t="s">
        <v>1449</v>
      </c>
      <c r="D1205" s="42" t="s">
        <v>1283</v>
      </c>
      <c r="E1205" s="42" t="s">
        <v>1450</v>
      </c>
      <c r="F1205" s="42" t="s">
        <v>1428</v>
      </c>
      <c r="G1205" s="42" t="s">
        <v>1207</v>
      </c>
      <c r="H1205" s="43"/>
      <c r="I1205" s="43"/>
      <c r="J1205" s="43"/>
      <c r="K1205" s="43"/>
      <c r="L1205" s="43"/>
      <c r="M1205" s="43"/>
      <c r="N1205" s="43"/>
      <c r="O1205" s="43"/>
      <c r="P1205" s="43"/>
      <c r="Q1205" s="43"/>
      <c r="R1205" s="43"/>
      <c r="S1205" s="43"/>
      <c r="T1205" s="43"/>
      <c r="U1205" s="43"/>
      <c r="V1205" s="43"/>
    </row>
    <row r="1206" spans="1:22" ht="15.75" customHeight="1" x14ac:dyDescent="0.2">
      <c r="A1206" s="40">
        <v>1065</v>
      </c>
      <c r="B1206" s="41" t="s">
        <v>458</v>
      </c>
      <c r="C1206" s="42" t="s">
        <v>1449</v>
      </c>
      <c r="D1206" s="42" t="s">
        <v>1283</v>
      </c>
      <c r="E1206" s="42" t="s">
        <v>1450</v>
      </c>
      <c r="F1206" s="42" t="s">
        <v>1428</v>
      </c>
      <c r="G1206" s="42" t="s">
        <v>1207</v>
      </c>
      <c r="H1206" s="43"/>
      <c r="I1206" s="43"/>
      <c r="J1206" s="43"/>
      <c r="K1206" s="43"/>
      <c r="L1206" s="43"/>
      <c r="M1206" s="43"/>
      <c r="N1206" s="43"/>
      <c r="O1206" s="43"/>
      <c r="P1206" s="43"/>
      <c r="Q1206" s="43"/>
      <c r="R1206" s="43"/>
      <c r="S1206" s="43"/>
      <c r="T1206" s="43"/>
      <c r="U1206" s="43"/>
      <c r="V1206" s="43"/>
    </row>
    <row r="1207" spans="1:22" ht="15.75" customHeight="1" x14ac:dyDescent="0.2">
      <c r="A1207" s="40">
        <v>1757</v>
      </c>
      <c r="B1207" s="41" t="s">
        <v>459</v>
      </c>
      <c r="C1207" s="42" t="s">
        <v>1449</v>
      </c>
      <c r="D1207" s="42" t="s">
        <v>1283</v>
      </c>
      <c r="E1207" s="42" t="s">
        <v>1450</v>
      </c>
      <c r="F1207" s="42" t="s">
        <v>1428</v>
      </c>
      <c r="G1207" s="42" t="s">
        <v>1207</v>
      </c>
      <c r="H1207" s="43"/>
      <c r="I1207" s="43"/>
      <c r="J1207" s="43"/>
      <c r="K1207" s="43"/>
      <c r="L1207" s="43"/>
      <c r="M1207" s="43"/>
      <c r="N1207" s="43"/>
      <c r="O1207" s="43"/>
      <c r="P1207" s="43"/>
      <c r="Q1207" s="43"/>
      <c r="R1207" s="43"/>
      <c r="S1207" s="43"/>
      <c r="T1207" s="43"/>
      <c r="U1207" s="43"/>
      <c r="V1207" s="43"/>
    </row>
    <row r="1208" spans="1:22" ht="15.75" customHeight="1" x14ac:dyDescent="0.2">
      <c r="A1208" s="40">
        <v>211</v>
      </c>
      <c r="B1208" s="41" t="s">
        <v>946</v>
      </c>
      <c r="C1208" s="42" t="s">
        <v>1451</v>
      </c>
      <c r="D1208" s="42" t="s">
        <v>86</v>
      </c>
      <c r="E1208" s="42" t="s">
        <v>70</v>
      </c>
      <c r="F1208" s="42" t="s">
        <v>1428</v>
      </c>
      <c r="G1208" s="42" t="s">
        <v>1207</v>
      </c>
      <c r="H1208" s="43"/>
      <c r="I1208" s="43"/>
      <c r="J1208" s="43"/>
      <c r="K1208" s="43"/>
      <c r="L1208" s="43"/>
      <c r="M1208" s="43"/>
      <c r="N1208" s="43"/>
      <c r="O1208" s="43"/>
      <c r="P1208" s="43"/>
      <c r="Q1208" s="43"/>
      <c r="R1208" s="43"/>
      <c r="S1208" s="43"/>
      <c r="T1208" s="43"/>
      <c r="U1208" s="43"/>
      <c r="V1208" s="43"/>
    </row>
    <row r="1209" spans="1:22" ht="15.75" customHeight="1" x14ac:dyDescent="0.2">
      <c r="A1209" s="40">
        <v>1269</v>
      </c>
      <c r="B1209" s="41" t="s">
        <v>453</v>
      </c>
      <c r="C1209" s="42" t="s">
        <v>1451</v>
      </c>
      <c r="D1209" s="42" t="s">
        <v>86</v>
      </c>
      <c r="E1209" s="42" t="s">
        <v>70</v>
      </c>
      <c r="F1209" s="42" t="s">
        <v>1428</v>
      </c>
      <c r="G1209" s="42" t="s">
        <v>1207</v>
      </c>
      <c r="H1209" s="43"/>
      <c r="I1209" s="43"/>
      <c r="J1209" s="43"/>
      <c r="K1209" s="43"/>
      <c r="L1209" s="43"/>
      <c r="M1209" s="43"/>
      <c r="N1209" s="43"/>
      <c r="O1209" s="43"/>
      <c r="P1209" s="43"/>
      <c r="Q1209" s="43"/>
      <c r="R1209" s="43"/>
      <c r="S1209" s="43"/>
      <c r="T1209" s="43"/>
      <c r="U1209" s="43"/>
      <c r="V1209" s="43"/>
    </row>
    <row r="1210" spans="1:22" ht="15.75" customHeight="1" x14ac:dyDescent="0.2">
      <c r="A1210" s="40">
        <v>2107</v>
      </c>
      <c r="B1210" s="41" t="s">
        <v>280</v>
      </c>
      <c r="C1210" s="42" t="s">
        <v>1451</v>
      </c>
      <c r="D1210" s="42" t="s">
        <v>86</v>
      </c>
      <c r="E1210" s="42" t="s">
        <v>70</v>
      </c>
      <c r="F1210" s="42" t="s">
        <v>1428</v>
      </c>
      <c r="G1210" s="42" t="s">
        <v>1207</v>
      </c>
      <c r="H1210" s="43"/>
      <c r="I1210" s="43"/>
      <c r="J1210" s="43"/>
      <c r="K1210" s="43"/>
      <c r="L1210" s="43"/>
      <c r="M1210" s="43"/>
      <c r="N1210" s="43"/>
      <c r="O1210" s="43"/>
      <c r="P1210" s="43"/>
      <c r="Q1210" s="43"/>
      <c r="R1210" s="43"/>
      <c r="S1210" s="43"/>
      <c r="T1210" s="43"/>
      <c r="U1210" s="43"/>
      <c r="V1210" s="43"/>
    </row>
    <row r="1211" spans="1:22" ht="15.75" customHeight="1" x14ac:dyDescent="0.2">
      <c r="A1211" s="40">
        <v>2657</v>
      </c>
      <c r="B1211" s="41" t="s">
        <v>1055</v>
      </c>
      <c r="C1211" s="42" t="s">
        <v>1451</v>
      </c>
      <c r="D1211" s="42" t="s">
        <v>86</v>
      </c>
      <c r="E1211" s="42" t="s">
        <v>70</v>
      </c>
      <c r="F1211" s="42" t="s">
        <v>1428</v>
      </c>
      <c r="G1211" s="42" t="s">
        <v>1207</v>
      </c>
      <c r="H1211" s="43"/>
      <c r="I1211" s="43"/>
      <c r="J1211" s="43"/>
      <c r="K1211" s="43"/>
      <c r="L1211" s="43"/>
      <c r="M1211" s="43"/>
      <c r="N1211" s="43"/>
      <c r="O1211" s="43"/>
      <c r="P1211" s="43"/>
      <c r="Q1211" s="43"/>
      <c r="R1211" s="43"/>
      <c r="S1211" s="43"/>
      <c r="T1211" s="43"/>
      <c r="U1211" s="43"/>
      <c r="V1211" s="43"/>
    </row>
    <row r="1212" spans="1:22" ht="15.75" customHeight="1" x14ac:dyDescent="0.2">
      <c r="A1212" s="40">
        <v>2921</v>
      </c>
      <c r="B1212" s="41" t="s">
        <v>722</v>
      </c>
      <c r="C1212" s="42" t="s">
        <v>1451</v>
      </c>
      <c r="D1212" s="42" t="s">
        <v>86</v>
      </c>
      <c r="E1212" s="42" t="s">
        <v>70</v>
      </c>
      <c r="F1212" s="42" t="s">
        <v>1428</v>
      </c>
      <c r="G1212" s="42" t="s">
        <v>1207</v>
      </c>
      <c r="H1212" s="43"/>
      <c r="I1212" s="43"/>
      <c r="J1212" s="43"/>
      <c r="K1212" s="43"/>
      <c r="L1212" s="43"/>
      <c r="M1212" s="43"/>
      <c r="N1212" s="43"/>
      <c r="O1212" s="43"/>
      <c r="P1212" s="43"/>
      <c r="Q1212" s="43"/>
      <c r="R1212" s="43"/>
      <c r="S1212" s="43"/>
      <c r="T1212" s="43"/>
      <c r="U1212" s="43"/>
      <c r="V1212" s="43"/>
    </row>
    <row r="1213" spans="1:22" ht="15.75" customHeight="1" x14ac:dyDescent="0.2">
      <c r="A1213" s="40">
        <v>323</v>
      </c>
      <c r="B1213" s="41" t="s">
        <v>365</v>
      </c>
      <c r="C1213" s="42" t="s">
        <v>1452</v>
      </c>
      <c r="D1213" s="42" t="s">
        <v>1453</v>
      </c>
      <c r="E1213" s="42" t="s">
        <v>1454</v>
      </c>
      <c r="F1213" s="42" t="s">
        <v>1428</v>
      </c>
      <c r="G1213" s="42" t="s">
        <v>1207</v>
      </c>
      <c r="H1213" s="43"/>
      <c r="I1213" s="43"/>
      <c r="J1213" s="43"/>
      <c r="K1213" s="43"/>
      <c r="L1213" s="43"/>
      <c r="M1213" s="43"/>
      <c r="N1213" s="43"/>
      <c r="O1213" s="43"/>
      <c r="P1213" s="43"/>
      <c r="Q1213" s="43"/>
      <c r="R1213" s="43"/>
      <c r="S1213" s="43"/>
      <c r="T1213" s="43"/>
      <c r="U1213" s="43"/>
      <c r="V1213" s="43"/>
    </row>
    <row r="1214" spans="1:22" ht="15.75" customHeight="1" x14ac:dyDescent="0.2">
      <c r="A1214" s="40">
        <v>1599</v>
      </c>
      <c r="B1214" s="41" t="s">
        <v>264</v>
      </c>
      <c r="C1214" s="42" t="s">
        <v>1452</v>
      </c>
      <c r="D1214" s="42" t="s">
        <v>1453</v>
      </c>
      <c r="E1214" s="42" t="s">
        <v>1454</v>
      </c>
      <c r="F1214" s="42" t="s">
        <v>1428</v>
      </c>
      <c r="G1214" s="42" t="s">
        <v>1207</v>
      </c>
      <c r="H1214" s="43"/>
      <c r="I1214" s="43"/>
      <c r="J1214" s="43"/>
      <c r="K1214" s="43"/>
      <c r="L1214" s="43"/>
      <c r="M1214" s="43"/>
      <c r="N1214" s="43"/>
      <c r="O1214" s="43"/>
      <c r="P1214" s="43"/>
      <c r="Q1214" s="43"/>
      <c r="R1214" s="43"/>
      <c r="S1214" s="43"/>
      <c r="T1214" s="43"/>
      <c r="U1214" s="43"/>
      <c r="V1214" s="43"/>
    </row>
    <row r="1215" spans="1:22" ht="15.75" customHeight="1" x14ac:dyDescent="0.2">
      <c r="A1215" s="40">
        <v>2771</v>
      </c>
      <c r="B1215" s="41" t="s">
        <v>623</v>
      </c>
      <c r="C1215" s="42" t="s">
        <v>1452</v>
      </c>
      <c r="D1215" s="42" t="s">
        <v>1453</v>
      </c>
      <c r="E1215" s="42" t="s">
        <v>1454</v>
      </c>
      <c r="F1215" s="42" t="s">
        <v>1428</v>
      </c>
      <c r="G1215" s="42" t="s">
        <v>1207</v>
      </c>
      <c r="H1215" s="43"/>
      <c r="I1215" s="43"/>
      <c r="J1215" s="43"/>
      <c r="K1215" s="43"/>
      <c r="L1215" s="43"/>
      <c r="M1215" s="43"/>
      <c r="N1215" s="43"/>
      <c r="O1215" s="43"/>
      <c r="P1215" s="43"/>
      <c r="Q1215" s="43"/>
      <c r="R1215" s="43"/>
      <c r="S1215" s="43"/>
      <c r="T1215" s="43"/>
      <c r="U1215" s="43"/>
      <c r="V1215" s="43"/>
    </row>
    <row r="1216" spans="1:22" ht="15.75" customHeight="1" x14ac:dyDescent="0.2">
      <c r="A1216" s="40">
        <v>441</v>
      </c>
      <c r="B1216" s="41" t="s">
        <v>674</v>
      </c>
      <c r="C1216" s="42" t="s">
        <v>1456</v>
      </c>
      <c r="D1216" s="42" t="s">
        <v>1457</v>
      </c>
      <c r="E1216" s="42" t="s">
        <v>255</v>
      </c>
      <c r="F1216" s="42" t="s">
        <v>1428</v>
      </c>
      <c r="G1216" s="42" t="s">
        <v>1207</v>
      </c>
      <c r="H1216" s="43"/>
      <c r="I1216" s="43"/>
      <c r="J1216" s="43"/>
      <c r="K1216" s="43"/>
      <c r="L1216" s="43"/>
      <c r="M1216" s="43"/>
      <c r="N1216" s="43"/>
      <c r="O1216" s="43"/>
      <c r="P1216" s="43"/>
      <c r="Q1216" s="43"/>
      <c r="R1216" s="43"/>
      <c r="S1216" s="43"/>
      <c r="T1216" s="43"/>
      <c r="U1216" s="43"/>
      <c r="V1216" s="43"/>
    </row>
    <row r="1217" spans="1:22" ht="15.75" customHeight="1" x14ac:dyDescent="0.2">
      <c r="A1217" s="40">
        <v>983</v>
      </c>
      <c r="B1217" s="41" t="s">
        <v>624</v>
      </c>
      <c r="C1217" s="42" t="s">
        <v>1456</v>
      </c>
      <c r="D1217" s="42" t="s">
        <v>1457</v>
      </c>
      <c r="E1217" s="42" t="s">
        <v>255</v>
      </c>
      <c r="F1217" s="42" t="s">
        <v>1428</v>
      </c>
      <c r="G1217" s="42" t="s">
        <v>1207</v>
      </c>
      <c r="H1217" s="43"/>
      <c r="I1217" s="43"/>
      <c r="J1217" s="43"/>
      <c r="K1217" s="43"/>
      <c r="L1217" s="43"/>
      <c r="M1217" s="43"/>
      <c r="N1217" s="43"/>
      <c r="O1217" s="43"/>
      <c r="P1217" s="43"/>
      <c r="Q1217" s="43"/>
      <c r="R1217" s="43"/>
      <c r="S1217" s="43"/>
      <c r="T1217" s="43"/>
      <c r="U1217" s="43"/>
      <c r="V1217" s="43"/>
    </row>
    <row r="1218" spans="1:22" ht="15.75" customHeight="1" x14ac:dyDescent="0.2">
      <c r="A1218" s="40">
        <v>2825</v>
      </c>
      <c r="B1218" s="41" t="s">
        <v>518</v>
      </c>
      <c r="C1218" s="42" t="s">
        <v>1456</v>
      </c>
      <c r="D1218" s="42" t="s">
        <v>1457</v>
      </c>
      <c r="E1218" s="42" t="s">
        <v>255</v>
      </c>
      <c r="F1218" s="42" t="s">
        <v>1428</v>
      </c>
      <c r="G1218" s="42" t="s">
        <v>1207</v>
      </c>
      <c r="H1218" s="43"/>
      <c r="I1218" s="43"/>
      <c r="J1218" s="43"/>
      <c r="K1218" s="43"/>
      <c r="L1218" s="43"/>
      <c r="M1218" s="43"/>
      <c r="N1218" s="43"/>
      <c r="O1218" s="43"/>
      <c r="P1218" s="43"/>
      <c r="Q1218" s="43"/>
      <c r="R1218" s="43"/>
      <c r="S1218" s="43"/>
      <c r="T1218" s="43"/>
      <c r="U1218" s="43"/>
      <c r="V1218" s="43"/>
    </row>
    <row r="1219" spans="1:22" ht="15.75" customHeight="1" x14ac:dyDescent="0.2">
      <c r="A1219" s="40"/>
      <c r="B1219" s="45" t="s">
        <v>122</v>
      </c>
      <c r="C1219" s="46" t="s">
        <v>1458</v>
      </c>
      <c r="D1219" s="46" t="s">
        <v>989</v>
      </c>
      <c r="E1219" s="46" t="s">
        <v>302</v>
      </c>
      <c r="F1219" s="46" t="s">
        <v>1428</v>
      </c>
      <c r="G1219" s="46" t="s">
        <v>1207</v>
      </c>
      <c r="H1219" s="43"/>
      <c r="I1219" s="43"/>
      <c r="J1219" s="43"/>
      <c r="K1219" s="43"/>
      <c r="L1219" s="43"/>
      <c r="M1219" s="43"/>
      <c r="N1219" s="43"/>
      <c r="O1219" s="43"/>
      <c r="P1219" s="43"/>
      <c r="Q1219" s="43"/>
      <c r="R1219" s="43"/>
      <c r="S1219" s="43"/>
      <c r="T1219" s="43"/>
      <c r="U1219" s="43"/>
      <c r="V1219" s="43"/>
    </row>
    <row r="1220" spans="1:22" ht="15.75" customHeight="1" x14ac:dyDescent="0.2">
      <c r="A1220" s="40"/>
      <c r="B1220" s="45" t="s">
        <v>94</v>
      </c>
      <c r="C1220" s="46" t="s">
        <v>1458</v>
      </c>
      <c r="D1220" s="46" t="s">
        <v>989</v>
      </c>
      <c r="E1220" s="46" t="s">
        <v>302</v>
      </c>
      <c r="F1220" s="46" t="s">
        <v>1428</v>
      </c>
      <c r="G1220" s="46" t="s">
        <v>1207</v>
      </c>
      <c r="H1220" s="43"/>
      <c r="I1220" s="43"/>
      <c r="J1220" s="43"/>
      <c r="K1220" s="43"/>
      <c r="L1220" s="43"/>
      <c r="M1220" s="43"/>
      <c r="N1220" s="43"/>
      <c r="O1220" s="43"/>
      <c r="P1220" s="43"/>
      <c r="Q1220" s="43"/>
      <c r="R1220" s="43"/>
      <c r="S1220" s="43"/>
      <c r="T1220" s="43"/>
      <c r="U1220" s="43"/>
      <c r="V1220" s="43"/>
    </row>
    <row r="1221" spans="1:22" ht="15.75" customHeight="1" x14ac:dyDescent="0.2">
      <c r="A1221" s="40">
        <v>357</v>
      </c>
      <c r="B1221" s="41" t="s">
        <v>1162</v>
      </c>
      <c r="C1221" s="42" t="s">
        <v>1459</v>
      </c>
      <c r="D1221" s="42" t="s">
        <v>954</v>
      </c>
      <c r="E1221" s="42" t="s">
        <v>1284</v>
      </c>
      <c r="F1221" s="42" t="s">
        <v>1428</v>
      </c>
      <c r="G1221" s="42" t="s">
        <v>1207</v>
      </c>
      <c r="H1221" s="43"/>
      <c r="I1221" s="43"/>
      <c r="J1221" s="43"/>
      <c r="K1221" s="43"/>
      <c r="L1221" s="43"/>
      <c r="M1221" s="43"/>
      <c r="N1221" s="43"/>
      <c r="O1221" s="43"/>
      <c r="P1221" s="43"/>
      <c r="Q1221" s="43"/>
      <c r="R1221" s="43"/>
      <c r="S1221" s="43"/>
      <c r="T1221" s="43"/>
      <c r="U1221" s="43"/>
      <c r="V1221" s="43"/>
    </row>
    <row r="1222" spans="1:22" ht="15.75" customHeight="1" x14ac:dyDescent="0.2">
      <c r="A1222" s="40">
        <v>2563</v>
      </c>
      <c r="B1222" s="41" t="s">
        <v>1247</v>
      </c>
      <c r="C1222" s="42" t="s">
        <v>1459</v>
      </c>
      <c r="D1222" s="42" t="s">
        <v>954</v>
      </c>
      <c r="E1222" s="42" t="s">
        <v>1284</v>
      </c>
      <c r="F1222" s="42" t="s">
        <v>1428</v>
      </c>
      <c r="G1222" s="42" t="s">
        <v>1207</v>
      </c>
      <c r="H1222" s="43"/>
      <c r="I1222" s="43"/>
      <c r="J1222" s="43"/>
      <c r="K1222" s="43"/>
      <c r="L1222" s="43"/>
      <c r="M1222" s="43"/>
      <c r="N1222" s="43"/>
      <c r="O1222" s="43"/>
      <c r="P1222" s="43"/>
      <c r="Q1222" s="43"/>
      <c r="R1222" s="43"/>
      <c r="S1222" s="43"/>
      <c r="T1222" s="43"/>
      <c r="U1222" s="43"/>
      <c r="V1222" s="43"/>
    </row>
    <row r="1223" spans="1:22" ht="15.75" customHeight="1" x14ac:dyDescent="0.2">
      <c r="A1223" s="40"/>
      <c r="B1223" s="45" t="s">
        <v>122</v>
      </c>
      <c r="C1223" s="46" t="s">
        <v>1460</v>
      </c>
      <c r="D1223" s="46" t="s">
        <v>1461</v>
      </c>
      <c r="E1223" s="46" t="s">
        <v>1419</v>
      </c>
      <c r="F1223" s="46" t="s">
        <v>1428</v>
      </c>
      <c r="G1223" s="46" t="s">
        <v>1207</v>
      </c>
      <c r="H1223" s="43"/>
      <c r="I1223" s="43"/>
      <c r="J1223" s="43"/>
      <c r="K1223" s="43"/>
      <c r="L1223" s="43"/>
      <c r="M1223" s="43"/>
      <c r="N1223" s="43"/>
      <c r="O1223" s="43"/>
      <c r="P1223" s="43"/>
      <c r="Q1223" s="43"/>
      <c r="R1223" s="43"/>
      <c r="S1223" s="43"/>
      <c r="T1223" s="43"/>
      <c r="U1223" s="43"/>
      <c r="V1223" s="43"/>
    </row>
    <row r="1224" spans="1:22" ht="15.75" customHeight="1" x14ac:dyDescent="0.2">
      <c r="A1224" s="40"/>
      <c r="B1224" s="45" t="s">
        <v>94</v>
      </c>
      <c r="C1224" s="46" t="s">
        <v>1460</v>
      </c>
      <c r="D1224" s="46" t="s">
        <v>1461</v>
      </c>
      <c r="E1224" s="46" t="s">
        <v>1419</v>
      </c>
      <c r="F1224" s="46" t="s">
        <v>1428</v>
      </c>
      <c r="G1224" s="46" t="s">
        <v>1207</v>
      </c>
      <c r="H1224" s="43"/>
      <c r="I1224" s="43"/>
      <c r="J1224" s="43"/>
      <c r="K1224" s="43"/>
      <c r="L1224" s="43"/>
      <c r="M1224" s="43"/>
      <c r="N1224" s="43"/>
      <c r="O1224" s="43"/>
      <c r="P1224" s="43"/>
      <c r="Q1224" s="43"/>
      <c r="R1224" s="43"/>
      <c r="S1224" s="43"/>
      <c r="T1224" s="43"/>
      <c r="U1224" s="43"/>
      <c r="V1224" s="43"/>
    </row>
    <row r="1225" spans="1:22" ht="15.75" customHeight="1" x14ac:dyDescent="0.2">
      <c r="A1225" s="40">
        <v>63</v>
      </c>
      <c r="B1225" s="41" t="s">
        <v>1301</v>
      </c>
      <c r="C1225" s="42" t="s">
        <v>1462</v>
      </c>
      <c r="D1225" s="42" t="s">
        <v>901</v>
      </c>
      <c r="E1225" s="42" t="s">
        <v>876</v>
      </c>
      <c r="F1225" s="42" t="s">
        <v>1428</v>
      </c>
      <c r="G1225" s="42" t="s">
        <v>1207</v>
      </c>
      <c r="H1225" s="43"/>
      <c r="I1225" s="43"/>
      <c r="J1225" s="43"/>
      <c r="K1225" s="43"/>
      <c r="L1225" s="43"/>
      <c r="M1225" s="43"/>
      <c r="N1225" s="43"/>
      <c r="O1225" s="43"/>
      <c r="P1225" s="43"/>
      <c r="Q1225" s="43"/>
      <c r="R1225" s="43"/>
      <c r="S1225" s="43"/>
      <c r="T1225" s="43"/>
      <c r="U1225" s="43"/>
      <c r="V1225" s="43"/>
    </row>
    <row r="1226" spans="1:22" ht="15.75" customHeight="1" x14ac:dyDescent="0.2">
      <c r="A1226" s="40">
        <v>97</v>
      </c>
      <c r="B1226" s="41" t="s">
        <v>1262</v>
      </c>
      <c r="C1226" s="42" t="s">
        <v>1462</v>
      </c>
      <c r="D1226" s="42" t="s">
        <v>901</v>
      </c>
      <c r="E1226" s="42" t="s">
        <v>876</v>
      </c>
      <c r="F1226" s="42" t="s">
        <v>1428</v>
      </c>
      <c r="G1226" s="42" t="s">
        <v>1207</v>
      </c>
      <c r="H1226" s="43"/>
      <c r="I1226" s="43"/>
      <c r="J1226" s="43"/>
      <c r="K1226" s="43"/>
      <c r="L1226" s="43"/>
      <c r="M1226" s="43"/>
      <c r="N1226" s="43"/>
      <c r="O1226" s="43"/>
      <c r="P1226" s="43"/>
      <c r="Q1226" s="43"/>
      <c r="R1226" s="43"/>
      <c r="S1226" s="43"/>
      <c r="T1226" s="43"/>
      <c r="U1226" s="43"/>
      <c r="V1226" s="43"/>
    </row>
    <row r="1227" spans="1:22" ht="15.75" customHeight="1" x14ac:dyDescent="0.2">
      <c r="A1227" s="40">
        <v>907</v>
      </c>
      <c r="B1227" s="41" t="s">
        <v>694</v>
      </c>
      <c r="C1227" s="42" t="s">
        <v>1462</v>
      </c>
      <c r="D1227" s="42" t="s">
        <v>901</v>
      </c>
      <c r="E1227" s="42" t="s">
        <v>876</v>
      </c>
      <c r="F1227" s="42" t="s">
        <v>1428</v>
      </c>
      <c r="G1227" s="42" t="s">
        <v>1207</v>
      </c>
      <c r="H1227" s="43"/>
      <c r="I1227" s="43"/>
      <c r="J1227" s="43"/>
      <c r="K1227" s="43"/>
      <c r="L1227" s="43"/>
      <c r="M1227" s="43"/>
      <c r="N1227" s="43"/>
      <c r="O1227" s="43"/>
      <c r="P1227" s="43"/>
      <c r="Q1227" s="43"/>
      <c r="R1227" s="43"/>
      <c r="S1227" s="43"/>
      <c r="T1227" s="43"/>
      <c r="U1227" s="43"/>
      <c r="V1227" s="43"/>
    </row>
    <row r="1228" spans="1:22" ht="15.75" customHeight="1" x14ac:dyDescent="0.2">
      <c r="A1228" s="40">
        <v>327</v>
      </c>
      <c r="B1228" s="41" t="s">
        <v>365</v>
      </c>
      <c r="C1228" s="42" t="s">
        <v>450</v>
      </c>
      <c r="D1228" s="42" t="s">
        <v>266</v>
      </c>
      <c r="E1228" s="42" t="s">
        <v>302</v>
      </c>
      <c r="F1228" s="42" t="s">
        <v>1428</v>
      </c>
      <c r="G1228" s="42" t="s">
        <v>1207</v>
      </c>
      <c r="H1228" s="43"/>
      <c r="I1228" s="43"/>
      <c r="J1228" s="43"/>
      <c r="K1228" s="43"/>
      <c r="L1228" s="43"/>
      <c r="M1228" s="43"/>
      <c r="N1228" s="43"/>
      <c r="O1228" s="43"/>
      <c r="P1228" s="43"/>
      <c r="Q1228" s="43"/>
      <c r="R1228" s="43"/>
      <c r="S1228" s="43"/>
      <c r="T1228" s="43"/>
      <c r="U1228" s="43"/>
      <c r="V1228" s="43"/>
    </row>
    <row r="1229" spans="1:22" ht="15.75" customHeight="1" x14ac:dyDescent="0.2">
      <c r="A1229" s="40">
        <v>1687</v>
      </c>
      <c r="B1229" s="41" t="s">
        <v>270</v>
      </c>
      <c r="C1229" s="42" t="s">
        <v>450</v>
      </c>
      <c r="D1229" s="42" t="s">
        <v>266</v>
      </c>
      <c r="E1229" s="42" t="s">
        <v>302</v>
      </c>
      <c r="F1229" s="42" t="s">
        <v>1428</v>
      </c>
      <c r="G1229" s="42" t="s">
        <v>1207</v>
      </c>
      <c r="H1229" s="43"/>
      <c r="I1229" s="43"/>
      <c r="J1229" s="43"/>
      <c r="K1229" s="43"/>
      <c r="L1229" s="43"/>
      <c r="M1229" s="43"/>
      <c r="N1229" s="43"/>
      <c r="O1229" s="43"/>
      <c r="P1229" s="43"/>
      <c r="Q1229" s="43"/>
      <c r="R1229" s="43"/>
      <c r="S1229" s="43"/>
      <c r="T1229" s="43"/>
      <c r="U1229" s="43"/>
      <c r="V1229" s="43"/>
    </row>
    <row r="1230" spans="1:22" ht="15.75" customHeight="1" x14ac:dyDescent="0.2">
      <c r="A1230" s="40"/>
      <c r="B1230" s="45" t="s">
        <v>108</v>
      </c>
      <c r="C1230" s="46" t="s">
        <v>1463</v>
      </c>
      <c r="D1230" s="46" t="s">
        <v>111</v>
      </c>
      <c r="E1230" s="46" t="s">
        <v>32</v>
      </c>
      <c r="F1230" s="46" t="s">
        <v>1428</v>
      </c>
      <c r="G1230" s="46" t="s">
        <v>1207</v>
      </c>
      <c r="H1230" s="43"/>
      <c r="I1230" s="43"/>
      <c r="J1230" s="43"/>
      <c r="K1230" s="43"/>
      <c r="L1230" s="43"/>
      <c r="M1230" s="43"/>
      <c r="N1230" s="43"/>
      <c r="O1230" s="43"/>
      <c r="P1230" s="43"/>
      <c r="Q1230" s="43"/>
      <c r="R1230" s="43"/>
      <c r="S1230" s="43"/>
      <c r="T1230" s="43"/>
      <c r="U1230" s="43"/>
      <c r="V1230" s="43"/>
    </row>
    <row r="1231" spans="1:22" ht="15.75" customHeight="1" x14ac:dyDescent="0.2">
      <c r="A1231" s="40"/>
      <c r="B1231" s="45" t="s">
        <v>94</v>
      </c>
      <c r="C1231" s="46" t="s">
        <v>1463</v>
      </c>
      <c r="D1231" s="46" t="s">
        <v>111</v>
      </c>
      <c r="E1231" s="46" t="s">
        <v>32</v>
      </c>
      <c r="F1231" s="46" t="s">
        <v>1428</v>
      </c>
      <c r="G1231" s="46" t="s">
        <v>1207</v>
      </c>
      <c r="H1231" s="43"/>
      <c r="I1231" s="43"/>
      <c r="J1231" s="43"/>
      <c r="K1231" s="43"/>
      <c r="L1231" s="43"/>
      <c r="M1231" s="43"/>
      <c r="N1231" s="43"/>
      <c r="O1231" s="43"/>
      <c r="P1231" s="43"/>
      <c r="Q1231" s="43"/>
      <c r="R1231" s="43"/>
      <c r="S1231" s="43"/>
      <c r="T1231" s="43"/>
      <c r="U1231" s="43"/>
      <c r="V1231" s="43"/>
    </row>
    <row r="1232" spans="1:22" ht="15.75" customHeight="1" x14ac:dyDescent="0.2">
      <c r="A1232" s="40">
        <v>2565</v>
      </c>
      <c r="B1232" s="41" t="s">
        <v>1247</v>
      </c>
      <c r="C1232" s="42" t="s">
        <v>1464</v>
      </c>
      <c r="D1232" s="42" t="s">
        <v>1465</v>
      </c>
      <c r="E1232" s="42" t="s">
        <v>1466</v>
      </c>
      <c r="F1232" s="42" t="s">
        <v>1428</v>
      </c>
      <c r="G1232" s="42" t="s">
        <v>1207</v>
      </c>
      <c r="H1232" s="43"/>
      <c r="I1232" s="43"/>
      <c r="J1232" s="43"/>
      <c r="K1232" s="43"/>
      <c r="L1232" s="43"/>
      <c r="M1232" s="43"/>
      <c r="N1232" s="43"/>
      <c r="O1232" s="43"/>
      <c r="P1232" s="43"/>
      <c r="Q1232" s="43"/>
      <c r="R1232" s="43"/>
      <c r="S1232" s="43"/>
      <c r="T1232" s="43"/>
      <c r="U1232" s="43"/>
      <c r="V1232" s="43"/>
    </row>
    <row r="1233" spans="1:22" ht="15.75" customHeight="1" x14ac:dyDescent="0.2">
      <c r="A1233" s="40">
        <v>311</v>
      </c>
      <c r="B1233" s="41" t="s">
        <v>552</v>
      </c>
      <c r="C1233" s="42" t="s">
        <v>1467</v>
      </c>
      <c r="D1233" s="42" t="s">
        <v>1468</v>
      </c>
      <c r="E1233" s="42" t="s">
        <v>1433</v>
      </c>
      <c r="F1233" s="42" t="s">
        <v>1428</v>
      </c>
      <c r="G1233" s="42" t="s">
        <v>1207</v>
      </c>
      <c r="H1233" s="43"/>
      <c r="I1233" s="43"/>
      <c r="J1233" s="43"/>
      <c r="K1233" s="43"/>
      <c r="L1233" s="43"/>
      <c r="M1233" s="43"/>
      <c r="N1233" s="43"/>
      <c r="O1233" s="43"/>
      <c r="P1233" s="43"/>
      <c r="Q1233" s="43"/>
      <c r="R1233" s="43"/>
      <c r="S1233" s="43"/>
      <c r="T1233" s="43"/>
      <c r="U1233" s="43"/>
      <c r="V1233" s="43"/>
    </row>
    <row r="1234" spans="1:22" ht="15.75" customHeight="1" x14ac:dyDescent="0.2">
      <c r="A1234" s="40">
        <v>2557</v>
      </c>
      <c r="B1234" s="41" t="s">
        <v>1247</v>
      </c>
      <c r="C1234" s="42" t="s">
        <v>1467</v>
      </c>
      <c r="D1234" s="42" t="s">
        <v>1468</v>
      </c>
      <c r="E1234" s="42" t="s">
        <v>1433</v>
      </c>
      <c r="F1234" s="42" t="s">
        <v>1428</v>
      </c>
      <c r="G1234" s="42" t="s">
        <v>1207</v>
      </c>
      <c r="H1234" s="43"/>
      <c r="I1234" s="43"/>
      <c r="J1234" s="43"/>
      <c r="K1234" s="43"/>
      <c r="L1234" s="43"/>
      <c r="M1234" s="43"/>
      <c r="N1234" s="43"/>
      <c r="O1234" s="43"/>
      <c r="P1234" s="43"/>
      <c r="Q1234" s="43"/>
      <c r="R1234" s="43"/>
      <c r="S1234" s="43"/>
      <c r="T1234" s="43"/>
      <c r="U1234" s="43"/>
      <c r="V1234" s="43"/>
    </row>
    <row r="1235" spans="1:22" ht="15.75" customHeight="1" x14ac:dyDescent="0.2">
      <c r="A1235" s="40"/>
      <c r="B1235" s="45" t="s">
        <v>118</v>
      </c>
      <c r="C1235" s="46" t="s">
        <v>1469</v>
      </c>
      <c r="D1235" s="46" t="s">
        <v>1470</v>
      </c>
      <c r="E1235" s="46" t="s">
        <v>1284</v>
      </c>
      <c r="F1235" s="51" t="s">
        <v>1428</v>
      </c>
      <c r="G1235" s="46" t="s">
        <v>1207</v>
      </c>
      <c r="H1235" s="43"/>
      <c r="I1235" s="43"/>
      <c r="J1235" s="43"/>
      <c r="K1235" s="43"/>
      <c r="L1235" s="43"/>
      <c r="M1235" s="43"/>
      <c r="N1235" s="43"/>
      <c r="O1235" s="43"/>
      <c r="P1235" s="43"/>
      <c r="Q1235" s="43"/>
      <c r="R1235" s="43"/>
      <c r="S1235" s="43"/>
      <c r="T1235" s="43"/>
      <c r="U1235" s="43"/>
      <c r="V1235" s="43"/>
    </row>
    <row r="1236" spans="1:22" ht="15.75" customHeight="1" x14ac:dyDescent="0.2">
      <c r="A1236" s="40"/>
      <c r="B1236" s="45" t="s">
        <v>94</v>
      </c>
      <c r="C1236" s="46" t="s">
        <v>1469</v>
      </c>
      <c r="D1236" s="46" t="s">
        <v>1470</v>
      </c>
      <c r="E1236" s="46" t="s">
        <v>1284</v>
      </c>
      <c r="F1236" s="51" t="s">
        <v>1428</v>
      </c>
      <c r="G1236" s="46" t="s">
        <v>1207</v>
      </c>
    </row>
    <row r="1237" spans="1:22" ht="15.75" customHeight="1" x14ac:dyDescent="0.2">
      <c r="A1237" s="40">
        <v>119</v>
      </c>
      <c r="B1237" s="41" t="s">
        <v>504</v>
      </c>
      <c r="C1237" s="42" t="s">
        <v>1471</v>
      </c>
      <c r="D1237" s="42" t="s">
        <v>779</v>
      </c>
      <c r="E1237" s="42" t="s">
        <v>1472</v>
      </c>
      <c r="F1237" s="42" t="s">
        <v>1428</v>
      </c>
      <c r="G1237" s="42" t="s">
        <v>1207</v>
      </c>
      <c r="H1237" s="43"/>
      <c r="I1237" s="43"/>
      <c r="J1237" s="43"/>
      <c r="K1237" s="43"/>
      <c r="L1237" s="43"/>
      <c r="M1237" s="43"/>
      <c r="N1237" s="43"/>
      <c r="O1237" s="43"/>
      <c r="P1237" s="43"/>
      <c r="Q1237" s="43"/>
      <c r="R1237" s="43"/>
      <c r="S1237" s="43"/>
      <c r="T1237" s="43"/>
      <c r="U1237" s="43"/>
      <c r="V1237" s="43"/>
    </row>
    <row r="1238" spans="1:22" ht="15.75" customHeight="1" x14ac:dyDescent="0.2">
      <c r="A1238" s="40">
        <v>1063</v>
      </c>
      <c r="B1238" s="41" t="s">
        <v>458</v>
      </c>
      <c r="C1238" s="42" t="s">
        <v>1471</v>
      </c>
      <c r="D1238" s="42" t="s">
        <v>779</v>
      </c>
      <c r="E1238" s="42" t="s">
        <v>1472</v>
      </c>
      <c r="F1238" s="42" t="s">
        <v>1428</v>
      </c>
      <c r="G1238" s="42" t="s">
        <v>1207</v>
      </c>
      <c r="H1238" s="43"/>
      <c r="I1238" s="43"/>
      <c r="J1238" s="43"/>
      <c r="K1238" s="43"/>
      <c r="L1238" s="43"/>
      <c r="M1238" s="43"/>
      <c r="N1238" s="43"/>
      <c r="O1238" s="43"/>
      <c r="P1238" s="43"/>
      <c r="Q1238" s="43"/>
      <c r="R1238" s="43"/>
      <c r="S1238" s="43"/>
      <c r="T1238" s="43"/>
      <c r="U1238" s="43"/>
      <c r="V1238" s="43"/>
    </row>
    <row r="1239" spans="1:22" ht="15.75" customHeight="1" x14ac:dyDescent="0.2">
      <c r="A1239" s="40">
        <v>111</v>
      </c>
      <c r="B1239" s="41" t="s">
        <v>1262</v>
      </c>
      <c r="C1239" s="42" t="s">
        <v>1473</v>
      </c>
      <c r="D1239" s="42" t="s">
        <v>1474</v>
      </c>
      <c r="E1239" s="42" t="s">
        <v>1475</v>
      </c>
      <c r="F1239" s="42" t="s">
        <v>1428</v>
      </c>
      <c r="G1239" s="42" t="s">
        <v>1207</v>
      </c>
      <c r="H1239" s="43"/>
      <c r="I1239" s="43"/>
      <c r="J1239" s="43"/>
      <c r="K1239" s="43"/>
      <c r="L1239" s="43"/>
      <c r="M1239" s="43"/>
      <c r="N1239" s="43"/>
      <c r="O1239" s="43"/>
      <c r="P1239" s="43"/>
      <c r="Q1239" s="43"/>
      <c r="R1239" s="43"/>
      <c r="S1239" s="43"/>
      <c r="T1239" s="43"/>
      <c r="U1239" s="43"/>
      <c r="V1239" s="43"/>
    </row>
    <row r="1240" spans="1:22" ht="15.75" customHeight="1" x14ac:dyDescent="0.2">
      <c r="A1240" s="40">
        <v>197</v>
      </c>
      <c r="B1240" s="41" t="s">
        <v>549</v>
      </c>
      <c r="C1240" s="42" t="s">
        <v>1473</v>
      </c>
      <c r="D1240" s="42" t="s">
        <v>1474</v>
      </c>
      <c r="E1240" s="42" t="s">
        <v>1475</v>
      </c>
      <c r="F1240" s="42" t="s">
        <v>1428</v>
      </c>
      <c r="G1240" s="42" t="s">
        <v>1207</v>
      </c>
      <c r="H1240" s="43"/>
      <c r="I1240" s="43"/>
      <c r="J1240" s="43"/>
      <c r="K1240" s="43"/>
      <c r="L1240" s="43"/>
      <c r="M1240" s="43"/>
      <c r="N1240" s="43"/>
      <c r="O1240" s="43"/>
      <c r="P1240" s="43"/>
      <c r="Q1240" s="43"/>
      <c r="R1240" s="43"/>
      <c r="S1240" s="43"/>
      <c r="T1240" s="43"/>
      <c r="U1240" s="43"/>
      <c r="V1240" s="43"/>
    </row>
    <row r="1241" spans="1:22" ht="15.75" customHeight="1" x14ac:dyDescent="0.2">
      <c r="A1241" s="40">
        <v>1027</v>
      </c>
      <c r="B1241" s="41" t="s">
        <v>1076</v>
      </c>
      <c r="C1241" s="42" t="s">
        <v>1473</v>
      </c>
      <c r="D1241" s="42" t="s">
        <v>1474</v>
      </c>
      <c r="E1241" s="42" t="s">
        <v>1475</v>
      </c>
      <c r="F1241" s="42" t="s">
        <v>1428</v>
      </c>
      <c r="G1241" s="42" t="s">
        <v>1207</v>
      </c>
      <c r="H1241" s="43"/>
      <c r="I1241" s="43"/>
      <c r="J1241" s="43"/>
      <c r="K1241" s="43"/>
      <c r="L1241" s="43"/>
      <c r="M1241" s="43"/>
      <c r="N1241" s="43"/>
      <c r="O1241" s="43"/>
      <c r="P1241" s="43"/>
      <c r="Q1241" s="43"/>
      <c r="R1241" s="43"/>
      <c r="S1241" s="43"/>
      <c r="T1241" s="43"/>
      <c r="U1241" s="43"/>
      <c r="V1241" s="43"/>
    </row>
    <row r="1242" spans="1:22" ht="15.75" customHeight="1" x14ac:dyDescent="0.2">
      <c r="A1242" s="40">
        <v>1447</v>
      </c>
      <c r="B1242" s="41" t="s">
        <v>261</v>
      </c>
      <c r="C1242" s="42" t="s">
        <v>1476</v>
      </c>
      <c r="D1242" s="42" t="s">
        <v>1439</v>
      </c>
      <c r="E1242" s="42" t="s">
        <v>1376</v>
      </c>
      <c r="F1242" s="42" t="s">
        <v>1428</v>
      </c>
      <c r="G1242" s="42" t="s">
        <v>1207</v>
      </c>
      <c r="H1242" s="43"/>
      <c r="I1242" s="43"/>
      <c r="J1242" s="43"/>
      <c r="K1242" s="43"/>
      <c r="L1242" s="43"/>
      <c r="M1242" s="43"/>
      <c r="N1242" s="43"/>
      <c r="O1242" s="43"/>
      <c r="P1242" s="43"/>
      <c r="Q1242" s="43"/>
      <c r="R1242" s="43"/>
      <c r="S1242" s="43"/>
      <c r="T1242" s="43"/>
      <c r="U1242" s="43"/>
      <c r="V1242" s="43"/>
    </row>
    <row r="1243" spans="1:22" ht="15.75" customHeight="1" x14ac:dyDescent="0.2">
      <c r="A1243" s="40">
        <v>1897</v>
      </c>
      <c r="B1243" s="41" t="s">
        <v>277</v>
      </c>
      <c r="C1243" s="42" t="s">
        <v>1476</v>
      </c>
      <c r="D1243" s="42" t="s">
        <v>1439</v>
      </c>
      <c r="E1243" s="42" t="s">
        <v>1376</v>
      </c>
      <c r="F1243" s="42" t="s">
        <v>1428</v>
      </c>
      <c r="G1243" s="42" t="s">
        <v>1207</v>
      </c>
      <c r="H1243" s="43"/>
      <c r="I1243" s="43"/>
      <c r="J1243" s="43"/>
      <c r="K1243" s="43"/>
      <c r="L1243" s="43"/>
      <c r="M1243" s="43"/>
      <c r="N1243" s="43"/>
      <c r="O1243" s="43"/>
      <c r="P1243" s="43"/>
      <c r="Q1243" s="43"/>
      <c r="R1243" s="43"/>
      <c r="S1243" s="43"/>
      <c r="T1243" s="43"/>
      <c r="U1243" s="43"/>
      <c r="V1243" s="43"/>
    </row>
    <row r="1244" spans="1:22" ht="15.75" customHeight="1" x14ac:dyDescent="0.2">
      <c r="A1244" s="40">
        <v>2695</v>
      </c>
      <c r="B1244" s="41" t="s">
        <v>1098</v>
      </c>
      <c r="C1244" s="42" t="s">
        <v>1476</v>
      </c>
      <c r="D1244" s="42" t="s">
        <v>1439</v>
      </c>
      <c r="E1244" s="42" t="s">
        <v>1376</v>
      </c>
      <c r="F1244" s="42" t="s">
        <v>1428</v>
      </c>
      <c r="G1244" s="42" t="s">
        <v>1207</v>
      </c>
      <c r="H1244" s="43"/>
      <c r="I1244" s="43"/>
      <c r="J1244" s="43"/>
      <c r="K1244" s="43"/>
      <c r="L1244" s="43"/>
      <c r="M1244" s="43"/>
      <c r="N1244" s="43"/>
      <c r="O1244" s="43"/>
      <c r="P1244" s="43"/>
      <c r="Q1244" s="43"/>
      <c r="R1244" s="43"/>
      <c r="S1244" s="43"/>
      <c r="T1244" s="43"/>
      <c r="U1244" s="43"/>
      <c r="V1244" s="43"/>
    </row>
    <row r="1245" spans="1:22" ht="15.75" customHeight="1" x14ac:dyDescent="0.2">
      <c r="A1245" s="40">
        <v>105</v>
      </c>
      <c r="B1245" s="41" t="s">
        <v>1262</v>
      </c>
      <c r="C1245" s="42" t="s">
        <v>1477</v>
      </c>
      <c r="D1245" s="42" t="s">
        <v>292</v>
      </c>
      <c r="E1245" s="42" t="s">
        <v>237</v>
      </c>
      <c r="F1245" s="42" t="s">
        <v>1428</v>
      </c>
      <c r="G1245" s="42" t="s">
        <v>1207</v>
      </c>
      <c r="H1245" s="43"/>
      <c r="I1245" s="43"/>
      <c r="J1245" s="43"/>
      <c r="K1245" s="43"/>
      <c r="L1245" s="43"/>
      <c r="M1245" s="43"/>
      <c r="N1245" s="43"/>
      <c r="O1245" s="43"/>
      <c r="P1245" s="43"/>
      <c r="Q1245" s="43"/>
      <c r="R1245" s="43"/>
      <c r="S1245" s="43"/>
      <c r="T1245" s="43"/>
      <c r="U1245" s="43"/>
      <c r="V1245" s="43"/>
    </row>
    <row r="1246" spans="1:22" ht="15.75" customHeight="1" x14ac:dyDescent="0.2">
      <c r="A1246" s="40">
        <v>195</v>
      </c>
      <c r="B1246" s="41" t="s">
        <v>549</v>
      </c>
      <c r="C1246" s="42" t="s">
        <v>1477</v>
      </c>
      <c r="D1246" s="42" t="s">
        <v>292</v>
      </c>
      <c r="E1246" s="42" t="s">
        <v>237</v>
      </c>
      <c r="F1246" s="42" t="s">
        <v>1428</v>
      </c>
      <c r="G1246" s="42" t="s">
        <v>1207</v>
      </c>
      <c r="H1246" s="43"/>
      <c r="I1246" s="43"/>
      <c r="J1246" s="43"/>
      <c r="K1246" s="43"/>
      <c r="L1246" s="43"/>
      <c r="M1246" s="43"/>
      <c r="N1246" s="43"/>
      <c r="O1246" s="43"/>
      <c r="P1246" s="43"/>
      <c r="Q1246" s="43"/>
      <c r="R1246" s="43"/>
      <c r="S1246" s="43"/>
      <c r="T1246" s="43"/>
      <c r="U1246" s="43"/>
      <c r="V1246" s="43"/>
    </row>
    <row r="1247" spans="1:22" ht="15.75" customHeight="1" x14ac:dyDescent="0.2">
      <c r="A1247" s="40">
        <v>2955</v>
      </c>
      <c r="B1247" s="41" t="s">
        <v>1270</v>
      </c>
      <c r="C1247" s="42" t="s">
        <v>1477</v>
      </c>
      <c r="D1247" s="42" t="s">
        <v>292</v>
      </c>
      <c r="E1247" s="42" t="s">
        <v>237</v>
      </c>
      <c r="F1247" s="42" t="s">
        <v>1428</v>
      </c>
      <c r="G1247" s="42" t="s">
        <v>1207</v>
      </c>
      <c r="H1247" s="43"/>
      <c r="I1247" s="43"/>
      <c r="J1247" s="43"/>
      <c r="K1247" s="43"/>
      <c r="L1247" s="43"/>
      <c r="M1247" s="43"/>
      <c r="N1247" s="43"/>
      <c r="O1247" s="43"/>
      <c r="P1247" s="43"/>
      <c r="Q1247" s="43"/>
      <c r="R1247" s="43"/>
      <c r="S1247" s="43"/>
      <c r="T1247" s="43"/>
      <c r="U1247" s="43"/>
      <c r="V1247" s="43"/>
    </row>
    <row r="1248" spans="1:22" ht="15.75" customHeight="1" x14ac:dyDescent="0.2">
      <c r="A1248" s="40">
        <v>869</v>
      </c>
      <c r="B1248" s="41" t="s">
        <v>454</v>
      </c>
      <c r="C1248" s="42" t="s">
        <v>1478</v>
      </c>
      <c r="D1248" s="42" t="s">
        <v>441</v>
      </c>
      <c r="E1248" s="42" t="s">
        <v>637</v>
      </c>
      <c r="F1248" s="42" t="s">
        <v>1428</v>
      </c>
      <c r="G1248" s="42" t="s">
        <v>1207</v>
      </c>
      <c r="H1248" s="43"/>
      <c r="I1248" s="43"/>
      <c r="J1248" s="43"/>
      <c r="K1248" s="43"/>
      <c r="L1248" s="43"/>
      <c r="M1248" s="43"/>
      <c r="N1248" s="43"/>
      <c r="O1248" s="43"/>
      <c r="P1248" s="43"/>
      <c r="Q1248" s="43"/>
      <c r="R1248" s="43"/>
      <c r="S1248" s="43"/>
      <c r="T1248" s="43"/>
      <c r="U1248" s="43"/>
      <c r="V1248" s="43"/>
    </row>
    <row r="1249" spans="1:22" ht="15.75" customHeight="1" x14ac:dyDescent="0.2">
      <c r="A1249" s="40">
        <v>1213</v>
      </c>
      <c r="B1249" s="41" t="s">
        <v>1364</v>
      </c>
      <c r="C1249" s="42" t="s">
        <v>1478</v>
      </c>
      <c r="D1249" s="42" t="s">
        <v>186</v>
      </c>
      <c r="E1249" s="42" t="s">
        <v>637</v>
      </c>
      <c r="F1249" s="42" t="s">
        <v>1428</v>
      </c>
      <c r="G1249" s="42" t="s">
        <v>1207</v>
      </c>
      <c r="H1249" s="43"/>
      <c r="I1249" s="43"/>
      <c r="J1249" s="43"/>
      <c r="K1249" s="43"/>
      <c r="L1249" s="43"/>
      <c r="M1249" s="43"/>
      <c r="N1249" s="43"/>
      <c r="O1249" s="43"/>
      <c r="P1249" s="43"/>
      <c r="Q1249" s="43"/>
      <c r="R1249" s="43"/>
      <c r="S1249" s="43"/>
      <c r="T1249" s="43"/>
      <c r="U1249" s="43"/>
      <c r="V1249" s="43"/>
    </row>
    <row r="1250" spans="1:22" ht="15.75" customHeight="1" x14ac:dyDescent="0.2">
      <c r="A1250" s="40">
        <v>1713</v>
      </c>
      <c r="B1250" s="41" t="s">
        <v>1345</v>
      </c>
      <c r="C1250" s="42" t="s">
        <v>1478</v>
      </c>
      <c r="D1250" s="42" t="s">
        <v>186</v>
      </c>
      <c r="E1250" s="42" t="s">
        <v>637</v>
      </c>
      <c r="F1250" s="42" t="s">
        <v>1428</v>
      </c>
      <c r="G1250" s="42" t="s">
        <v>1207</v>
      </c>
      <c r="H1250" s="43"/>
      <c r="I1250" s="43"/>
      <c r="J1250" s="43"/>
      <c r="K1250" s="43"/>
      <c r="L1250" s="43"/>
      <c r="M1250" s="43"/>
      <c r="N1250" s="43"/>
      <c r="O1250" s="43"/>
      <c r="P1250" s="43"/>
      <c r="Q1250" s="43"/>
      <c r="R1250" s="43"/>
      <c r="S1250" s="43"/>
      <c r="T1250" s="43"/>
      <c r="U1250" s="43"/>
      <c r="V1250" s="43"/>
    </row>
    <row r="1251" spans="1:22" ht="15.75" customHeight="1" x14ac:dyDescent="0.2">
      <c r="A1251" s="40"/>
      <c r="B1251" s="45" t="s">
        <v>323</v>
      </c>
      <c r="C1251" s="46" t="s">
        <v>1479</v>
      </c>
      <c r="D1251" s="46" t="s">
        <v>822</v>
      </c>
      <c r="E1251" s="46" t="s">
        <v>40</v>
      </c>
      <c r="F1251" s="46" t="s">
        <v>1480</v>
      </c>
      <c r="G1251" s="46" t="s">
        <v>1207</v>
      </c>
    </row>
    <row r="1252" spans="1:22" ht="15.75" customHeight="1" x14ac:dyDescent="0.2">
      <c r="A1252" s="40"/>
      <c r="B1252" s="45" t="s">
        <v>297</v>
      </c>
      <c r="C1252" s="46" t="s">
        <v>1479</v>
      </c>
      <c r="D1252" s="46" t="s">
        <v>822</v>
      </c>
      <c r="E1252" s="46" t="s">
        <v>40</v>
      </c>
      <c r="F1252" s="46" t="s">
        <v>1480</v>
      </c>
      <c r="G1252" s="46" t="s">
        <v>1207</v>
      </c>
    </row>
    <row r="1253" spans="1:22" ht="15.75" customHeight="1" x14ac:dyDescent="0.2">
      <c r="A1253" s="40"/>
      <c r="B1253" s="45" t="s">
        <v>108</v>
      </c>
      <c r="C1253" s="46" t="s">
        <v>1479</v>
      </c>
      <c r="D1253" s="46" t="s">
        <v>822</v>
      </c>
      <c r="E1253" s="46" t="s">
        <v>40</v>
      </c>
      <c r="F1253" s="46" t="s">
        <v>1480</v>
      </c>
      <c r="G1253" s="46" t="s">
        <v>1207</v>
      </c>
    </row>
    <row r="1254" spans="1:22" ht="15.75" customHeight="1" x14ac:dyDescent="0.2">
      <c r="A1254" s="40"/>
      <c r="B1254" s="45" t="s">
        <v>296</v>
      </c>
      <c r="C1254" s="46" t="s">
        <v>1481</v>
      </c>
      <c r="D1254" s="46" t="s">
        <v>1482</v>
      </c>
      <c r="E1254" s="46" t="s">
        <v>1483</v>
      </c>
      <c r="F1254" s="46" t="s">
        <v>1480</v>
      </c>
      <c r="G1254" s="46" t="s">
        <v>1207</v>
      </c>
    </row>
    <row r="1255" spans="1:22" ht="15.75" customHeight="1" x14ac:dyDescent="0.2">
      <c r="A1255" s="40"/>
      <c r="B1255" s="45" t="s">
        <v>94</v>
      </c>
      <c r="C1255" s="46" t="s">
        <v>1481</v>
      </c>
      <c r="D1255" s="46" t="s">
        <v>1482</v>
      </c>
      <c r="E1255" s="46" t="s">
        <v>1483</v>
      </c>
      <c r="F1255" s="46" t="s">
        <v>1480</v>
      </c>
      <c r="G1255" s="46" t="s">
        <v>1207</v>
      </c>
    </row>
    <row r="1256" spans="1:22" ht="15.75" customHeight="1" x14ac:dyDescent="0.2">
      <c r="A1256" s="40">
        <v>15</v>
      </c>
      <c r="B1256" s="41" t="s">
        <v>939</v>
      </c>
      <c r="C1256" s="42" t="s">
        <v>1484</v>
      </c>
      <c r="D1256" s="42" t="s">
        <v>31</v>
      </c>
      <c r="E1256" s="42" t="s">
        <v>1485</v>
      </c>
      <c r="F1256" s="42" t="s">
        <v>1486</v>
      </c>
      <c r="G1256" s="42" t="s">
        <v>1207</v>
      </c>
      <c r="H1256" s="43"/>
      <c r="I1256" s="43"/>
      <c r="J1256" s="43"/>
      <c r="K1256" s="43"/>
      <c r="L1256" s="43"/>
      <c r="M1256" s="43"/>
      <c r="N1256" s="43"/>
      <c r="O1256" s="43"/>
      <c r="P1256" s="43"/>
      <c r="Q1256" s="43"/>
      <c r="R1256" s="43"/>
      <c r="S1256" s="43"/>
      <c r="T1256" s="43"/>
      <c r="U1256" s="43"/>
      <c r="V1256" s="43"/>
    </row>
    <row r="1257" spans="1:22" ht="15.75" customHeight="1" x14ac:dyDescent="0.2">
      <c r="A1257" s="40">
        <v>93</v>
      </c>
      <c r="B1257" s="41" t="s">
        <v>1262</v>
      </c>
      <c r="C1257" s="42" t="s">
        <v>1487</v>
      </c>
      <c r="D1257" s="42" t="s">
        <v>73</v>
      </c>
      <c r="E1257" s="42" t="s">
        <v>87</v>
      </c>
      <c r="F1257" s="42" t="s">
        <v>1486</v>
      </c>
      <c r="G1257" s="42" t="s">
        <v>1207</v>
      </c>
      <c r="H1257" s="43"/>
      <c r="I1257" s="43"/>
      <c r="J1257" s="43"/>
      <c r="K1257" s="43"/>
      <c r="L1257" s="43"/>
      <c r="M1257" s="43"/>
      <c r="N1257" s="43"/>
      <c r="O1257" s="43"/>
      <c r="P1257" s="43"/>
      <c r="Q1257" s="43"/>
      <c r="R1257" s="43"/>
      <c r="S1257" s="43"/>
      <c r="T1257" s="43"/>
      <c r="U1257" s="43"/>
      <c r="V1257" s="43"/>
    </row>
    <row r="1258" spans="1:22" ht="15.75" customHeight="1" x14ac:dyDescent="0.2">
      <c r="A1258" s="40">
        <v>143</v>
      </c>
      <c r="B1258" s="41" t="s">
        <v>460</v>
      </c>
      <c r="C1258" s="42" t="s">
        <v>1488</v>
      </c>
      <c r="D1258" s="42" t="s">
        <v>992</v>
      </c>
      <c r="E1258" s="42" t="s">
        <v>40</v>
      </c>
      <c r="F1258" s="42" t="s">
        <v>1486</v>
      </c>
      <c r="G1258" s="42" t="s">
        <v>1207</v>
      </c>
      <c r="H1258" s="43"/>
      <c r="I1258" s="43"/>
      <c r="J1258" s="43"/>
      <c r="K1258" s="43"/>
      <c r="L1258" s="43"/>
      <c r="M1258" s="43"/>
      <c r="N1258" s="43"/>
      <c r="O1258" s="43"/>
      <c r="P1258" s="43"/>
      <c r="Q1258" s="43"/>
      <c r="R1258" s="43"/>
      <c r="S1258" s="43"/>
      <c r="T1258" s="43"/>
      <c r="U1258" s="43"/>
      <c r="V1258" s="43"/>
    </row>
    <row r="1259" spans="1:22" ht="15.75" customHeight="1" x14ac:dyDescent="0.2">
      <c r="A1259" s="40">
        <v>251</v>
      </c>
      <c r="B1259" s="41" t="s">
        <v>243</v>
      </c>
      <c r="C1259" s="42" t="s">
        <v>1489</v>
      </c>
      <c r="D1259" s="42" t="s">
        <v>1369</v>
      </c>
      <c r="E1259" s="42" t="s">
        <v>1490</v>
      </c>
      <c r="F1259" s="42" t="s">
        <v>1486</v>
      </c>
      <c r="G1259" s="42" t="s">
        <v>1207</v>
      </c>
      <c r="H1259" s="43"/>
      <c r="I1259" s="43"/>
      <c r="J1259" s="43"/>
      <c r="K1259" s="43"/>
      <c r="L1259" s="43"/>
      <c r="M1259" s="43"/>
      <c r="N1259" s="43"/>
      <c r="O1259" s="43"/>
      <c r="P1259" s="43"/>
      <c r="Q1259" s="43"/>
      <c r="R1259" s="43"/>
      <c r="S1259" s="43"/>
      <c r="T1259" s="43"/>
      <c r="U1259" s="43"/>
      <c r="V1259" s="43"/>
    </row>
    <row r="1260" spans="1:22" ht="15.75" customHeight="1" x14ac:dyDescent="0.2">
      <c r="A1260" s="40">
        <v>401</v>
      </c>
      <c r="B1260" s="41" t="s">
        <v>1299</v>
      </c>
      <c r="C1260" s="42" t="s">
        <v>1491</v>
      </c>
      <c r="D1260" s="42" t="s">
        <v>39</v>
      </c>
      <c r="E1260" s="42" t="s">
        <v>650</v>
      </c>
      <c r="F1260" s="42" t="s">
        <v>1486</v>
      </c>
      <c r="G1260" s="42" t="s">
        <v>1207</v>
      </c>
      <c r="H1260" s="43"/>
      <c r="I1260" s="43"/>
      <c r="J1260" s="43"/>
      <c r="K1260" s="43"/>
      <c r="L1260" s="43"/>
      <c r="M1260" s="43"/>
      <c r="N1260" s="43"/>
      <c r="O1260" s="43"/>
      <c r="P1260" s="43"/>
      <c r="Q1260" s="43"/>
      <c r="R1260" s="43"/>
      <c r="S1260" s="43"/>
      <c r="T1260" s="43"/>
      <c r="U1260" s="43"/>
      <c r="V1260" s="43"/>
    </row>
    <row r="1261" spans="1:22" ht="15.75" customHeight="1" x14ac:dyDescent="0.2">
      <c r="A1261" s="40">
        <v>425</v>
      </c>
      <c r="B1261" s="41" t="s">
        <v>672</v>
      </c>
      <c r="C1261" s="42" t="s">
        <v>1444</v>
      </c>
      <c r="D1261" s="42" t="s">
        <v>526</v>
      </c>
      <c r="E1261" s="42" t="s">
        <v>1492</v>
      </c>
      <c r="F1261" s="42" t="s">
        <v>1486</v>
      </c>
      <c r="G1261" s="42" t="s">
        <v>1207</v>
      </c>
      <c r="H1261" s="43"/>
      <c r="I1261" s="43"/>
      <c r="J1261" s="43"/>
      <c r="K1261" s="43"/>
      <c r="L1261" s="43"/>
      <c r="M1261" s="43"/>
      <c r="N1261" s="43"/>
      <c r="O1261" s="43"/>
      <c r="P1261" s="43"/>
      <c r="Q1261" s="43"/>
      <c r="R1261" s="43"/>
      <c r="S1261" s="43"/>
      <c r="T1261" s="43"/>
      <c r="U1261" s="43"/>
      <c r="V1261" s="43"/>
    </row>
    <row r="1262" spans="1:22" ht="15.75" customHeight="1" x14ac:dyDescent="0.2">
      <c r="A1262" s="40">
        <v>427</v>
      </c>
      <c r="B1262" s="41" t="s">
        <v>672</v>
      </c>
      <c r="C1262" s="42" t="s">
        <v>1493</v>
      </c>
      <c r="D1262" s="42" t="s">
        <v>345</v>
      </c>
      <c r="E1262" s="42" t="s">
        <v>787</v>
      </c>
      <c r="F1262" s="42" t="s">
        <v>1486</v>
      </c>
      <c r="G1262" s="42" t="s">
        <v>1207</v>
      </c>
      <c r="H1262" s="43"/>
      <c r="I1262" s="43"/>
      <c r="J1262" s="43"/>
      <c r="K1262" s="43"/>
      <c r="L1262" s="43"/>
      <c r="M1262" s="43"/>
      <c r="N1262" s="43"/>
      <c r="O1262" s="43"/>
      <c r="P1262" s="43"/>
      <c r="Q1262" s="43"/>
      <c r="R1262" s="43"/>
      <c r="S1262" s="43"/>
      <c r="T1262" s="43"/>
      <c r="U1262" s="43"/>
      <c r="V1262" s="43"/>
    </row>
    <row r="1263" spans="1:22" ht="15.75" customHeight="1" x14ac:dyDescent="0.2">
      <c r="A1263" s="40">
        <v>495</v>
      </c>
      <c r="B1263" s="41" t="s">
        <v>1339</v>
      </c>
      <c r="C1263" s="42" t="s">
        <v>1494</v>
      </c>
      <c r="D1263" s="42" t="s">
        <v>1495</v>
      </c>
      <c r="E1263" s="42" t="s">
        <v>1291</v>
      </c>
      <c r="F1263" s="42" t="s">
        <v>1486</v>
      </c>
      <c r="G1263" s="42" t="s">
        <v>1207</v>
      </c>
      <c r="H1263" s="43"/>
      <c r="I1263" s="43"/>
      <c r="J1263" s="43"/>
      <c r="K1263" s="43"/>
      <c r="L1263" s="43"/>
      <c r="M1263" s="43"/>
      <c r="N1263" s="43"/>
      <c r="O1263" s="43"/>
      <c r="P1263" s="43"/>
      <c r="Q1263" s="43"/>
      <c r="R1263" s="43"/>
      <c r="S1263" s="43"/>
      <c r="T1263" s="43"/>
      <c r="U1263" s="43"/>
      <c r="V1263" s="43"/>
    </row>
    <row r="1264" spans="1:22" ht="15.75" customHeight="1" x14ac:dyDescent="0.2">
      <c r="A1264" s="40">
        <v>525</v>
      </c>
      <c r="B1264" s="41" t="s">
        <v>678</v>
      </c>
      <c r="C1264" s="42" t="s">
        <v>1496</v>
      </c>
      <c r="D1264" s="42" t="s">
        <v>90</v>
      </c>
      <c r="E1264" s="42" t="s">
        <v>357</v>
      </c>
      <c r="F1264" s="42" t="s">
        <v>1486</v>
      </c>
      <c r="G1264" s="42" t="s">
        <v>1207</v>
      </c>
      <c r="H1264" s="43"/>
      <c r="I1264" s="43"/>
      <c r="J1264" s="43"/>
      <c r="K1264" s="43"/>
      <c r="L1264" s="43"/>
      <c r="M1264" s="43"/>
      <c r="N1264" s="43"/>
      <c r="O1264" s="43"/>
      <c r="P1264" s="43"/>
      <c r="Q1264" s="43"/>
      <c r="R1264" s="43"/>
      <c r="S1264" s="43"/>
      <c r="T1264" s="43"/>
      <c r="U1264" s="43"/>
      <c r="V1264" s="43"/>
    </row>
    <row r="1265" spans="1:22" ht="15.75" customHeight="1" x14ac:dyDescent="0.2">
      <c r="A1265" s="40">
        <v>659</v>
      </c>
      <c r="B1265" s="41" t="s">
        <v>252</v>
      </c>
      <c r="C1265" s="42" t="s">
        <v>1181</v>
      </c>
      <c r="D1265" s="42" t="s">
        <v>1497</v>
      </c>
      <c r="E1265" s="42" t="s">
        <v>314</v>
      </c>
      <c r="F1265" s="42" t="s">
        <v>1486</v>
      </c>
      <c r="G1265" s="42" t="s">
        <v>1207</v>
      </c>
      <c r="H1265" s="43"/>
      <c r="I1265" s="43"/>
      <c r="J1265" s="43"/>
      <c r="K1265" s="43"/>
      <c r="L1265" s="43"/>
      <c r="M1265" s="43"/>
      <c r="N1265" s="43"/>
      <c r="O1265" s="43"/>
      <c r="P1265" s="43"/>
      <c r="Q1265" s="43"/>
      <c r="R1265" s="43"/>
      <c r="S1265" s="43"/>
      <c r="T1265" s="43"/>
      <c r="U1265" s="43"/>
      <c r="V1265" s="43"/>
    </row>
    <row r="1266" spans="1:22" ht="15.75" customHeight="1" x14ac:dyDescent="0.2">
      <c r="A1266" s="40">
        <v>961</v>
      </c>
      <c r="B1266" s="41" t="s">
        <v>698</v>
      </c>
      <c r="C1266" s="42" t="s">
        <v>1498</v>
      </c>
      <c r="D1266" s="42" t="s">
        <v>104</v>
      </c>
      <c r="E1266" s="42" t="s">
        <v>1499</v>
      </c>
      <c r="F1266" s="42" t="s">
        <v>1486</v>
      </c>
      <c r="G1266" s="42" t="s">
        <v>1207</v>
      </c>
      <c r="H1266" s="43"/>
      <c r="I1266" s="43"/>
      <c r="J1266" s="43"/>
      <c r="K1266" s="43"/>
      <c r="L1266" s="43"/>
      <c r="M1266" s="43"/>
      <c r="N1266" s="43"/>
      <c r="O1266" s="43"/>
      <c r="P1266" s="43"/>
      <c r="Q1266" s="43"/>
      <c r="R1266" s="43"/>
      <c r="S1266" s="43"/>
      <c r="T1266" s="43"/>
      <c r="U1266" s="43"/>
      <c r="V1266" s="43"/>
    </row>
    <row r="1267" spans="1:22" ht="15.75" customHeight="1" x14ac:dyDescent="0.2">
      <c r="A1267" s="40">
        <v>963</v>
      </c>
      <c r="B1267" s="41" t="s">
        <v>698</v>
      </c>
      <c r="C1267" s="42" t="s">
        <v>1444</v>
      </c>
      <c r="D1267" s="42" t="s">
        <v>526</v>
      </c>
      <c r="E1267" s="42" t="s">
        <v>1492</v>
      </c>
      <c r="F1267" s="42" t="s">
        <v>1486</v>
      </c>
      <c r="G1267" s="42" t="s">
        <v>1207</v>
      </c>
      <c r="H1267" s="43"/>
      <c r="I1267" s="43"/>
      <c r="J1267" s="43"/>
      <c r="K1267" s="43"/>
      <c r="L1267" s="43"/>
      <c r="M1267" s="43"/>
      <c r="N1267" s="43"/>
      <c r="O1267" s="43"/>
      <c r="P1267" s="43"/>
      <c r="Q1267" s="43"/>
      <c r="R1267" s="43"/>
      <c r="S1267" s="43"/>
      <c r="T1267" s="43"/>
      <c r="U1267" s="43"/>
      <c r="V1267" s="43"/>
    </row>
    <row r="1268" spans="1:22" ht="15.75" customHeight="1" x14ac:dyDescent="0.2">
      <c r="A1268" s="40">
        <v>1035</v>
      </c>
      <c r="B1268" s="41" t="s">
        <v>464</v>
      </c>
      <c r="C1268" s="42" t="s">
        <v>1488</v>
      </c>
      <c r="D1268" s="42" t="s">
        <v>992</v>
      </c>
      <c r="E1268" s="42" t="s">
        <v>40</v>
      </c>
      <c r="F1268" s="42" t="s">
        <v>1486</v>
      </c>
      <c r="G1268" s="42" t="s">
        <v>1207</v>
      </c>
      <c r="H1268" s="43"/>
      <c r="I1268" s="43"/>
      <c r="J1268" s="43"/>
      <c r="K1268" s="43"/>
      <c r="L1268" s="43"/>
      <c r="M1268" s="43"/>
      <c r="N1268" s="43"/>
      <c r="O1268" s="43"/>
      <c r="P1268" s="43"/>
      <c r="Q1268" s="43"/>
      <c r="R1268" s="43"/>
      <c r="S1268" s="43"/>
      <c r="T1268" s="43"/>
      <c r="U1268" s="43"/>
      <c r="V1268" s="43"/>
    </row>
    <row r="1269" spans="1:22" ht="15.75" customHeight="1" x14ac:dyDescent="0.2">
      <c r="A1269" s="40">
        <v>1105</v>
      </c>
      <c r="B1269" s="41" t="s">
        <v>1344</v>
      </c>
      <c r="C1269" s="42" t="s">
        <v>1496</v>
      </c>
      <c r="D1269" s="42" t="s">
        <v>90</v>
      </c>
      <c r="E1269" s="42" t="s">
        <v>357</v>
      </c>
      <c r="F1269" s="42" t="s">
        <v>1486</v>
      </c>
      <c r="G1269" s="42" t="s">
        <v>1207</v>
      </c>
      <c r="H1269" s="43"/>
      <c r="I1269" s="43"/>
      <c r="J1269" s="43"/>
      <c r="K1269" s="43"/>
      <c r="L1269" s="43"/>
      <c r="M1269" s="43"/>
      <c r="N1269" s="43"/>
      <c r="O1269" s="43"/>
      <c r="P1269" s="43"/>
      <c r="Q1269" s="43"/>
      <c r="R1269" s="43"/>
      <c r="S1269" s="43"/>
      <c r="T1269" s="43"/>
      <c r="U1269" s="43"/>
      <c r="V1269" s="43"/>
    </row>
    <row r="1270" spans="1:22" ht="15.75" customHeight="1" x14ac:dyDescent="0.2">
      <c r="A1270" s="40">
        <v>1493</v>
      </c>
      <c r="B1270" s="41" t="s">
        <v>262</v>
      </c>
      <c r="C1270" s="42" t="s">
        <v>1181</v>
      </c>
      <c r="D1270" s="42" t="s">
        <v>1497</v>
      </c>
      <c r="E1270" s="42" t="s">
        <v>314</v>
      </c>
      <c r="F1270" s="42" t="s">
        <v>1486</v>
      </c>
      <c r="G1270" s="42" t="s">
        <v>1207</v>
      </c>
      <c r="H1270" s="43"/>
      <c r="I1270" s="43"/>
      <c r="J1270" s="43"/>
      <c r="K1270" s="43"/>
      <c r="L1270" s="43"/>
      <c r="M1270" s="43"/>
      <c r="N1270" s="43"/>
      <c r="O1270" s="43"/>
      <c r="P1270" s="43"/>
      <c r="Q1270" s="43"/>
      <c r="R1270" s="43"/>
      <c r="S1270" s="43"/>
      <c r="T1270" s="43"/>
      <c r="U1270" s="43"/>
      <c r="V1270" s="43"/>
    </row>
    <row r="1271" spans="1:22" ht="15.75" customHeight="1" x14ac:dyDescent="0.2">
      <c r="A1271" s="40">
        <v>1499</v>
      </c>
      <c r="B1271" s="41" t="s">
        <v>262</v>
      </c>
      <c r="C1271" s="42" t="s">
        <v>1500</v>
      </c>
      <c r="D1271" s="42" t="s">
        <v>133</v>
      </c>
      <c r="E1271" s="42" t="s">
        <v>259</v>
      </c>
      <c r="F1271" s="42" t="s">
        <v>1486</v>
      </c>
      <c r="G1271" s="42" t="s">
        <v>1207</v>
      </c>
      <c r="H1271" s="43"/>
      <c r="I1271" s="43"/>
      <c r="J1271" s="43"/>
      <c r="K1271" s="43"/>
      <c r="L1271" s="43"/>
      <c r="M1271" s="43"/>
      <c r="N1271" s="43"/>
      <c r="O1271" s="43"/>
      <c r="P1271" s="43"/>
      <c r="Q1271" s="43"/>
      <c r="R1271" s="43"/>
      <c r="S1271" s="43"/>
      <c r="T1271" s="43"/>
      <c r="U1271" s="43"/>
      <c r="V1271" s="43"/>
    </row>
    <row r="1272" spans="1:22" ht="15.75" customHeight="1" x14ac:dyDescent="0.2">
      <c r="A1272" s="40">
        <v>1543</v>
      </c>
      <c r="B1272" s="41" t="s">
        <v>377</v>
      </c>
      <c r="C1272" s="42" t="s">
        <v>1501</v>
      </c>
      <c r="D1272" s="42" t="s">
        <v>295</v>
      </c>
      <c r="E1272" s="42" t="s">
        <v>645</v>
      </c>
      <c r="F1272" s="42" t="s">
        <v>1486</v>
      </c>
      <c r="G1272" s="42" t="s">
        <v>1207</v>
      </c>
      <c r="H1272" s="43"/>
      <c r="I1272" s="43"/>
      <c r="J1272" s="43"/>
      <c r="K1272" s="43"/>
      <c r="L1272" s="43"/>
      <c r="M1272" s="43"/>
      <c r="N1272" s="43"/>
      <c r="O1272" s="43"/>
      <c r="P1272" s="43"/>
      <c r="Q1272" s="43"/>
      <c r="R1272" s="43"/>
      <c r="S1272" s="43"/>
      <c r="T1272" s="43"/>
      <c r="U1272" s="43"/>
      <c r="V1272" s="43"/>
    </row>
    <row r="1273" spans="1:22" ht="15.75" customHeight="1" x14ac:dyDescent="0.2">
      <c r="A1273" s="40">
        <v>1651</v>
      </c>
      <c r="B1273" s="41" t="s">
        <v>435</v>
      </c>
      <c r="C1273" s="42" t="s">
        <v>1491</v>
      </c>
      <c r="D1273" s="42" t="s">
        <v>39</v>
      </c>
      <c r="E1273" s="42" t="s">
        <v>650</v>
      </c>
      <c r="F1273" s="42" t="s">
        <v>1486</v>
      </c>
      <c r="G1273" s="42" t="s">
        <v>1207</v>
      </c>
      <c r="H1273" s="43"/>
      <c r="I1273" s="43"/>
      <c r="J1273" s="43"/>
      <c r="K1273" s="43"/>
      <c r="L1273" s="43"/>
      <c r="M1273" s="43"/>
      <c r="N1273" s="43"/>
      <c r="O1273" s="43"/>
      <c r="P1273" s="43"/>
      <c r="Q1273" s="43"/>
      <c r="R1273" s="43"/>
      <c r="S1273" s="43"/>
      <c r="T1273" s="43"/>
      <c r="U1273" s="43"/>
      <c r="V1273" s="43"/>
    </row>
    <row r="1274" spans="1:22" ht="15.75" customHeight="1" x14ac:dyDescent="0.2">
      <c r="A1274" s="40">
        <v>1755</v>
      </c>
      <c r="B1274" s="41" t="s">
        <v>459</v>
      </c>
      <c r="C1274" s="42" t="s">
        <v>1488</v>
      </c>
      <c r="D1274" s="42" t="s">
        <v>992</v>
      </c>
      <c r="E1274" s="42" t="s">
        <v>40</v>
      </c>
      <c r="F1274" s="42" t="s">
        <v>1486</v>
      </c>
      <c r="G1274" s="42" t="s">
        <v>1207</v>
      </c>
      <c r="H1274" s="43"/>
      <c r="I1274" s="43"/>
      <c r="J1274" s="43"/>
      <c r="K1274" s="43"/>
      <c r="L1274" s="43"/>
      <c r="M1274" s="43"/>
      <c r="N1274" s="43"/>
      <c r="O1274" s="43"/>
      <c r="P1274" s="43"/>
      <c r="Q1274" s="43"/>
      <c r="R1274" s="43"/>
      <c r="S1274" s="43"/>
      <c r="T1274" s="43"/>
      <c r="U1274" s="43"/>
      <c r="V1274" s="43"/>
    </row>
    <row r="1275" spans="1:22" ht="15.75" customHeight="1" x14ac:dyDescent="0.2">
      <c r="A1275" s="40">
        <v>1817</v>
      </c>
      <c r="B1275" s="41" t="s">
        <v>439</v>
      </c>
      <c r="C1275" s="42" t="s">
        <v>1496</v>
      </c>
      <c r="D1275" s="42" t="s">
        <v>90</v>
      </c>
      <c r="E1275" s="42" t="s">
        <v>357</v>
      </c>
      <c r="F1275" s="42" t="s">
        <v>1486</v>
      </c>
      <c r="G1275" s="42" t="s">
        <v>1207</v>
      </c>
      <c r="H1275" s="43"/>
      <c r="I1275" s="43"/>
      <c r="J1275" s="43"/>
      <c r="K1275" s="43"/>
      <c r="L1275" s="43"/>
      <c r="M1275" s="43"/>
      <c r="N1275" s="43"/>
      <c r="O1275" s="43"/>
      <c r="P1275" s="43"/>
      <c r="Q1275" s="43"/>
      <c r="R1275" s="43"/>
      <c r="S1275" s="43"/>
      <c r="T1275" s="43"/>
      <c r="U1275" s="43"/>
      <c r="V1275" s="43"/>
    </row>
    <row r="1276" spans="1:22" ht="15.75" customHeight="1" x14ac:dyDescent="0.2">
      <c r="A1276" s="40">
        <v>1921</v>
      </c>
      <c r="B1276" s="41" t="s">
        <v>278</v>
      </c>
      <c r="C1276" s="42" t="s">
        <v>1491</v>
      </c>
      <c r="D1276" s="42" t="s">
        <v>39</v>
      </c>
      <c r="E1276" s="42" t="s">
        <v>650</v>
      </c>
      <c r="F1276" s="42" t="s">
        <v>1486</v>
      </c>
      <c r="G1276" s="42" t="s">
        <v>1207</v>
      </c>
      <c r="H1276" s="43"/>
      <c r="I1276" s="43"/>
      <c r="J1276" s="43"/>
      <c r="K1276" s="43"/>
      <c r="L1276" s="43"/>
      <c r="M1276" s="43"/>
      <c r="N1276" s="43"/>
      <c r="O1276" s="43"/>
      <c r="P1276" s="43"/>
      <c r="Q1276" s="43"/>
      <c r="R1276" s="43"/>
      <c r="S1276" s="43"/>
      <c r="T1276" s="43"/>
      <c r="U1276" s="43"/>
      <c r="V1276" s="43"/>
    </row>
    <row r="1277" spans="1:22" ht="15.75" customHeight="1" x14ac:dyDescent="0.2">
      <c r="A1277" s="40">
        <v>1965</v>
      </c>
      <c r="B1277" s="41" t="s">
        <v>721</v>
      </c>
      <c r="C1277" s="42" t="s">
        <v>1500</v>
      </c>
      <c r="D1277" s="42" t="s">
        <v>133</v>
      </c>
      <c r="E1277" s="42" t="s">
        <v>259</v>
      </c>
      <c r="F1277" s="42" t="s">
        <v>1486</v>
      </c>
      <c r="G1277" s="42" t="s">
        <v>1207</v>
      </c>
      <c r="H1277" s="43"/>
      <c r="I1277" s="43"/>
      <c r="J1277" s="43"/>
      <c r="K1277" s="43"/>
      <c r="L1277" s="43"/>
      <c r="M1277" s="43"/>
      <c r="N1277" s="43"/>
      <c r="O1277" s="43"/>
      <c r="P1277" s="43"/>
      <c r="Q1277" s="43"/>
      <c r="R1277" s="43"/>
      <c r="S1277" s="43"/>
      <c r="T1277" s="43"/>
      <c r="U1277" s="43"/>
      <c r="V1277" s="43"/>
    </row>
    <row r="1278" spans="1:22" ht="15.75" customHeight="1" x14ac:dyDescent="0.2">
      <c r="A1278" s="40">
        <v>2059</v>
      </c>
      <c r="B1278" s="41" t="s">
        <v>653</v>
      </c>
      <c r="C1278" s="42" t="s">
        <v>1488</v>
      </c>
      <c r="D1278" s="42" t="s">
        <v>992</v>
      </c>
      <c r="E1278" s="42" t="s">
        <v>40</v>
      </c>
      <c r="F1278" s="42" t="s">
        <v>1486</v>
      </c>
      <c r="G1278" s="42" t="s">
        <v>1207</v>
      </c>
      <c r="H1278" s="43"/>
      <c r="I1278" s="43"/>
      <c r="J1278" s="43"/>
      <c r="K1278" s="43"/>
      <c r="L1278" s="43"/>
      <c r="M1278" s="43"/>
      <c r="N1278" s="43"/>
      <c r="O1278" s="43"/>
      <c r="P1278" s="43"/>
      <c r="Q1278" s="43"/>
      <c r="R1278" s="43"/>
      <c r="S1278" s="43"/>
      <c r="T1278" s="43"/>
      <c r="U1278" s="43"/>
      <c r="V1278" s="43"/>
    </row>
    <row r="1279" spans="1:22" ht="15.75" customHeight="1" x14ac:dyDescent="0.2">
      <c r="A1279" s="40">
        <v>2181</v>
      </c>
      <c r="B1279" s="41" t="s">
        <v>282</v>
      </c>
      <c r="C1279" s="42" t="s">
        <v>1491</v>
      </c>
      <c r="D1279" s="42" t="s">
        <v>39</v>
      </c>
      <c r="E1279" s="42" t="s">
        <v>650</v>
      </c>
      <c r="F1279" s="42" t="s">
        <v>1486</v>
      </c>
      <c r="G1279" s="42" t="s">
        <v>1207</v>
      </c>
      <c r="H1279" s="43"/>
      <c r="I1279" s="43"/>
      <c r="J1279" s="43"/>
      <c r="K1279" s="43"/>
      <c r="L1279" s="43"/>
      <c r="M1279" s="43"/>
      <c r="N1279" s="43"/>
      <c r="O1279" s="43"/>
      <c r="P1279" s="43"/>
      <c r="Q1279" s="43"/>
      <c r="R1279" s="43"/>
      <c r="S1279" s="43"/>
      <c r="T1279" s="43"/>
      <c r="U1279" s="43"/>
      <c r="V1279" s="43"/>
    </row>
    <row r="1280" spans="1:22" ht="15.75" customHeight="1" x14ac:dyDescent="0.2">
      <c r="A1280" s="40">
        <v>2267</v>
      </c>
      <c r="B1280" s="41" t="s">
        <v>283</v>
      </c>
      <c r="C1280" s="42" t="s">
        <v>1496</v>
      </c>
      <c r="D1280" s="42" t="s">
        <v>90</v>
      </c>
      <c r="E1280" s="42" t="s">
        <v>357</v>
      </c>
      <c r="F1280" s="42" t="s">
        <v>1486</v>
      </c>
      <c r="G1280" s="42" t="s">
        <v>1207</v>
      </c>
      <c r="H1280" s="43"/>
      <c r="I1280" s="43"/>
      <c r="J1280" s="43"/>
      <c r="K1280" s="43"/>
      <c r="L1280" s="43"/>
      <c r="M1280" s="43"/>
      <c r="N1280" s="43"/>
      <c r="O1280" s="43"/>
      <c r="P1280" s="43"/>
      <c r="Q1280" s="43"/>
      <c r="R1280" s="43"/>
      <c r="S1280" s="43"/>
      <c r="T1280" s="43"/>
      <c r="U1280" s="43"/>
      <c r="V1280" s="43"/>
    </row>
    <row r="1281" spans="1:22" ht="15.75" customHeight="1" x14ac:dyDescent="0.2">
      <c r="A1281" s="40">
        <v>2319</v>
      </c>
      <c r="B1281" s="41" t="s">
        <v>285</v>
      </c>
      <c r="C1281" s="42" t="s">
        <v>1501</v>
      </c>
      <c r="D1281" s="42" t="s">
        <v>295</v>
      </c>
      <c r="E1281" s="42" t="s">
        <v>645</v>
      </c>
      <c r="F1281" s="42" t="s">
        <v>1486</v>
      </c>
      <c r="G1281" s="42" t="s">
        <v>1207</v>
      </c>
      <c r="H1281" s="43"/>
      <c r="I1281" s="43"/>
      <c r="J1281" s="43"/>
      <c r="K1281" s="43"/>
      <c r="L1281" s="43"/>
      <c r="M1281" s="43"/>
      <c r="N1281" s="43"/>
      <c r="O1281" s="43"/>
      <c r="P1281" s="43"/>
      <c r="Q1281" s="43"/>
      <c r="R1281" s="43"/>
      <c r="S1281" s="43"/>
      <c r="T1281" s="43"/>
      <c r="U1281" s="43"/>
      <c r="V1281" s="43"/>
    </row>
    <row r="1282" spans="1:22" ht="15.75" customHeight="1" x14ac:dyDescent="0.2">
      <c r="A1282" s="40">
        <v>2323</v>
      </c>
      <c r="B1282" s="41" t="s">
        <v>285</v>
      </c>
      <c r="C1282" s="42" t="s">
        <v>1181</v>
      </c>
      <c r="D1282" s="42" t="s">
        <v>1497</v>
      </c>
      <c r="E1282" s="42" t="s">
        <v>314</v>
      </c>
      <c r="F1282" s="42" t="s">
        <v>1486</v>
      </c>
      <c r="G1282" s="42" t="s">
        <v>1207</v>
      </c>
      <c r="H1282" s="43"/>
      <c r="I1282" s="43"/>
      <c r="J1282" s="43"/>
      <c r="K1282" s="43"/>
      <c r="L1282" s="43"/>
      <c r="M1282" s="43"/>
      <c r="N1282" s="43"/>
      <c r="O1282" s="43"/>
      <c r="P1282" s="43"/>
      <c r="Q1282" s="43"/>
      <c r="R1282" s="43"/>
      <c r="S1282" s="43"/>
      <c r="T1282" s="43"/>
      <c r="U1282" s="43"/>
      <c r="V1282" s="43"/>
    </row>
    <row r="1283" spans="1:22" ht="15.75" customHeight="1" x14ac:dyDescent="0.2">
      <c r="A1283" s="40">
        <v>2509</v>
      </c>
      <c r="B1283" s="41" t="s">
        <v>434</v>
      </c>
      <c r="C1283" s="42" t="s">
        <v>1494</v>
      </c>
      <c r="D1283" s="42" t="s">
        <v>1495</v>
      </c>
      <c r="E1283" s="42" t="s">
        <v>1291</v>
      </c>
      <c r="F1283" s="42" t="s">
        <v>1486</v>
      </c>
      <c r="G1283" s="42" t="s">
        <v>1207</v>
      </c>
      <c r="H1283" s="43"/>
      <c r="I1283" s="43"/>
      <c r="J1283" s="43"/>
      <c r="K1283" s="43"/>
      <c r="L1283" s="43"/>
      <c r="M1283" s="43"/>
      <c r="N1283" s="43"/>
      <c r="O1283" s="43"/>
      <c r="P1283" s="43"/>
      <c r="Q1283" s="43"/>
      <c r="R1283" s="43"/>
      <c r="S1283" s="43"/>
      <c r="T1283" s="43"/>
      <c r="U1283" s="43"/>
      <c r="V1283" s="43"/>
    </row>
    <row r="1284" spans="1:22" ht="15.75" customHeight="1" x14ac:dyDescent="0.2">
      <c r="A1284" s="40">
        <v>2711</v>
      </c>
      <c r="B1284" s="41" t="s">
        <v>703</v>
      </c>
      <c r="C1284" s="42" t="s">
        <v>1501</v>
      </c>
      <c r="D1284" s="42" t="s">
        <v>295</v>
      </c>
      <c r="E1284" s="42" t="s">
        <v>645</v>
      </c>
      <c r="F1284" s="42" t="s">
        <v>1486</v>
      </c>
      <c r="G1284" s="42" t="s">
        <v>1207</v>
      </c>
      <c r="H1284" s="43"/>
      <c r="I1284" s="43"/>
      <c r="J1284" s="43"/>
      <c r="K1284" s="43"/>
      <c r="L1284" s="43"/>
      <c r="M1284" s="43"/>
      <c r="N1284" s="43"/>
      <c r="O1284" s="43"/>
      <c r="P1284" s="43"/>
      <c r="Q1284" s="43"/>
      <c r="R1284" s="43"/>
      <c r="S1284" s="43"/>
      <c r="T1284" s="43"/>
      <c r="U1284" s="43"/>
      <c r="V1284" s="43"/>
    </row>
    <row r="1285" spans="1:22" ht="15.75" customHeight="1" x14ac:dyDescent="0.2">
      <c r="A1285" s="40">
        <v>2715</v>
      </c>
      <c r="B1285" s="41" t="s">
        <v>703</v>
      </c>
      <c r="C1285" s="42" t="s">
        <v>1500</v>
      </c>
      <c r="D1285" s="42" t="s">
        <v>133</v>
      </c>
      <c r="E1285" s="42" t="s">
        <v>259</v>
      </c>
      <c r="F1285" s="42" t="s">
        <v>1486</v>
      </c>
      <c r="G1285" s="42" t="s">
        <v>1207</v>
      </c>
      <c r="H1285" s="43"/>
      <c r="I1285" s="43"/>
      <c r="J1285" s="43"/>
      <c r="K1285" s="43"/>
      <c r="L1285" s="43"/>
      <c r="M1285" s="43"/>
      <c r="N1285" s="43"/>
      <c r="O1285" s="43"/>
      <c r="P1285" s="43"/>
      <c r="Q1285" s="43"/>
      <c r="R1285" s="43"/>
      <c r="S1285" s="43"/>
      <c r="T1285" s="43"/>
      <c r="U1285" s="43"/>
      <c r="V1285" s="43"/>
    </row>
    <row r="1286" spans="1:22" ht="15.75" customHeight="1" x14ac:dyDescent="0.2">
      <c r="A1286" s="40">
        <v>2735</v>
      </c>
      <c r="B1286" s="41" t="s">
        <v>944</v>
      </c>
      <c r="C1286" s="42" t="s">
        <v>1484</v>
      </c>
      <c r="D1286" s="42" t="s">
        <v>31</v>
      </c>
      <c r="E1286" s="42" t="s">
        <v>1485</v>
      </c>
      <c r="F1286" s="42" t="s">
        <v>1486</v>
      </c>
      <c r="G1286" s="42" t="s">
        <v>1207</v>
      </c>
      <c r="H1286" s="43"/>
      <c r="I1286" s="43"/>
      <c r="J1286" s="43"/>
      <c r="K1286" s="43"/>
      <c r="L1286" s="43"/>
      <c r="M1286" s="43"/>
      <c r="N1286" s="43"/>
      <c r="O1286" s="43"/>
      <c r="P1286" s="43"/>
      <c r="Q1286" s="43"/>
      <c r="R1286" s="43"/>
      <c r="S1286" s="43"/>
      <c r="T1286" s="43"/>
      <c r="U1286" s="43"/>
      <c r="V1286" s="43"/>
    </row>
    <row r="1287" spans="1:22" ht="15.75" customHeight="1" x14ac:dyDescent="0.2">
      <c r="A1287" s="40">
        <v>2809</v>
      </c>
      <c r="B1287" s="41" t="s">
        <v>1348</v>
      </c>
      <c r="C1287" s="42" t="s">
        <v>1498</v>
      </c>
      <c r="D1287" s="42" t="s">
        <v>104</v>
      </c>
      <c r="E1287" s="42" t="s">
        <v>1499</v>
      </c>
      <c r="F1287" s="42" t="s">
        <v>1486</v>
      </c>
      <c r="G1287" s="42" t="s">
        <v>1207</v>
      </c>
      <c r="H1287" s="43"/>
      <c r="I1287" s="43"/>
      <c r="J1287" s="43"/>
      <c r="K1287" s="43"/>
      <c r="L1287" s="43"/>
      <c r="M1287" s="43"/>
      <c r="N1287" s="43"/>
      <c r="O1287" s="43"/>
      <c r="P1287" s="43"/>
      <c r="Q1287" s="43"/>
      <c r="R1287" s="43"/>
      <c r="S1287" s="43"/>
      <c r="T1287" s="43"/>
      <c r="U1287" s="43"/>
      <c r="V1287" s="43"/>
    </row>
    <row r="1288" spans="1:22" ht="15.75" customHeight="1" x14ac:dyDescent="0.2">
      <c r="A1288" s="40">
        <v>2941</v>
      </c>
      <c r="B1288" s="41" t="s">
        <v>1270</v>
      </c>
      <c r="C1288" s="42" t="s">
        <v>1487</v>
      </c>
      <c r="D1288" s="42" t="s">
        <v>73</v>
      </c>
      <c r="E1288" s="42" t="s">
        <v>87</v>
      </c>
      <c r="F1288" s="42" t="s">
        <v>1486</v>
      </c>
      <c r="G1288" s="42" t="s">
        <v>1207</v>
      </c>
      <c r="H1288" s="43"/>
      <c r="I1288" s="43"/>
      <c r="J1288" s="43"/>
      <c r="K1288" s="43"/>
      <c r="L1288" s="43"/>
      <c r="M1288" s="43"/>
      <c r="N1288" s="43"/>
      <c r="O1288" s="43"/>
      <c r="P1288" s="43"/>
      <c r="Q1288" s="43"/>
      <c r="R1288" s="43"/>
      <c r="S1288" s="43"/>
      <c r="T1288" s="43"/>
      <c r="U1288" s="43"/>
      <c r="V1288" s="43"/>
    </row>
    <row r="1289" spans="1:22" ht="15.75" customHeight="1" x14ac:dyDescent="0.2">
      <c r="A1289" s="40"/>
      <c r="B1289" s="45" t="s">
        <v>316</v>
      </c>
      <c r="C1289" s="46" t="s">
        <v>1502</v>
      </c>
      <c r="D1289" s="46" t="s">
        <v>593</v>
      </c>
      <c r="E1289" s="46" t="s">
        <v>596</v>
      </c>
      <c r="F1289" s="46" t="s">
        <v>1486</v>
      </c>
      <c r="G1289" s="46" t="s">
        <v>1207</v>
      </c>
    </row>
    <row r="1290" spans="1:22" ht="15.75" customHeight="1" x14ac:dyDescent="0.2">
      <c r="A1290" s="40"/>
      <c r="B1290" s="45" t="s">
        <v>102</v>
      </c>
      <c r="C1290" s="46" t="s">
        <v>1502</v>
      </c>
      <c r="D1290" s="46" t="s">
        <v>593</v>
      </c>
      <c r="E1290" s="46" t="s">
        <v>596</v>
      </c>
      <c r="F1290" s="46" t="s">
        <v>1486</v>
      </c>
      <c r="G1290" s="46" t="s">
        <v>1207</v>
      </c>
    </row>
    <row r="1291" spans="1:22" ht="15.75" customHeight="1" x14ac:dyDescent="0.2">
      <c r="A1291" s="40"/>
      <c r="B1291" s="45" t="s">
        <v>315</v>
      </c>
      <c r="C1291" s="46" t="s">
        <v>1503</v>
      </c>
      <c r="D1291" s="46" t="s">
        <v>1418</v>
      </c>
      <c r="E1291" s="46" t="s">
        <v>1504</v>
      </c>
      <c r="F1291" s="46" t="s">
        <v>1486</v>
      </c>
      <c r="G1291" s="46" t="s">
        <v>1207</v>
      </c>
    </row>
    <row r="1292" spans="1:22" ht="15.75" customHeight="1" x14ac:dyDescent="0.2">
      <c r="A1292" s="40"/>
      <c r="B1292" s="45" t="s">
        <v>323</v>
      </c>
      <c r="C1292" s="46" t="s">
        <v>1503</v>
      </c>
      <c r="D1292" s="46" t="s">
        <v>1418</v>
      </c>
      <c r="E1292" s="46" t="s">
        <v>1504</v>
      </c>
      <c r="F1292" s="46" t="s">
        <v>1486</v>
      </c>
      <c r="G1292" s="46" t="s">
        <v>1207</v>
      </c>
    </row>
    <row r="1293" spans="1:22" ht="15.75" customHeight="1" x14ac:dyDescent="0.2">
      <c r="A1293" s="40"/>
      <c r="B1293" s="45" t="s">
        <v>94</v>
      </c>
      <c r="C1293" s="46" t="s">
        <v>1503</v>
      </c>
      <c r="D1293" s="46" t="s">
        <v>1418</v>
      </c>
      <c r="E1293" s="46" t="s">
        <v>1504</v>
      </c>
      <c r="F1293" s="46" t="s">
        <v>1486</v>
      </c>
      <c r="G1293" s="46" t="s">
        <v>1207</v>
      </c>
    </row>
    <row r="1294" spans="1:22" ht="15.75" customHeight="1" x14ac:dyDescent="0.2">
      <c r="A1294" s="40"/>
      <c r="B1294" s="45" t="s">
        <v>88</v>
      </c>
      <c r="C1294" s="46" t="s">
        <v>1505</v>
      </c>
      <c r="D1294" s="46" t="s">
        <v>1363</v>
      </c>
      <c r="E1294" s="46" t="s">
        <v>348</v>
      </c>
      <c r="F1294" s="46" t="s">
        <v>1506</v>
      </c>
      <c r="G1294" s="46" t="s">
        <v>1207</v>
      </c>
      <c r="H1294" s="43"/>
      <c r="I1294" s="43"/>
      <c r="J1294" s="43"/>
      <c r="K1294" s="43"/>
      <c r="L1294" s="43"/>
      <c r="M1294" s="43"/>
      <c r="N1294" s="43"/>
      <c r="O1294" s="43"/>
      <c r="P1294" s="43"/>
      <c r="Q1294" s="43"/>
      <c r="R1294" s="43"/>
      <c r="S1294" s="43"/>
      <c r="T1294" s="43"/>
      <c r="U1294" s="43"/>
      <c r="V1294" s="43"/>
    </row>
    <row r="1295" spans="1:22" ht="15.75" customHeight="1" x14ac:dyDescent="0.2">
      <c r="A1295" s="40"/>
      <c r="B1295" s="45" t="s">
        <v>88</v>
      </c>
      <c r="C1295" s="46" t="s">
        <v>1507</v>
      </c>
      <c r="D1295" s="46" t="s">
        <v>124</v>
      </c>
      <c r="E1295" s="46" t="s">
        <v>65</v>
      </c>
      <c r="F1295" s="46" t="s">
        <v>1506</v>
      </c>
      <c r="G1295" s="46" t="s">
        <v>1207</v>
      </c>
      <c r="H1295" s="43"/>
      <c r="I1295" s="43"/>
      <c r="J1295" s="43"/>
      <c r="K1295" s="43"/>
      <c r="L1295" s="43"/>
      <c r="M1295" s="43"/>
      <c r="N1295" s="43"/>
      <c r="O1295" s="43"/>
      <c r="P1295" s="43"/>
      <c r="Q1295" s="43"/>
      <c r="R1295" s="43"/>
      <c r="S1295" s="43"/>
      <c r="T1295" s="43"/>
      <c r="U1295" s="43"/>
      <c r="V1295" s="43"/>
    </row>
    <row r="1296" spans="1:22" ht="15.75" customHeight="1" x14ac:dyDescent="0.2">
      <c r="A1296" s="40">
        <v>693</v>
      </c>
      <c r="B1296" s="41" t="s">
        <v>1508</v>
      </c>
      <c r="C1296" s="42" t="s">
        <v>1509</v>
      </c>
      <c r="D1296" s="42" t="s">
        <v>1510</v>
      </c>
      <c r="E1296" s="42" t="s">
        <v>876</v>
      </c>
      <c r="F1296" s="42" t="s">
        <v>1511</v>
      </c>
      <c r="G1296" s="42" t="s">
        <v>1207</v>
      </c>
      <c r="H1296" s="43"/>
      <c r="I1296" s="43"/>
      <c r="J1296" s="43"/>
      <c r="K1296" s="43"/>
      <c r="L1296" s="43"/>
      <c r="M1296" s="43"/>
      <c r="N1296" s="43"/>
      <c r="O1296" s="43"/>
      <c r="P1296" s="43"/>
      <c r="Q1296" s="43"/>
      <c r="R1296" s="43"/>
      <c r="S1296" s="43"/>
      <c r="T1296" s="43"/>
      <c r="U1296" s="43"/>
      <c r="V1296" s="43"/>
    </row>
    <row r="1297" spans="1:22" ht="15.75" customHeight="1" x14ac:dyDescent="0.2">
      <c r="A1297" s="40">
        <v>2617</v>
      </c>
      <c r="B1297" s="41" t="s">
        <v>1512</v>
      </c>
      <c r="C1297" s="42" t="s">
        <v>1513</v>
      </c>
      <c r="D1297" s="42" t="s">
        <v>1514</v>
      </c>
      <c r="E1297" s="42" t="s">
        <v>1515</v>
      </c>
      <c r="F1297" s="42" t="s">
        <v>1511</v>
      </c>
      <c r="G1297" s="42" t="s">
        <v>1207</v>
      </c>
      <c r="H1297" s="43"/>
      <c r="I1297" s="43"/>
      <c r="J1297" s="43"/>
      <c r="K1297" s="43"/>
      <c r="L1297" s="43"/>
      <c r="M1297" s="43"/>
      <c r="N1297" s="43"/>
      <c r="O1297" s="43"/>
      <c r="P1297" s="43"/>
      <c r="Q1297" s="43"/>
      <c r="R1297" s="43"/>
      <c r="S1297" s="43"/>
      <c r="T1297" s="43"/>
      <c r="U1297" s="43"/>
      <c r="V1297" s="43"/>
    </row>
    <row r="1298" spans="1:22" ht="15.75" customHeight="1" x14ac:dyDescent="0.2">
      <c r="A1298" s="40">
        <v>2605</v>
      </c>
      <c r="B1298" s="41" t="s">
        <v>1420</v>
      </c>
      <c r="C1298" s="42" t="s">
        <v>1516</v>
      </c>
      <c r="D1298" s="42" t="s">
        <v>516</v>
      </c>
      <c r="E1298" s="42" t="s">
        <v>397</v>
      </c>
      <c r="F1298" s="42" t="s">
        <v>1511</v>
      </c>
      <c r="G1298" s="42" t="s">
        <v>1207</v>
      </c>
      <c r="H1298" s="43"/>
      <c r="I1298" s="43"/>
      <c r="J1298" s="43"/>
      <c r="K1298" s="43"/>
      <c r="L1298" s="43"/>
      <c r="M1298" s="43"/>
      <c r="N1298" s="43"/>
      <c r="O1298" s="43"/>
      <c r="P1298" s="43"/>
      <c r="Q1298" s="43"/>
      <c r="R1298" s="43"/>
      <c r="S1298" s="43"/>
      <c r="T1298" s="43"/>
      <c r="U1298" s="43"/>
      <c r="V1298" s="43"/>
    </row>
    <row r="1299" spans="1:22" ht="15.75" customHeight="1" x14ac:dyDescent="0.2">
      <c r="A1299" s="40">
        <v>2615</v>
      </c>
      <c r="B1299" s="41" t="s">
        <v>1512</v>
      </c>
      <c r="C1299" s="42" t="s">
        <v>1517</v>
      </c>
      <c r="D1299" s="42" t="s">
        <v>1518</v>
      </c>
      <c r="E1299" s="42" t="s">
        <v>1519</v>
      </c>
      <c r="F1299" s="42" t="s">
        <v>1511</v>
      </c>
      <c r="G1299" s="42" t="s">
        <v>1207</v>
      </c>
      <c r="H1299" s="43"/>
      <c r="I1299" s="43"/>
      <c r="J1299" s="43"/>
      <c r="K1299" s="43"/>
      <c r="L1299" s="43"/>
      <c r="M1299" s="43"/>
      <c r="N1299" s="43"/>
      <c r="O1299" s="43"/>
      <c r="P1299" s="43"/>
      <c r="Q1299" s="43"/>
      <c r="R1299" s="43"/>
      <c r="S1299" s="43"/>
      <c r="T1299" s="43"/>
      <c r="U1299" s="43"/>
      <c r="V1299" s="43"/>
    </row>
    <row r="1300" spans="1:22" ht="15.75" customHeight="1" x14ac:dyDescent="0.2">
      <c r="A1300" s="40">
        <v>2607</v>
      </c>
      <c r="B1300" s="41" t="s">
        <v>1420</v>
      </c>
      <c r="C1300" s="42" t="s">
        <v>1520</v>
      </c>
      <c r="D1300" s="42" t="s">
        <v>1234</v>
      </c>
      <c r="E1300" s="42" t="s">
        <v>1284</v>
      </c>
      <c r="F1300" s="42" t="s">
        <v>1511</v>
      </c>
      <c r="G1300" s="42" t="s">
        <v>1207</v>
      </c>
      <c r="H1300" s="43"/>
      <c r="I1300" s="43"/>
      <c r="J1300" s="43"/>
      <c r="K1300" s="43"/>
      <c r="L1300" s="43"/>
      <c r="M1300" s="43"/>
      <c r="N1300" s="43"/>
      <c r="O1300" s="43"/>
      <c r="P1300" s="43"/>
      <c r="Q1300" s="43"/>
      <c r="R1300" s="43"/>
      <c r="S1300" s="43"/>
      <c r="T1300" s="43"/>
      <c r="U1300" s="43"/>
      <c r="V1300" s="43"/>
    </row>
    <row r="1301" spans="1:22" ht="15.75" customHeight="1" x14ac:dyDescent="0.2">
      <c r="A1301" s="40">
        <v>709</v>
      </c>
      <c r="B1301" s="41" t="s">
        <v>685</v>
      </c>
      <c r="C1301" s="42" t="s">
        <v>712</v>
      </c>
      <c r="D1301" s="42" t="s">
        <v>295</v>
      </c>
      <c r="E1301" s="42" t="s">
        <v>639</v>
      </c>
      <c r="F1301" s="42" t="s">
        <v>1511</v>
      </c>
      <c r="G1301" s="42" t="s">
        <v>1207</v>
      </c>
      <c r="H1301" s="43"/>
      <c r="I1301" s="43"/>
      <c r="J1301" s="43"/>
      <c r="K1301" s="43"/>
      <c r="L1301" s="43"/>
      <c r="M1301" s="43"/>
      <c r="N1301" s="43"/>
      <c r="O1301" s="43"/>
      <c r="P1301" s="43"/>
      <c r="Q1301" s="43"/>
      <c r="R1301" s="43"/>
      <c r="S1301" s="43"/>
      <c r="T1301" s="43"/>
      <c r="U1301" s="43"/>
      <c r="V1301" s="43"/>
    </row>
    <row r="1302" spans="1:22" ht="15.75" customHeight="1" x14ac:dyDescent="0.2">
      <c r="A1302" s="40">
        <v>721</v>
      </c>
      <c r="B1302" s="41" t="s">
        <v>1407</v>
      </c>
      <c r="C1302" s="42" t="s">
        <v>1521</v>
      </c>
      <c r="D1302" s="42" t="s">
        <v>388</v>
      </c>
      <c r="E1302" s="42" t="s">
        <v>743</v>
      </c>
      <c r="F1302" s="42" t="s">
        <v>1511</v>
      </c>
      <c r="G1302" s="42" t="s">
        <v>1207</v>
      </c>
      <c r="H1302" s="43"/>
      <c r="I1302" s="43"/>
      <c r="J1302" s="43"/>
      <c r="K1302" s="43"/>
      <c r="L1302" s="43"/>
      <c r="M1302" s="43"/>
      <c r="N1302" s="43"/>
      <c r="O1302" s="43"/>
      <c r="P1302" s="43"/>
      <c r="Q1302" s="43"/>
      <c r="R1302" s="43"/>
      <c r="S1302" s="43"/>
      <c r="T1302" s="43"/>
      <c r="U1302" s="43"/>
      <c r="V1302" s="43"/>
    </row>
    <row r="1303" spans="1:22" ht="15.75" customHeight="1" x14ac:dyDescent="0.2">
      <c r="A1303" s="40">
        <v>723</v>
      </c>
      <c r="B1303" s="41" t="s">
        <v>1407</v>
      </c>
      <c r="C1303" s="42" t="s">
        <v>1498</v>
      </c>
      <c r="D1303" s="42" t="s">
        <v>1522</v>
      </c>
      <c r="E1303" s="42" t="s">
        <v>836</v>
      </c>
      <c r="F1303" s="42" t="s">
        <v>1511</v>
      </c>
      <c r="G1303" s="42" t="s">
        <v>1207</v>
      </c>
      <c r="H1303" s="43"/>
      <c r="I1303" s="43"/>
      <c r="J1303" s="43"/>
      <c r="K1303" s="43"/>
      <c r="L1303" s="43"/>
      <c r="M1303" s="43"/>
      <c r="N1303" s="43"/>
      <c r="O1303" s="43"/>
      <c r="P1303" s="43"/>
      <c r="Q1303" s="43"/>
      <c r="R1303" s="43"/>
      <c r="S1303" s="43"/>
      <c r="T1303" s="43"/>
      <c r="U1303" s="43"/>
      <c r="V1303" s="43"/>
    </row>
    <row r="1304" spans="1:22" ht="15.75" customHeight="1" x14ac:dyDescent="0.2">
      <c r="A1304" s="40">
        <v>2609</v>
      </c>
      <c r="B1304" s="41" t="s">
        <v>1420</v>
      </c>
      <c r="C1304" s="42" t="s">
        <v>1523</v>
      </c>
      <c r="D1304" s="42" t="s">
        <v>1283</v>
      </c>
      <c r="E1304" s="42" t="s">
        <v>302</v>
      </c>
      <c r="F1304" s="42" t="s">
        <v>1511</v>
      </c>
      <c r="G1304" s="42" t="s">
        <v>1207</v>
      </c>
      <c r="H1304" s="43"/>
      <c r="I1304" s="43"/>
      <c r="J1304" s="43"/>
      <c r="K1304" s="43"/>
      <c r="L1304" s="43"/>
      <c r="M1304" s="43"/>
      <c r="N1304" s="43"/>
      <c r="O1304" s="43"/>
      <c r="P1304" s="43"/>
      <c r="Q1304" s="43"/>
      <c r="R1304" s="43"/>
      <c r="S1304" s="43"/>
      <c r="T1304" s="43"/>
      <c r="U1304" s="43"/>
      <c r="V1304" s="43"/>
    </row>
    <row r="1305" spans="1:22" ht="15.75" customHeight="1" x14ac:dyDescent="0.2">
      <c r="A1305" s="40">
        <v>2613</v>
      </c>
      <c r="B1305" s="41" t="s">
        <v>1512</v>
      </c>
      <c r="C1305" s="42" t="s">
        <v>1524</v>
      </c>
      <c r="D1305" s="42" t="s">
        <v>1157</v>
      </c>
      <c r="E1305" s="42" t="s">
        <v>259</v>
      </c>
      <c r="F1305" s="42" t="s">
        <v>1511</v>
      </c>
      <c r="G1305" s="42" t="s">
        <v>1207</v>
      </c>
      <c r="H1305" s="43"/>
      <c r="I1305" s="43"/>
      <c r="J1305" s="43"/>
      <c r="K1305" s="43"/>
      <c r="L1305" s="43"/>
      <c r="M1305" s="43"/>
      <c r="N1305" s="43"/>
      <c r="O1305" s="43"/>
      <c r="P1305" s="43"/>
      <c r="Q1305" s="43"/>
      <c r="R1305" s="43"/>
      <c r="S1305" s="43"/>
      <c r="T1305" s="43"/>
      <c r="U1305" s="43"/>
      <c r="V1305" s="43"/>
    </row>
    <row r="1306" spans="1:22" ht="15.75" customHeight="1" x14ac:dyDescent="0.2">
      <c r="A1306" s="40">
        <v>33</v>
      </c>
      <c r="B1306" s="41" t="s">
        <v>939</v>
      </c>
      <c r="C1306" s="42" t="s">
        <v>1525</v>
      </c>
      <c r="D1306" s="42" t="s">
        <v>58</v>
      </c>
      <c r="E1306" s="42" t="s">
        <v>393</v>
      </c>
      <c r="F1306" s="42" t="s">
        <v>1526</v>
      </c>
      <c r="G1306" s="42" t="s">
        <v>1207</v>
      </c>
      <c r="H1306" s="43"/>
      <c r="I1306" s="43"/>
      <c r="J1306" s="43"/>
      <c r="K1306" s="43"/>
      <c r="L1306" s="43"/>
      <c r="M1306" s="43"/>
      <c r="N1306" s="43"/>
      <c r="O1306" s="43"/>
      <c r="P1306" s="43"/>
      <c r="Q1306" s="43"/>
      <c r="R1306" s="43"/>
      <c r="S1306" s="43"/>
      <c r="T1306" s="43"/>
      <c r="U1306" s="43"/>
      <c r="V1306" s="43"/>
    </row>
    <row r="1307" spans="1:22" ht="15.75" customHeight="1" x14ac:dyDescent="0.2">
      <c r="A1307" s="40">
        <v>69</v>
      </c>
      <c r="B1307" s="41" t="s">
        <v>1301</v>
      </c>
      <c r="C1307" s="42" t="s">
        <v>1527</v>
      </c>
      <c r="D1307" s="42" t="s">
        <v>861</v>
      </c>
      <c r="E1307" s="42" t="s">
        <v>777</v>
      </c>
      <c r="F1307" s="42" t="s">
        <v>1526</v>
      </c>
      <c r="G1307" s="42" t="s">
        <v>1207</v>
      </c>
      <c r="H1307" s="43"/>
      <c r="I1307" s="43"/>
      <c r="J1307" s="43"/>
      <c r="K1307" s="43"/>
      <c r="L1307" s="43"/>
      <c r="M1307" s="43"/>
      <c r="N1307" s="43"/>
      <c r="O1307" s="43"/>
      <c r="P1307" s="43"/>
      <c r="Q1307" s="43"/>
      <c r="R1307" s="43"/>
      <c r="S1307" s="43"/>
      <c r="T1307" s="43"/>
      <c r="U1307" s="43"/>
      <c r="V1307" s="43"/>
    </row>
    <row r="1308" spans="1:22" ht="15.75" customHeight="1" x14ac:dyDescent="0.2">
      <c r="A1308" s="40">
        <v>183</v>
      </c>
      <c r="B1308" s="41" t="s">
        <v>549</v>
      </c>
      <c r="C1308" s="42" t="s">
        <v>1528</v>
      </c>
      <c r="D1308" s="42" t="s">
        <v>128</v>
      </c>
      <c r="E1308" s="42" t="s">
        <v>1217</v>
      </c>
      <c r="F1308" s="42" t="s">
        <v>1526</v>
      </c>
      <c r="G1308" s="42" t="s">
        <v>1207</v>
      </c>
      <c r="H1308" s="43"/>
      <c r="I1308" s="43"/>
      <c r="J1308" s="43"/>
      <c r="K1308" s="43"/>
      <c r="L1308" s="43"/>
      <c r="M1308" s="43"/>
      <c r="N1308" s="43"/>
      <c r="O1308" s="43"/>
      <c r="P1308" s="43"/>
      <c r="Q1308" s="43"/>
      <c r="R1308" s="43"/>
      <c r="S1308" s="43"/>
      <c r="T1308" s="43"/>
      <c r="U1308" s="43"/>
      <c r="V1308" s="43"/>
    </row>
    <row r="1309" spans="1:22" ht="15.75" customHeight="1" x14ac:dyDescent="0.2">
      <c r="A1309" s="40">
        <v>307</v>
      </c>
      <c r="B1309" s="41" t="s">
        <v>552</v>
      </c>
      <c r="C1309" s="42" t="s">
        <v>1529</v>
      </c>
      <c r="D1309" s="42" t="s">
        <v>51</v>
      </c>
      <c r="E1309" s="42" t="s">
        <v>1530</v>
      </c>
      <c r="F1309" s="42" t="s">
        <v>1526</v>
      </c>
      <c r="G1309" s="42" t="s">
        <v>1207</v>
      </c>
      <c r="H1309" s="43"/>
      <c r="I1309" s="43"/>
      <c r="J1309" s="43"/>
      <c r="K1309" s="43"/>
      <c r="L1309" s="43"/>
      <c r="M1309" s="43"/>
      <c r="N1309" s="43"/>
      <c r="O1309" s="43"/>
      <c r="P1309" s="43"/>
      <c r="Q1309" s="43"/>
      <c r="R1309" s="43"/>
      <c r="S1309" s="43"/>
      <c r="T1309" s="43"/>
      <c r="U1309" s="43"/>
      <c r="V1309" s="43"/>
    </row>
    <row r="1310" spans="1:22" ht="15.75" customHeight="1" x14ac:dyDescent="0.2">
      <c r="A1310" s="40">
        <v>905</v>
      </c>
      <c r="B1310" s="41" t="s">
        <v>694</v>
      </c>
      <c r="C1310" s="42" t="s">
        <v>1531</v>
      </c>
      <c r="D1310" s="42" t="s">
        <v>39</v>
      </c>
      <c r="E1310" s="42" t="s">
        <v>87</v>
      </c>
      <c r="F1310" s="42" t="s">
        <v>1526</v>
      </c>
      <c r="G1310" s="42" t="s">
        <v>1207</v>
      </c>
      <c r="H1310" s="43"/>
      <c r="I1310" s="43"/>
      <c r="J1310" s="43"/>
      <c r="K1310" s="43"/>
      <c r="L1310" s="43"/>
      <c r="M1310" s="43"/>
      <c r="N1310" s="43"/>
      <c r="O1310" s="43"/>
      <c r="P1310" s="43"/>
      <c r="Q1310" s="43"/>
      <c r="R1310" s="43"/>
      <c r="S1310" s="43"/>
      <c r="T1310" s="43"/>
      <c r="U1310" s="43"/>
      <c r="V1310" s="43"/>
    </row>
    <row r="1311" spans="1:22" ht="15.75" customHeight="1" x14ac:dyDescent="0.2">
      <c r="A1311" s="40">
        <v>2545</v>
      </c>
      <c r="B1311" s="41" t="s">
        <v>1247</v>
      </c>
      <c r="C1311" s="42" t="s">
        <v>1532</v>
      </c>
      <c r="D1311" s="42" t="s">
        <v>31</v>
      </c>
      <c r="E1311" s="42" t="s">
        <v>1533</v>
      </c>
      <c r="F1311" s="42" t="s">
        <v>1526</v>
      </c>
      <c r="G1311" s="42" t="s">
        <v>1207</v>
      </c>
      <c r="H1311" s="43"/>
      <c r="I1311" s="43"/>
      <c r="J1311" s="43"/>
      <c r="K1311" s="43"/>
      <c r="L1311" s="43"/>
      <c r="M1311" s="43"/>
      <c r="N1311" s="43"/>
      <c r="O1311" s="43"/>
      <c r="P1311" s="43"/>
      <c r="Q1311" s="43"/>
      <c r="R1311" s="43"/>
      <c r="S1311" s="43"/>
      <c r="T1311" s="43"/>
      <c r="U1311" s="43"/>
      <c r="V1311" s="43"/>
    </row>
    <row r="1312" spans="1:22" ht="15.75" customHeight="1" x14ac:dyDescent="0.2">
      <c r="A1312" s="40">
        <v>2551</v>
      </c>
      <c r="B1312" s="41" t="s">
        <v>1247</v>
      </c>
      <c r="C1312" s="42" t="s">
        <v>1534</v>
      </c>
      <c r="D1312" s="42" t="s">
        <v>39</v>
      </c>
      <c r="E1312" s="42" t="s">
        <v>87</v>
      </c>
      <c r="F1312" s="42" t="s">
        <v>1526</v>
      </c>
      <c r="G1312" s="42" t="s">
        <v>1207</v>
      </c>
      <c r="H1312" s="43"/>
      <c r="I1312" s="43"/>
      <c r="J1312" s="43"/>
      <c r="K1312" s="43"/>
      <c r="L1312" s="43"/>
      <c r="M1312" s="43"/>
      <c r="N1312" s="43"/>
      <c r="O1312" s="43"/>
      <c r="P1312" s="43"/>
      <c r="Q1312" s="43"/>
      <c r="R1312" s="43"/>
      <c r="S1312" s="43"/>
      <c r="T1312" s="43"/>
      <c r="U1312" s="43"/>
      <c r="V1312" s="43"/>
    </row>
    <row r="1313" spans="1:22" ht="15.75" customHeight="1" x14ac:dyDescent="0.2">
      <c r="A1313" s="40">
        <v>2623</v>
      </c>
      <c r="B1313" s="41" t="s">
        <v>702</v>
      </c>
      <c r="C1313" s="42" t="s">
        <v>1531</v>
      </c>
      <c r="D1313" s="42" t="s">
        <v>39</v>
      </c>
      <c r="E1313" s="42" t="s">
        <v>87</v>
      </c>
      <c r="F1313" s="42" t="s">
        <v>1526</v>
      </c>
      <c r="G1313" s="42" t="s">
        <v>1207</v>
      </c>
      <c r="H1313" s="43"/>
      <c r="I1313" s="43"/>
      <c r="J1313" s="43"/>
      <c r="K1313" s="43"/>
      <c r="L1313" s="43"/>
      <c r="M1313" s="43"/>
      <c r="N1313" s="43"/>
      <c r="O1313" s="43"/>
      <c r="P1313" s="43"/>
      <c r="Q1313" s="43"/>
      <c r="R1313" s="43"/>
      <c r="S1313" s="43"/>
      <c r="T1313" s="43"/>
      <c r="U1313" s="43"/>
      <c r="V1313" s="43"/>
    </row>
    <row r="1314" spans="1:22" ht="15.75" customHeight="1" x14ac:dyDescent="0.2">
      <c r="A1314" s="40">
        <v>2659</v>
      </c>
      <c r="B1314" s="41" t="s">
        <v>1055</v>
      </c>
      <c r="C1314" s="42" t="s">
        <v>1532</v>
      </c>
      <c r="D1314" s="42" t="s">
        <v>31</v>
      </c>
      <c r="E1314" s="42" t="s">
        <v>1533</v>
      </c>
      <c r="F1314" s="42" t="s">
        <v>1526</v>
      </c>
      <c r="G1314" s="42" t="s">
        <v>1207</v>
      </c>
      <c r="H1314" s="43"/>
      <c r="I1314" s="43"/>
      <c r="J1314" s="43"/>
      <c r="K1314" s="43"/>
      <c r="L1314" s="43"/>
      <c r="M1314" s="43"/>
      <c r="N1314" s="43"/>
      <c r="O1314" s="43"/>
      <c r="P1314" s="43"/>
      <c r="Q1314" s="43"/>
      <c r="R1314" s="43"/>
      <c r="S1314" s="43"/>
      <c r="T1314" s="43"/>
      <c r="U1314" s="43"/>
      <c r="V1314" s="43"/>
    </row>
    <row r="1315" spans="1:22" ht="15.75" customHeight="1" x14ac:dyDescent="0.2">
      <c r="A1315" s="40">
        <v>2749</v>
      </c>
      <c r="B1315" s="41" t="s">
        <v>944</v>
      </c>
      <c r="C1315" s="42" t="s">
        <v>1527</v>
      </c>
      <c r="D1315" s="42" t="s">
        <v>861</v>
      </c>
      <c r="E1315" s="42" t="s">
        <v>777</v>
      </c>
      <c r="F1315" s="42" t="s">
        <v>1526</v>
      </c>
      <c r="G1315" s="42" t="s">
        <v>1207</v>
      </c>
      <c r="H1315" s="43"/>
      <c r="I1315" s="43"/>
      <c r="J1315" s="43"/>
      <c r="K1315" s="43"/>
      <c r="L1315" s="43"/>
      <c r="M1315" s="43"/>
      <c r="N1315" s="43"/>
      <c r="O1315" s="43"/>
      <c r="P1315" s="43"/>
      <c r="Q1315" s="43"/>
      <c r="R1315" s="43"/>
      <c r="S1315" s="43"/>
      <c r="T1315" s="43"/>
      <c r="U1315" s="43"/>
      <c r="V1315" s="43"/>
    </row>
    <row r="1316" spans="1:22" ht="15.75" customHeight="1" x14ac:dyDescent="0.2">
      <c r="A1316" s="40">
        <v>2963</v>
      </c>
      <c r="B1316" s="41" t="s">
        <v>1138</v>
      </c>
      <c r="C1316" s="42" t="s">
        <v>1528</v>
      </c>
      <c r="D1316" s="42" t="s">
        <v>128</v>
      </c>
      <c r="E1316" s="42" t="s">
        <v>1217</v>
      </c>
      <c r="F1316" s="42" t="s">
        <v>1526</v>
      </c>
      <c r="G1316" s="42" t="s">
        <v>1207</v>
      </c>
      <c r="H1316" s="43"/>
      <c r="I1316" s="43"/>
      <c r="J1316" s="43"/>
      <c r="K1316" s="43"/>
      <c r="L1316" s="43"/>
      <c r="M1316" s="43"/>
      <c r="N1316" s="43"/>
      <c r="O1316" s="43"/>
      <c r="P1316" s="43"/>
      <c r="Q1316" s="43"/>
      <c r="R1316" s="43"/>
      <c r="S1316" s="43"/>
      <c r="T1316" s="43"/>
      <c r="U1316" s="43"/>
      <c r="V1316" s="43"/>
    </row>
    <row r="1317" spans="1:22" ht="15.75" customHeight="1" x14ac:dyDescent="0.2">
      <c r="A1317" s="40"/>
      <c r="B1317" s="45" t="s">
        <v>823</v>
      </c>
      <c r="C1317" s="46" t="s">
        <v>870</v>
      </c>
      <c r="D1317" s="46" t="s">
        <v>309</v>
      </c>
      <c r="E1317" s="46" t="s">
        <v>79</v>
      </c>
      <c r="F1317" s="46" t="s">
        <v>1535</v>
      </c>
      <c r="G1317" s="46" t="s">
        <v>1207</v>
      </c>
      <c r="H1317" s="43"/>
      <c r="I1317" s="43"/>
      <c r="J1317" s="43"/>
      <c r="K1317" s="43"/>
      <c r="L1317" s="43"/>
      <c r="M1317" s="43"/>
      <c r="N1317" s="43"/>
      <c r="O1317" s="43"/>
      <c r="P1317" s="43"/>
      <c r="Q1317" s="43"/>
      <c r="R1317" s="43"/>
      <c r="S1317" s="43"/>
      <c r="T1317" s="43"/>
      <c r="U1317" s="43"/>
      <c r="V1317" s="43"/>
    </row>
    <row r="1318" spans="1:22" ht="15.75" customHeight="1" x14ac:dyDescent="0.2">
      <c r="A1318" s="40"/>
      <c r="B1318" s="45" t="s">
        <v>815</v>
      </c>
      <c r="C1318" s="46" t="s">
        <v>1536</v>
      </c>
      <c r="D1318" s="46" t="s">
        <v>275</v>
      </c>
      <c r="E1318" s="46" t="s">
        <v>326</v>
      </c>
      <c r="F1318" s="46" t="s">
        <v>1535</v>
      </c>
      <c r="G1318" s="46" t="s">
        <v>1207</v>
      </c>
      <c r="H1318" s="43"/>
      <c r="I1318" s="43"/>
      <c r="J1318" s="43"/>
      <c r="K1318" s="43"/>
      <c r="L1318" s="43"/>
      <c r="M1318" s="43"/>
      <c r="N1318" s="43"/>
      <c r="O1318" s="43"/>
      <c r="P1318" s="43"/>
      <c r="Q1318" s="43"/>
      <c r="R1318" s="43"/>
      <c r="S1318" s="43"/>
      <c r="T1318" s="43"/>
      <c r="U1318" s="43"/>
      <c r="V1318" s="43"/>
    </row>
    <row r="1319" spans="1:22" ht="15.75" customHeight="1" x14ac:dyDescent="0.2">
      <c r="A1319" s="40"/>
      <c r="B1319" s="45" t="s">
        <v>818</v>
      </c>
      <c r="C1319" s="46" t="s">
        <v>1537</v>
      </c>
      <c r="D1319" s="46" t="s">
        <v>266</v>
      </c>
      <c r="E1319" s="46" t="s">
        <v>478</v>
      </c>
      <c r="F1319" s="46" t="s">
        <v>1535</v>
      </c>
      <c r="G1319" s="46" t="s">
        <v>1207</v>
      </c>
      <c r="H1319" s="43"/>
      <c r="I1319" s="43"/>
      <c r="J1319" s="43"/>
      <c r="K1319" s="43"/>
      <c r="L1319" s="43"/>
      <c r="M1319" s="43"/>
      <c r="N1319" s="43"/>
      <c r="O1319" s="43"/>
      <c r="P1319" s="43"/>
      <c r="Q1319" s="43"/>
      <c r="R1319" s="43"/>
      <c r="S1319" s="43"/>
      <c r="T1319" s="43"/>
      <c r="U1319" s="43"/>
      <c r="V1319" s="43"/>
    </row>
    <row r="1320" spans="1:22" ht="15.75" customHeight="1" x14ac:dyDescent="0.2">
      <c r="A1320" s="40"/>
      <c r="B1320" s="45" t="s">
        <v>523</v>
      </c>
      <c r="C1320" s="46" t="s">
        <v>1538</v>
      </c>
      <c r="D1320" s="46" t="s">
        <v>1006</v>
      </c>
      <c r="E1320" s="46" t="s">
        <v>1539</v>
      </c>
      <c r="F1320" s="46" t="s">
        <v>1535</v>
      </c>
      <c r="G1320" s="46" t="s">
        <v>1207</v>
      </c>
      <c r="H1320" s="43"/>
      <c r="I1320" s="43"/>
      <c r="J1320" s="43"/>
      <c r="K1320" s="43"/>
      <c r="L1320" s="43"/>
      <c r="M1320" s="43"/>
      <c r="N1320" s="43"/>
      <c r="O1320" s="43"/>
      <c r="P1320" s="43"/>
      <c r="Q1320" s="43"/>
      <c r="R1320" s="43"/>
      <c r="S1320" s="43"/>
      <c r="T1320" s="43"/>
      <c r="U1320" s="43"/>
      <c r="V1320" s="43"/>
    </row>
    <row r="1321" spans="1:22" ht="15.75" customHeight="1" x14ac:dyDescent="0.2">
      <c r="A1321" s="40"/>
      <c r="B1321" s="45" t="s">
        <v>807</v>
      </c>
      <c r="C1321" s="46" t="s">
        <v>1478</v>
      </c>
      <c r="D1321" s="46" t="s">
        <v>1540</v>
      </c>
      <c r="E1321" s="46" t="s">
        <v>306</v>
      </c>
      <c r="F1321" s="46" t="s">
        <v>1535</v>
      </c>
      <c r="G1321" s="46" t="s">
        <v>1207</v>
      </c>
      <c r="H1321" s="43"/>
      <c r="I1321" s="43"/>
      <c r="J1321" s="43"/>
      <c r="K1321" s="43"/>
      <c r="L1321" s="43"/>
      <c r="M1321" s="43"/>
      <c r="N1321" s="43"/>
      <c r="O1321" s="43"/>
      <c r="P1321" s="43"/>
      <c r="Q1321" s="43"/>
      <c r="R1321" s="43"/>
      <c r="S1321" s="43"/>
      <c r="T1321" s="43"/>
      <c r="U1321" s="43"/>
      <c r="V1321" s="43"/>
    </row>
    <row r="1322" spans="1:22" ht="15.75" customHeight="1" x14ac:dyDescent="0.2">
      <c r="A1322" s="40">
        <v>9</v>
      </c>
      <c r="B1322" s="41" t="s">
        <v>939</v>
      </c>
      <c r="C1322" s="42" t="s">
        <v>1541</v>
      </c>
      <c r="D1322" s="42" t="s">
        <v>989</v>
      </c>
      <c r="E1322" s="42" t="s">
        <v>1217</v>
      </c>
      <c r="F1322" s="42" t="s">
        <v>1542</v>
      </c>
      <c r="G1322" s="42" t="s">
        <v>1207</v>
      </c>
      <c r="H1322" s="43"/>
      <c r="I1322" s="43"/>
      <c r="J1322" s="43"/>
      <c r="K1322" s="43"/>
      <c r="L1322" s="43"/>
      <c r="M1322" s="43"/>
      <c r="N1322" s="43"/>
      <c r="O1322" s="43"/>
      <c r="P1322" s="43"/>
      <c r="Q1322" s="43"/>
      <c r="R1322" s="43"/>
      <c r="S1322" s="43"/>
      <c r="T1322" s="43"/>
      <c r="U1322" s="43"/>
      <c r="V1322" s="43"/>
    </row>
    <row r="1323" spans="1:22" ht="15.75" customHeight="1" x14ac:dyDescent="0.2">
      <c r="A1323" s="40">
        <v>17</v>
      </c>
      <c r="B1323" s="41" t="s">
        <v>939</v>
      </c>
      <c r="C1323" s="42" t="s">
        <v>1543</v>
      </c>
      <c r="D1323" s="42" t="s">
        <v>183</v>
      </c>
      <c r="E1323" s="42" t="s">
        <v>112</v>
      </c>
      <c r="F1323" s="42" t="s">
        <v>1542</v>
      </c>
      <c r="G1323" s="42" t="s">
        <v>1207</v>
      </c>
      <c r="H1323" s="43"/>
      <c r="I1323" s="43"/>
      <c r="J1323" s="43"/>
      <c r="K1323" s="43"/>
      <c r="L1323" s="43"/>
      <c r="M1323" s="43"/>
      <c r="N1323" s="43"/>
      <c r="O1323" s="43"/>
      <c r="P1323" s="43"/>
      <c r="Q1323" s="43"/>
      <c r="R1323" s="43"/>
      <c r="S1323" s="43"/>
      <c r="T1323" s="43"/>
      <c r="U1323" s="43"/>
      <c r="V1323" s="43"/>
    </row>
    <row r="1324" spans="1:22" ht="15.75" customHeight="1" x14ac:dyDescent="0.2">
      <c r="A1324" s="40">
        <v>19</v>
      </c>
      <c r="B1324" s="41" t="s">
        <v>939</v>
      </c>
      <c r="C1324" s="42" t="s">
        <v>584</v>
      </c>
      <c r="D1324" s="42" t="s">
        <v>116</v>
      </c>
      <c r="E1324" s="42" t="s">
        <v>384</v>
      </c>
      <c r="F1324" s="42" t="s">
        <v>1542</v>
      </c>
      <c r="G1324" s="42" t="s">
        <v>1207</v>
      </c>
      <c r="H1324" s="43"/>
      <c r="I1324" s="43"/>
      <c r="J1324" s="43"/>
      <c r="K1324" s="43"/>
      <c r="L1324" s="43"/>
      <c r="M1324" s="43"/>
      <c r="N1324" s="43"/>
      <c r="O1324" s="43"/>
      <c r="P1324" s="43"/>
      <c r="Q1324" s="43"/>
      <c r="R1324" s="43"/>
      <c r="S1324" s="43"/>
      <c r="T1324" s="43"/>
      <c r="U1324" s="43"/>
      <c r="V1324" s="43"/>
    </row>
    <row r="1325" spans="1:22" ht="15.75" customHeight="1" x14ac:dyDescent="0.2">
      <c r="A1325" s="40">
        <v>21</v>
      </c>
      <c r="B1325" s="41" t="s">
        <v>939</v>
      </c>
      <c r="C1325" s="42" t="s">
        <v>1544</v>
      </c>
      <c r="D1325" s="42" t="s">
        <v>491</v>
      </c>
      <c r="E1325" s="42" t="s">
        <v>112</v>
      </c>
      <c r="F1325" s="42" t="s">
        <v>1542</v>
      </c>
      <c r="G1325" s="42" t="s">
        <v>1207</v>
      </c>
      <c r="H1325" s="43"/>
      <c r="I1325" s="43"/>
      <c r="J1325" s="43"/>
      <c r="K1325" s="43"/>
      <c r="L1325" s="43"/>
      <c r="M1325" s="43"/>
      <c r="N1325" s="43"/>
      <c r="O1325" s="43"/>
      <c r="P1325" s="43"/>
      <c r="Q1325" s="43"/>
      <c r="R1325" s="43"/>
      <c r="S1325" s="43"/>
      <c r="T1325" s="43"/>
      <c r="U1325" s="43"/>
      <c r="V1325" s="43"/>
    </row>
    <row r="1326" spans="1:22" ht="15.75" customHeight="1" x14ac:dyDescent="0.2">
      <c r="A1326" s="40">
        <v>41</v>
      </c>
      <c r="B1326" s="41" t="s">
        <v>1301</v>
      </c>
      <c r="C1326" s="42" t="s">
        <v>1545</v>
      </c>
      <c r="D1326" s="42" t="s">
        <v>643</v>
      </c>
      <c r="E1326" s="42" t="s">
        <v>40</v>
      </c>
      <c r="F1326" s="42" t="s">
        <v>1542</v>
      </c>
      <c r="G1326" s="42" t="s">
        <v>1207</v>
      </c>
      <c r="H1326" s="43"/>
      <c r="I1326" s="43"/>
      <c r="J1326" s="43"/>
      <c r="K1326" s="43"/>
      <c r="L1326" s="43"/>
      <c r="M1326" s="43"/>
      <c r="N1326" s="43"/>
      <c r="O1326" s="43"/>
      <c r="P1326" s="43"/>
      <c r="Q1326" s="43"/>
      <c r="R1326" s="43"/>
      <c r="S1326" s="43"/>
      <c r="T1326" s="43"/>
      <c r="U1326" s="43"/>
      <c r="V1326" s="43"/>
    </row>
    <row r="1327" spans="1:22" ht="15.75" customHeight="1" x14ac:dyDescent="0.2">
      <c r="A1327" s="40">
        <v>43</v>
      </c>
      <c r="B1327" s="41" t="s">
        <v>1301</v>
      </c>
      <c r="C1327" s="42" t="s">
        <v>1541</v>
      </c>
      <c r="D1327" s="42" t="s">
        <v>989</v>
      </c>
      <c r="E1327" s="42" t="s">
        <v>1217</v>
      </c>
      <c r="F1327" s="42" t="s">
        <v>1542</v>
      </c>
      <c r="G1327" s="42" t="s">
        <v>1207</v>
      </c>
      <c r="H1327" s="43"/>
      <c r="I1327" s="43"/>
      <c r="J1327" s="43"/>
      <c r="K1327" s="43"/>
      <c r="L1327" s="43"/>
      <c r="M1327" s="43"/>
      <c r="N1327" s="43"/>
      <c r="O1327" s="43"/>
      <c r="P1327" s="43"/>
      <c r="Q1327" s="43"/>
      <c r="R1327" s="43"/>
      <c r="S1327" s="43"/>
      <c r="T1327" s="43"/>
      <c r="U1327" s="43"/>
      <c r="V1327" s="43"/>
    </row>
    <row r="1328" spans="1:22" ht="15.75" customHeight="1" x14ac:dyDescent="0.2">
      <c r="A1328" s="40">
        <v>51</v>
      </c>
      <c r="B1328" s="41" t="s">
        <v>1301</v>
      </c>
      <c r="C1328" s="42" t="s">
        <v>1543</v>
      </c>
      <c r="D1328" s="42" t="s">
        <v>183</v>
      </c>
      <c r="E1328" s="42" t="s">
        <v>112</v>
      </c>
      <c r="F1328" s="42" t="s">
        <v>1542</v>
      </c>
      <c r="G1328" s="42" t="s">
        <v>1207</v>
      </c>
      <c r="H1328" s="43"/>
      <c r="I1328" s="43"/>
      <c r="J1328" s="43"/>
      <c r="K1328" s="43"/>
      <c r="L1328" s="43"/>
      <c r="M1328" s="43"/>
      <c r="N1328" s="43"/>
      <c r="O1328" s="43"/>
      <c r="P1328" s="43"/>
      <c r="Q1328" s="43"/>
      <c r="R1328" s="43"/>
      <c r="S1328" s="43"/>
      <c r="T1328" s="43"/>
      <c r="U1328" s="43"/>
      <c r="V1328" s="43"/>
    </row>
    <row r="1329" spans="1:22" ht="15.75" customHeight="1" x14ac:dyDescent="0.2">
      <c r="A1329" s="40">
        <v>53</v>
      </c>
      <c r="B1329" s="41" t="s">
        <v>1301</v>
      </c>
      <c r="C1329" s="42" t="s">
        <v>1544</v>
      </c>
      <c r="D1329" s="42" t="s">
        <v>491</v>
      </c>
      <c r="E1329" s="42" t="s">
        <v>112</v>
      </c>
      <c r="F1329" s="42" t="s">
        <v>1542</v>
      </c>
      <c r="G1329" s="42" t="s">
        <v>1207</v>
      </c>
      <c r="H1329" s="43"/>
      <c r="I1329" s="43"/>
      <c r="J1329" s="43"/>
      <c r="K1329" s="43"/>
      <c r="L1329" s="43"/>
      <c r="M1329" s="43"/>
      <c r="N1329" s="43"/>
      <c r="O1329" s="43"/>
      <c r="P1329" s="43"/>
      <c r="Q1329" s="43"/>
      <c r="R1329" s="43"/>
      <c r="S1329" s="43"/>
      <c r="T1329" s="43"/>
      <c r="U1329" s="43"/>
      <c r="V1329" s="43"/>
    </row>
    <row r="1330" spans="1:22" ht="15.75" customHeight="1" x14ac:dyDescent="0.2">
      <c r="A1330" s="40">
        <v>55</v>
      </c>
      <c r="B1330" s="41" t="s">
        <v>1301</v>
      </c>
      <c r="C1330" s="42" t="s">
        <v>1546</v>
      </c>
      <c r="D1330" s="42" t="s">
        <v>116</v>
      </c>
      <c r="E1330" s="42" t="s">
        <v>70</v>
      </c>
      <c r="F1330" s="42" t="s">
        <v>1542</v>
      </c>
      <c r="G1330" s="42" t="s">
        <v>1207</v>
      </c>
      <c r="H1330" s="43"/>
      <c r="I1330" s="43"/>
      <c r="J1330" s="43"/>
      <c r="K1330" s="43"/>
      <c r="L1330" s="43"/>
      <c r="M1330" s="43"/>
      <c r="N1330" s="43"/>
      <c r="O1330" s="43"/>
      <c r="P1330" s="43"/>
      <c r="Q1330" s="43"/>
      <c r="R1330" s="43"/>
      <c r="S1330" s="43"/>
      <c r="T1330" s="43"/>
      <c r="U1330" s="43"/>
      <c r="V1330" s="43"/>
    </row>
    <row r="1331" spans="1:22" ht="15.75" customHeight="1" x14ac:dyDescent="0.2">
      <c r="A1331" s="40">
        <v>81</v>
      </c>
      <c r="B1331" s="41" t="s">
        <v>707</v>
      </c>
      <c r="C1331" s="42" t="s">
        <v>1449</v>
      </c>
      <c r="D1331" s="42" t="s">
        <v>396</v>
      </c>
      <c r="E1331" s="42" t="s">
        <v>70</v>
      </c>
      <c r="F1331" s="42" t="s">
        <v>1542</v>
      </c>
      <c r="G1331" s="42" t="s">
        <v>1207</v>
      </c>
      <c r="H1331" s="43"/>
      <c r="I1331" s="43"/>
      <c r="J1331" s="43"/>
      <c r="K1331" s="43"/>
      <c r="L1331" s="43"/>
      <c r="M1331" s="43"/>
      <c r="N1331" s="43"/>
      <c r="O1331" s="43"/>
      <c r="P1331" s="43"/>
      <c r="Q1331" s="43"/>
      <c r="R1331" s="43"/>
      <c r="S1331" s="43"/>
      <c r="T1331" s="43"/>
      <c r="U1331" s="43"/>
      <c r="V1331" s="43"/>
    </row>
    <row r="1332" spans="1:22" ht="15.75" customHeight="1" x14ac:dyDescent="0.2">
      <c r="A1332" s="40">
        <v>91</v>
      </c>
      <c r="B1332" s="41" t="s">
        <v>1262</v>
      </c>
      <c r="C1332" s="42" t="s">
        <v>927</v>
      </c>
      <c r="D1332" s="42" t="s">
        <v>75</v>
      </c>
      <c r="E1332" s="42" t="s">
        <v>334</v>
      </c>
      <c r="F1332" s="42" t="s">
        <v>1542</v>
      </c>
      <c r="G1332" s="42" t="s">
        <v>1207</v>
      </c>
      <c r="H1332" s="43"/>
      <c r="I1332" s="43"/>
      <c r="J1332" s="43"/>
      <c r="K1332" s="43"/>
      <c r="L1332" s="43"/>
      <c r="M1332" s="43"/>
      <c r="N1332" s="43"/>
      <c r="O1332" s="43"/>
      <c r="P1332" s="43"/>
      <c r="Q1332" s="43"/>
      <c r="R1332" s="43"/>
      <c r="S1332" s="43"/>
      <c r="T1332" s="43"/>
      <c r="U1332" s="43"/>
      <c r="V1332" s="43"/>
    </row>
    <row r="1333" spans="1:22" ht="15.75" customHeight="1" x14ac:dyDescent="0.2">
      <c r="A1333" s="40">
        <v>95</v>
      </c>
      <c r="B1333" s="41" t="s">
        <v>1262</v>
      </c>
      <c r="C1333" s="42" t="s">
        <v>1546</v>
      </c>
      <c r="D1333" s="42" t="s">
        <v>116</v>
      </c>
      <c r="E1333" s="42" t="s">
        <v>70</v>
      </c>
      <c r="F1333" s="42" t="s">
        <v>1542</v>
      </c>
      <c r="G1333" s="42" t="s">
        <v>1207</v>
      </c>
      <c r="H1333" s="43"/>
      <c r="I1333" s="43"/>
      <c r="J1333" s="43"/>
      <c r="K1333" s="43"/>
      <c r="L1333" s="43"/>
      <c r="M1333" s="43"/>
      <c r="N1333" s="43"/>
      <c r="O1333" s="43"/>
      <c r="P1333" s="43"/>
      <c r="Q1333" s="43"/>
      <c r="R1333" s="43"/>
      <c r="S1333" s="43"/>
      <c r="T1333" s="43"/>
      <c r="U1333" s="43"/>
      <c r="V1333" s="43"/>
    </row>
    <row r="1334" spans="1:22" ht="15.75" customHeight="1" x14ac:dyDescent="0.2">
      <c r="A1334" s="40">
        <v>115</v>
      </c>
      <c r="B1334" s="41" t="s">
        <v>504</v>
      </c>
      <c r="C1334" s="42" t="s">
        <v>1547</v>
      </c>
      <c r="D1334" s="42" t="s">
        <v>116</v>
      </c>
      <c r="E1334" s="42" t="s">
        <v>1212</v>
      </c>
      <c r="F1334" s="42" t="s">
        <v>1542</v>
      </c>
      <c r="G1334" s="42" t="s">
        <v>1207</v>
      </c>
      <c r="H1334" s="43"/>
      <c r="I1334" s="43"/>
      <c r="J1334" s="43"/>
      <c r="K1334" s="43"/>
      <c r="L1334" s="43"/>
      <c r="M1334" s="43"/>
      <c r="N1334" s="43"/>
      <c r="O1334" s="43"/>
      <c r="P1334" s="43"/>
      <c r="Q1334" s="43"/>
      <c r="R1334" s="43"/>
      <c r="S1334" s="43"/>
      <c r="T1334" s="43"/>
      <c r="U1334" s="43"/>
      <c r="V1334" s="43"/>
    </row>
    <row r="1335" spans="1:22" ht="15.75" customHeight="1" x14ac:dyDescent="0.2">
      <c r="A1335" s="40">
        <v>139</v>
      </c>
      <c r="B1335" s="41" t="s">
        <v>460</v>
      </c>
      <c r="C1335" s="42" t="s">
        <v>584</v>
      </c>
      <c r="D1335" s="42" t="s">
        <v>491</v>
      </c>
      <c r="E1335" s="42" t="s">
        <v>384</v>
      </c>
      <c r="F1335" s="42" t="s">
        <v>1542</v>
      </c>
      <c r="G1335" s="42" t="s">
        <v>1207</v>
      </c>
      <c r="H1335" s="43"/>
      <c r="I1335" s="43"/>
      <c r="J1335" s="43"/>
      <c r="K1335" s="43"/>
      <c r="L1335" s="43"/>
      <c r="M1335" s="43"/>
      <c r="N1335" s="43"/>
      <c r="O1335" s="43"/>
      <c r="P1335" s="43"/>
      <c r="Q1335" s="43"/>
      <c r="R1335" s="43"/>
      <c r="S1335" s="43"/>
      <c r="T1335" s="43"/>
      <c r="U1335" s="43"/>
      <c r="V1335" s="43"/>
    </row>
    <row r="1336" spans="1:22" ht="15.75" customHeight="1" x14ac:dyDescent="0.2">
      <c r="A1336" s="40">
        <v>159</v>
      </c>
      <c r="B1336" s="41" t="s">
        <v>549</v>
      </c>
      <c r="C1336" s="42" t="s">
        <v>1548</v>
      </c>
      <c r="D1336" s="42" t="s">
        <v>407</v>
      </c>
      <c r="E1336" s="42" t="s">
        <v>630</v>
      </c>
      <c r="F1336" s="42" t="s">
        <v>1542</v>
      </c>
      <c r="G1336" s="42" t="s">
        <v>1207</v>
      </c>
      <c r="H1336" s="43"/>
      <c r="I1336" s="43"/>
      <c r="J1336" s="43"/>
      <c r="K1336" s="43"/>
      <c r="L1336" s="43"/>
      <c r="M1336" s="43"/>
      <c r="N1336" s="43"/>
      <c r="O1336" s="43"/>
      <c r="P1336" s="43"/>
      <c r="Q1336" s="43"/>
      <c r="R1336" s="43"/>
      <c r="S1336" s="43"/>
      <c r="T1336" s="43"/>
      <c r="U1336" s="43"/>
      <c r="V1336" s="43"/>
    </row>
    <row r="1337" spans="1:22" ht="15.75" customHeight="1" x14ac:dyDescent="0.2">
      <c r="A1337" s="40">
        <v>161</v>
      </c>
      <c r="B1337" s="41" t="s">
        <v>549</v>
      </c>
      <c r="C1337" s="42" t="s">
        <v>1549</v>
      </c>
      <c r="D1337" s="42" t="s">
        <v>275</v>
      </c>
      <c r="E1337" s="42" t="s">
        <v>40</v>
      </c>
      <c r="F1337" s="42" t="s">
        <v>1542</v>
      </c>
      <c r="G1337" s="42" t="s">
        <v>1207</v>
      </c>
      <c r="H1337" s="43"/>
      <c r="I1337" s="43"/>
      <c r="J1337" s="43"/>
      <c r="K1337" s="43"/>
      <c r="L1337" s="43"/>
      <c r="M1337" s="43"/>
      <c r="N1337" s="43"/>
      <c r="O1337" s="43"/>
      <c r="P1337" s="43"/>
      <c r="Q1337" s="43"/>
      <c r="R1337" s="43"/>
      <c r="S1337" s="43"/>
      <c r="T1337" s="43"/>
      <c r="U1337" s="43"/>
      <c r="V1337" s="43"/>
    </row>
    <row r="1338" spans="1:22" ht="15.75" customHeight="1" x14ac:dyDescent="0.2">
      <c r="A1338" s="40">
        <v>173</v>
      </c>
      <c r="B1338" s="41" t="s">
        <v>549</v>
      </c>
      <c r="C1338" s="42" t="s">
        <v>885</v>
      </c>
      <c r="D1338" s="42" t="s">
        <v>139</v>
      </c>
      <c r="E1338" s="42" t="s">
        <v>87</v>
      </c>
      <c r="F1338" s="42" t="s">
        <v>1542</v>
      </c>
      <c r="G1338" s="42" t="s">
        <v>1207</v>
      </c>
      <c r="H1338" s="43"/>
      <c r="I1338" s="43"/>
      <c r="J1338" s="43"/>
      <c r="K1338" s="43"/>
      <c r="L1338" s="43"/>
      <c r="M1338" s="43"/>
      <c r="N1338" s="43"/>
      <c r="O1338" s="43"/>
      <c r="P1338" s="43"/>
      <c r="Q1338" s="43"/>
      <c r="R1338" s="43"/>
      <c r="S1338" s="43"/>
      <c r="T1338" s="43"/>
      <c r="U1338" s="43"/>
      <c r="V1338" s="43"/>
    </row>
    <row r="1339" spans="1:22" ht="15.75" customHeight="1" x14ac:dyDescent="0.2">
      <c r="A1339" s="40">
        <v>185</v>
      </c>
      <c r="B1339" s="41" t="s">
        <v>549</v>
      </c>
      <c r="C1339" s="42" t="s">
        <v>1550</v>
      </c>
      <c r="D1339" s="42" t="s">
        <v>86</v>
      </c>
      <c r="E1339" s="42" t="s">
        <v>87</v>
      </c>
      <c r="F1339" s="42" t="s">
        <v>1542</v>
      </c>
      <c r="G1339" s="42" t="s">
        <v>1207</v>
      </c>
      <c r="H1339" s="43"/>
      <c r="I1339" s="43"/>
      <c r="J1339" s="43"/>
      <c r="K1339" s="43"/>
      <c r="L1339" s="43"/>
      <c r="M1339" s="43"/>
      <c r="N1339" s="43"/>
      <c r="O1339" s="43"/>
      <c r="P1339" s="43"/>
      <c r="Q1339" s="43"/>
      <c r="R1339" s="43"/>
      <c r="S1339" s="43"/>
      <c r="T1339" s="43"/>
      <c r="U1339" s="43"/>
      <c r="V1339" s="43"/>
    </row>
    <row r="1340" spans="1:22" ht="15.75" customHeight="1" x14ac:dyDescent="0.2">
      <c r="A1340" s="40">
        <v>207</v>
      </c>
      <c r="B1340" s="41" t="s">
        <v>946</v>
      </c>
      <c r="C1340" s="42" t="s">
        <v>1336</v>
      </c>
      <c r="D1340" s="42" t="s">
        <v>1551</v>
      </c>
      <c r="E1340" s="42" t="s">
        <v>302</v>
      </c>
      <c r="F1340" s="42" t="s">
        <v>1542</v>
      </c>
      <c r="G1340" s="42" t="s">
        <v>1207</v>
      </c>
      <c r="H1340" s="43"/>
      <c r="I1340" s="43"/>
      <c r="J1340" s="43"/>
      <c r="K1340" s="43"/>
      <c r="L1340" s="43"/>
      <c r="M1340" s="43"/>
      <c r="N1340" s="43"/>
      <c r="O1340" s="43"/>
      <c r="P1340" s="43"/>
      <c r="Q1340" s="43"/>
      <c r="R1340" s="43"/>
      <c r="S1340" s="43"/>
      <c r="T1340" s="43"/>
      <c r="U1340" s="43"/>
      <c r="V1340" s="43"/>
    </row>
    <row r="1341" spans="1:22" ht="15.75" customHeight="1" x14ac:dyDescent="0.2">
      <c r="A1341" s="40">
        <v>215</v>
      </c>
      <c r="B1341" s="41" t="s">
        <v>946</v>
      </c>
      <c r="C1341" s="42" t="s">
        <v>57</v>
      </c>
      <c r="D1341" s="42" t="s">
        <v>516</v>
      </c>
      <c r="E1341" s="42" t="s">
        <v>306</v>
      </c>
      <c r="F1341" s="42" t="s">
        <v>1542</v>
      </c>
      <c r="G1341" s="42" t="s">
        <v>1207</v>
      </c>
      <c r="H1341" s="43"/>
      <c r="I1341" s="43"/>
      <c r="J1341" s="43"/>
      <c r="K1341" s="43"/>
      <c r="L1341" s="43"/>
      <c r="M1341" s="43"/>
      <c r="N1341" s="43"/>
      <c r="O1341" s="43"/>
      <c r="P1341" s="43"/>
      <c r="Q1341" s="43"/>
      <c r="R1341" s="43"/>
      <c r="S1341" s="43"/>
      <c r="T1341" s="43"/>
      <c r="U1341" s="43"/>
      <c r="V1341" s="43"/>
    </row>
    <row r="1342" spans="1:22" ht="15.75" customHeight="1" x14ac:dyDescent="0.2">
      <c r="A1342" s="40">
        <v>233</v>
      </c>
      <c r="B1342" s="41" t="s">
        <v>243</v>
      </c>
      <c r="C1342" s="42" t="s">
        <v>1552</v>
      </c>
      <c r="D1342" s="42" t="s">
        <v>128</v>
      </c>
      <c r="E1342" s="42" t="s">
        <v>40</v>
      </c>
      <c r="F1342" s="42" t="s">
        <v>1542</v>
      </c>
      <c r="G1342" s="42" t="s">
        <v>1207</v>
      </c>
      <c r="H1342" s="43"/>
      <c r="I1342" s="43"/>
      <c r="J1342" s="43"/>
      <c r="K1342" s="43"/>
      <c r="L1342" s="43"/>
      <c r="M1342" s="43"/>
      <c r="N1342" s="43"/>
      <c r="O1342" s="43"/>
      <c r="P1342" s="43"/>
      <c r="Q1342" s="43"/>
      <c r="R1342" s="43"/>
      <c r="S1342" s="43"/>
      <c r="T1342" s="43"/>
      <c r="U1342" s="43"/>
      <c r="V1342" s="43"/>
    </row>
    <row r="1343" spans="1:22" ht="15.75" customHeight="1" x14ac:dyDescent="0.2">
      <c r="A1343" s="40">
        <v>235</v>
      </c>
      <c r="B1343" s="41" t="s">
        <v>243</v>
      </c>
      <c r="C1343" s="42" t="s">
        <v>1553</v>
      </c>
      <c r="D1343" s="42" t="s">
        <v>58</v>
      </c>
      <c r="E1343" s="42" t="s">
        <v>1058</v>
      </c>
      <c r="F1343" s="42" t="s">
        <v>1542</v>
      </c>
      <c r="G1343" s="42" t="s">
        <v>1207</v>
      </c>
      <c r="H1343" s="43"/>
      <c r="I1343" s="43"/>
      <c r="J1343" s="43"/>
      <c r="K1343" s="43"/>
      <c r="L1343" s="43"/>
      <c r="M1343" s="43"/>
      <c r="N1343" s="43"/>
      <c r="O1343" s="43"/>
      <c r="P1343" s="43"/>
      <c r="Q1343" s="43"/>
      <c r="R1343" s="43"/>
      <c r="S1343" s="43"/>
      <c r="T1343" s="43"/>
      <c r="U1343" s="43"/>
      <c r="V1343" s="43"/>
    </row>
    <row r="1344" spans="1:22" ht="15.75" customHeight="1" x14ac:dyDescent="0.2">
      <c r="A1344" s="40">
        <v>241</v>
      </c>
      <c r="B1344" s="41" t="s">
        <v>243</v>
      </c>
      <c r="C1344" s="42" t="s">
        <v>1554</v>
      </c>
      <c r="D1344" s="42" t="s">
        <v>516</v>
      </c>
      <c r="E1344" s="42" t="s">
        <v>306</v>
      </c>
      <c r="F1344" s="42" t="s">
        <v>1542</v>
      </c>
      <c r="G1344" s="42" t="s">
        <v>1207</v>
      </c>
      <c r="H1344" s="43"/>
      <c r="I1344" s="43"/>
      <c r="J1344" s="43"/>
      <c r="K1344" s="43"/>
      <c r="L1344" s="43"/>
      <c r="M1344" s="43"/>
      <c r="N1344" s="43"/>
      <c r="O1344" s="43"/>
      <c r="P1344" s="43"/>
      <c r="Q1344" s="43"/>
      <c r="R1344" s="43"/>
      <c r="S1344" s="43"/>
      <c r="T1344" s="43"/>
      <c r="U1344" s="43"/>
      <c r="V1344" s="43"/>
    </row>
    <row r="1345" spans="1:22" ht="15.75" customHeight="1" x14ac:dyDescent="0.2">
      <c r="A1345" s="40">
        <v>243</v>
      </c>
      <c r="B1345" s="41" t="s">
        <v>243</v>
      </c>
      <c r="C1345" s="42" t="s">
        <v>1555</v>
      </c>
      <c r="D1345" s="42" t="s">
        <v>1556</v>
      </c>
      <c r="E1345" s="42" t="s">
        <v>876</v>
      </c>
      <c r="F1345" s="42" t="s">
        <v>1542</v>
      </c>
      <c r="G1345" s="42" t="s">
        <v>1207</v>
      </c>
      <c r="H1345" s="43"/>
      <c r="I1345" s="43"/>
      <c r="J1345" s="43"/>
      <c r="K1345" s="43"/>
      <c r="L1345" s="43"/>
      <c r="M1345" s="43"/>
      <c r="N1345" s="43"/>
      <c r="O1345" s="43"/>
      <c r="P1345" s="43"/>
      <c r="Q1345" s="43"/>
      <c r="R1345" s="43"/>
      <c r="S1345" s="43"/>
      <c r="T1345" s="43"/>
      <c r="U1345" s="43"/>
      <c r="V1345" s="43"/>
    </row>
    <row r="1346" spans="1:22" ht="15.75" customHeight="1" x14ac:dyDescent="0.2">
      <c r="A1346" s="40">
        <v>261</v>
      </c>
      <c r="B1346" s="41" t="s">
        <v>243</v>
      </c>
      <c r="C1346" s="42" t="s">
        <v>1557</v>
      </c>
      <c r="D1346" s="42" t="s">
        <v>643</v>
      </c>
      <c r="E1346" s="42" t="s">
        <v>424</v>
      </c>
      <c r="F1346" s="42" t="s">
        <v>1542</v>
      </c>
      <c r="G1346" s="42" t="s">
        <v>1207</v>
      </c>
      <c r="H1346" s="43"/>
      <c r="I1346" s="43"/>
      <c r="J1346" s="43"/>
      <c r="K1346" s="43"/>
      <c r="L1346" s="43"/>
      <c r="M1346" s="43"/>
      <c r="N1346" s="43"/>
      <c r="O1346" s="43"/>
      <c r="P1346" s="43"/>
      <c r="Q1346" s="43"/>
      <c r="R1346" s="43"/>
      <c r="S1346" s="43"/>
      <c r="T1346" s="43"/>
      <c r="U1346" s="43"/>
      <c r="V1346" s="43"/>
    </row>
    <row r="1347" spans="1:22" ht="15.75" customHeight="1" x14ac:dyDescent="0.2">
      <c r="A1347" s="40">
        <v>293</v>
      </c>
      <c r="B1347" s="41" t="s">
        <v>552</v>
      </c>
      <c r="C1347" s="42" t="s">
        <v>1548</v>
      </c>
      <c r="D1347" s="42" t="s">
        <v>407</v>
      </c>
      <c r="E1347" s="42" t="s">
        <v>630</v>
      </c>
      <c r="F1347" s="42" t="s">
        <v>1542</v>
      </c>
      <c r="G1347" s="42" t="s">
        <v>1207</v>
      </c>
      <c r="H1347" s="43"/>
      <c r="I1347" s="43"/>
      <c r="J1347" s="43"/>
      <c r="K1347" s="43"/>
      <c r="L1347" s="43"/>
      <c r="M1347" s="43"/>
      <c r="N1347" s="43"/>
      <c r="O1347" s="43"/>
      <c r="P1347" s="43"/>
      <c r="Q1347" s="43"/>
      <c r="R1347" s="43"/>
      <c r="S1347" s="43"/>
      <c r="T1347" s="43"/>
      <c r="U1347" s="43"/>
      <c r="V1347" s="43"/>
    </row>
    <row r="1348" spans="1:22" ht="15.75" customHeight="1" x14ac:dyDescent="0.2">
      <c r="A1348" s="40">
        <v>313</v>
      </c>
      <c r="B1348" s="41" t="s">
        <v>552</v>
      </c>
      <c r="C1348" s="42" t="s">
        <v>1449</v>
      </c>
      <c r="D1348" s="42" t="s">
        <v>1237</v>
      </c>
      <c r="E1348" s="42" t="s">
        <v>70</v>
      </c>
      <c r="F1348" s="42" t="s">
        <v>1542</v>
      </c>
      <c r="G1348" s="42" t="s">
        <v>1207</v>
      </c>
      <c r="H1348" s="43"/>
      <c r="I1348" s="43"/>
      <c r="J1348" s="43"/>
      <c r="K1348" s="43"/>
      <c r="L1348" s="43"/>
      <c r="M1348" s="43"/>
      <c r="N1348" s="43"/>
      <c r="O1348" s="43"/>
      <c r="P1348" s="43"/>
      <c r="Q1348" s="43"/>
      <c r="R1348" s="43"/>
      <c r="S1348" s="43"/>
      <c r="T1348" s="43"/>
      <c r="U1348" s="43"/>
      <c r="V1348" s="43"/>
    </row>
    <row r="1349" spans="1:22" ht="15.75" customHeight="1" x14ac:dyDescent="0.2">
      <c r="A1349" s="40">
        <v>317</v>
      </c>
      <c r="B1349" s="41" t="s">
        <v>365</v>
      </c>
      <c r="C1349" s="42" t="s">
        <v>1558</v>
      </c>
      <c r="D1349" s="42" t="s">
        <v>1418</v>
      </c>
      <c r="E1349" s="42" t="s">
        <v>452</v>
      </c>
      <c r="F1349" s="42" t="s">
        <v>1542</v>
      </c>
      <c r="G1349" s="42" t="s">
        <v>1207</v>
      </c>
      <c r="H1349" s="43"/>
      <c r="I1349" s="43"/>
      <c r="J1349" s="43"/>
      <c r="K1349" s="43"/>
      <c r="L1349" s="43"/>
      <c r="M1349" s="43"/>
      <c r="N1349" s="43"/>
      <c r="O1349" s="43"/>
      <c r="P1349" s="43"/>
      <c r="Q1349" s="43"/>
      <c r="R1349" s="43"/>
      <c r="S1349" s="43"/>
      <c r="T1349" s="43"/>
      <c r="U1349" s="43"/>
      <c r="V1349" s="43"/>
    </row>
    <row r="1350" spans="1:22" ht="15.75" customHeight="1" x14ac:dyDescent="0.2">
      <c r="A1350" s="40">
        <v>319</v>
      </c>
      <c r="B1350" s="41" t="s">
        <v>365</v>
      </c>
      <c r="C1350" s="42" t="s">
        <v>1559</v>
      </c>
      <c r="D1350" s="42" t="s">
        <v>554</v>
      </c>
      <c r="E1350" s="42" t="s">
        <v>1560</v>
      </c>
      <c r="F1350" s="42" t="s">
        <v>1542</v>
      </c>
      <c r="G1350" s="42" t="s">
        <v>1207</v>
      </c>
      <c r="H1350" s="43"/>
      <c r="I1350" s="43"/>
      <c r="J1350" s="43"/>
      <c r="K1350" s="43"/>
      <c r="L1350" s="43"/>
      <c r="M1350" s="43"/>
      <c r="N1350" s="43"/>
      <c r="O1350" s="43"/>
      <c r="P1350" s="43"/>
      <c r="Q1350" s="43"/>
      <c r="R1350" s="43"/>
      <c r="S1350" s="43"/>
      <c r="T1350" s="43"/>
      <c r="U1350" s="43"/>
      <c r="V1350" s="43"/>
    </row>
    <row r="1351" spans="1:22" ht="15.75" customHeight="1" x14ac:dyDescent="0.2">
      <c r="A1351" s="40">
        <v>343</v>
      </c>
      <c r="B1351" s="41" t="s">
        <v>1162</v>
      </c>
      <c r="C1351" s="42" t="s">
        <v>1336</v>
      </c>
      <c r="D1351" s="42" t="s">
        <v>1551</v>
      </c>
      <c r="E1351" s="42" t="s">
        <v>302</v>
      </c>
      <c r="F1351" s="42" t="s">
        <v>1542</v>
      </c>
      <c r="G1351" s="42" t="s">
        <v>1207</v>
      </c>
      <c r="H1351" s="43"/>
      <c r="I1351" s="43"/>
      <c r="J1351" s="43"/>
      <c r="K1351" s="43"/>
      <c r="L1351" s="43"/>
      <c r="M1351" s="43"/>
      <c r="N1351" s="43"/>
      <c r="O1351" s="43"/>
      <c r="P1351" s="43"/>
      <c r="Q1351" s="43"/>
      <c r="R1351" s="43"/>
      <c r="S1351" s="43"/>
      <c r="T1351" s="43"/>
      <c r="U1351" s="43"/>
      <c r="V1351" s="43"/>
    </row>
    <row r="1352" spans="1:22" ht="15.75" customHeight="1" x14ac:dyDescent="0.2">
      <c r="A1352" s="40">
        <v>359</v>
      </c>
      <c r="B1352" s="41" t="s">
        <v>246</v>
      </c>
      <c r="C1352" s="42" t="s">
        <v>1561</v>
      </c>
      <c r="D1352" s="42" t="s">
        <v>309</v>
      </c>
      <c r="E1352" s="42" t="s">
        <v>40</v>
      </c>
      <c r="F1352" s="42" t="s">
        <v>1542</v>
      </c>
      <c r="G1352" s="42" t="s">
        <v>1207</v>
      </c>
      <c r="H1352" s="43"/>
      <c r="I1352" s="43"/>
      <c r="J1352" s="43"/>
      <c r="K1352" s="43"/>
      <c r="L1352" s="43"/>
      <c r="M1352" s="43"/>
      <c r="N1352" s="43"/>
      <c r="O1352" s="43"/>
      <c r="P1352" s="43"/>
      <c r="Q1352" s="43"/>
      <c r="R1352" s="43"/>
      <c r="S1352" s="43"/>
      <c r="T1352" s="43"/>
      <c r="U1352" s="43"/>
      <c r="V1352" s="43"/>
    </row>
    <row r="1353" spans="1:22" ht="15.75" customHeight="1" x14ac:dyDescent="0.2">
      <c r="A1353" s="40">
        <v>361</v>
      </c>
      <c r="B1353" s="41" t="s">
        <v>246</v>
      </c>
      <c r="C1353" s="42" t="s">
        <v>942</v>
      </c>
      <c r="D1353" s="42" t="s">
        <v>325</v>
      </c>
      <c r="E1353" s="42" t="s">
        <v>337</v>
      </c>
      <c r="F1353" s="42" t="s">
        <v>1542</v>
      </c>
      <c r="G1353" s="42" t="s">
        <v>1207</v>
      </c>
      <c r="H1353" s="43"/>
      <c r="I1353" s="43"/>
      <c r="J1353" s="43"/>
      <c r="K1353" s="43"/>
      <c r="L1353" s="43"/>
      <c r="M1353" s="43"/>
      <c r="N1353" s="43"/>
      <c r="O1353" s="43"/>
      <c r="P1353" s="43"/>
      <c r="Q1353" s="43"/>
      <c r="R1353" s="43"/>
      <c r="S1353" s="43"/>
      <c r="T1353" s="43"/>
      <c r="U1353" s="43"/>
      <c r="V1353" s="43"/>
    </row>
    <row r="1354" spans="1:22" ht="15.75" customHeight="1" x14ac:dyDescent="0.2">
      <c r="A1354" s="40">
        <v>419</v>
      </c>
      <c r="B1354" s="41" t="s">
        <v>672</v>
      </c>
      <c r="C1354" s="42" t="s">
        <v>483</v>
      </c>
      <c r="D1354" s="42" t="s">
        <v>313</v>
      </c>
      <c r="E1354" s="42" t="s">
        <v>319</v>
      </c>
      <c r="F1354" s="42" t="s">
        <v>1542</v>
      </c>
      <c r="G1354" s="42" t="s">
        <v>1207</v>
      </c>
      <c r="H1354" s="43"/>
      <c r="I1354" s="43"/>
      <c r="J1354" s="43"/>
      <c r="K1354" s="43"/>
      <c r="L1354" s="43"/>
      <c r="M1354" s="43"/>
      <c r="N1354" s="43"/>
      <c r="O1354" s="43"/>
      <c r="P1354" s="43"/>
      <c r="Q1354" s="43"/>
      <c r="R1354" s="43"/>
      <c r="S1354" s="43"/>
      <c r="T1354" s="43"/>
      <c r="U1354" s="43"/>
      <c r="V1354" s="43"/>
    </row>
    <row r="1355" spans="1:22" ht="15.75" customHeight="1" x14ac:dyDescent="0.2">
      <c r="A1355" s="40">
        <v>479</v>
      </c>
      <c r="B1355" s="41" t="s">
        <v>445</v>
      </c>
      <c r="C1355" s="42" t="s">
        <v>483</v>
      </c>
      <c r="D1355" s="42" t="s">
        <v>1562</v>
      </c>
      <c r="E1355" s="42" t="s">
        <v>319</v>
      </c>
      <c r="F1355" s="42" t="s">
        <v>1542</v>
      </c>
      <c r="G1355" s="42" t="s">
        <v>1207</v>
      </c>
      <c r="H1355" s="43"/>
      <c r="I1355" s="43"/>
      <c r="J1355" s="43"/>
      <c r="K1355" s="43"/>
      <c r="L1355" s="43"/>
      <c r="M1355" s="43"/>
      <c r="N1355" s="43"/>
      <c r="O1355" s="43"/>
      <c r="P1355" s="43"/>
      <c r="Q1355" s="43"/>
      <c r="R1355" s="43"/>
      <c r="S1355" s="43"/>
      <c r="T1355" s="43"/>
      <c r="U1355" s="43"/>
      <c r="V1355" s="43"/>
    </row>
    <row r="1356" spans="1:22" ht="15.75" customHeight="1" x14ac:dyDescent="0.2">
      <c r="A1356" s="40">
        <v>497</v>
      </c>
      <c r="B1356" s="41" t="s">
        <v>1339</v>
      </c>
      <c r="C1356" s="42" t="s">
        <v>257</v>
      </c>
      <c r="D1356" s="42" t="s">
        <v>388</v>
      </c>
      <c r="E1356" s="42" t="s">
        <v>134</v>
      </c>
      <c r="F1356" s="42" t="s">
        <v>1542</v>
      </c>
      <c r="G1356" s="42" t="s">
        <v>1207</v>
      </c>
      <c r="H1356" s="43"/>
      <c r="I1356" s="43"/>
      <c r="J1356" s="43"/>
      <c r="K1356" s="43"/>
      <c r="L1356" s="43"/>
      <c r="M1356" s="43"/>
      <c r="N1356" s="43"/>
      <c r="O1356" s="43"/>
      <c r="P1356" s="43"/>
      <c r="Q1356" s="43"/>
      <c r="R1356" s="43"/>
      <c r="S1356" s="43"/>
      <c r="T1356" s="43"/>
      <c r="U1356" s="43"/>
      <c r="V1356" s="43"/>
    </row>
    <row r="1357" spans="1:22" ht="15.75" customHeight="1" x14ac:dyDescent="0.2">
      <c r="A1357" s="40">
        <v>509</v>
      </c>
      <c r="B1357" s="41" t="s">
        <v>509</v>
      </c>
      <c r="C1357" s="42" t="s">
        <v>1563</v>
      </c>
      <c r="D1357" s="42" t="s">
        <v>376</v>
      </c>
      <c r="E1357" s="42" t="s">
        <v>690</v>
      </c>
      <c r="F1357" s="42" t="s">
        <v>1542</v>
      </c>
      <c r="G1357" s="42" t="s">
        <v>1207</v>
      </c>
      <c r="H1357" s="43"/>
      <c r="I1357" s="43"/>
      <c r="J1357" s="43"/>
      <c r="K1357" s="43"/>
      <c r="L1357" s="43"/>
      <c r="M1357" s="43"/>
      <c r="N1357" s="43"/>
      <c r="O1357" s="43"/>
      <c r="P1357" s="43"/>
      <c r="Q1357" s="43"/>
      <c r="R1357" s="43"/>
      <c r="S1357" s="43"/>
      <c r="T1357" s="43"/>
      <c r="U1357" s="43"/>
      <c r="V1357" s="43"/>
    </row>
    <row r="1358" spans="1:22" ht="15.75" customHeight="1" x14ac:dyDescent="0.2">
      <c r="A1358" s="40">
        <v>555</v>
      </c>
      <c r="B1358" s="41" t="s">
        <v>368</v>
      </c>
      <c r="C1358" s="42" t="s">
        <v>1564</v>
      </c>
      <c r="D1358" s="42" t="s">
        <v>1565</v>
      </c>
      <c r="E1358" s="42" t="s">
        <v>1566</v>
      </c>
      <c r="F1358" s="42" t="s">
        <v>1542</v>
      </c>
      <c r="G1358" s="42" t="s">
        <v>1207</v>
      </c>
      <c r="H1358" s="43"/>
      <c r="I1358" s="43"/>
      <c r="J1358" s="43"/>
      <c r="K1358" s="43"/>
      <c r="L1358" s="43"/>
      <c r="M1358" s="43"/>
      <c r="N1358" s="43"/>
      <c r="O1358" s="43"/>
      <c r="P1358" s="43"/>
      <c r="Q1358" s="43"/>
      <c r="R1358" s="43"/>
      <c r="S1358" s="43"/>
      <c r="T1358" s="43"/>
      <c r="U1358" s="43"/>
      <c r="V1358" s="43"/>
    </row>
    <row r="1359" spans="1:22" ht="15.75" customHeight="1" x14ac:dyDescent="0.2">
      <c r="A1359" s="40">
        <v>559</v>
      </c>
      <c r="B1359" s="41" t="s">
        <v>368</v>
      </c>
      <c r="C1359" s="42" t="s">
        <v>1444</v>
      </c>
      <c r="D1359" s="42" t="s">
        <v>1068</v>
      </c>
      <c r="E1359" s="42" t="s">
        <v>348</v>
      </c>
      <c r="F1359" s="42" t="s">
        <v>1542</v>
      </c>
      <c r="G1359" s="42" t="s">
        <v>1207</v>
      </c>
      <c r="H1359" s="43"/>
      <c r="I1359" s="43"/>
      <c r="J1359" s="43"/>
      <c r="K1359" s="43"/>
      <c r="L1359" s="43"/>
      <c r="M1359" s="43"/>
      <c r="N1359" s="43"/>
      <c r="O1359" s="43"/>
      <c r="P1359" s="43"/>
      <c r="Q1359" s="43"/>
      <c r="R1359" s="43"/>
      <c r="S1359" s="43"/>
      <c r="T1359" s="43"/>
      <c r="U1359" s="43"/>
      <c r="V1359" s="43"/>
    </row>
    <row r="1360" spans="1:22" ht="15.75" customHeight="1" x14ac:dyDescent="0.2">
      <c r="A1360" s="40">
        <v>561</v>
      </c>
      <c r="B1360" s="41" t="s">
        <v>368</v>
      </c>
      <c r="C1360" s="42" t="s">
        <v>257</v>
      </c>
      <c r="D1360" s="42" t="s">
        <v>388</v>
      </c>
      <c r="E1360" s="42" t="s">
        <v>134</v>
      </c>
      <c r="F1360" s="42" t="s">
        <v>1542</v>
      </c>
      <c r="G1360" s="42" t="s">
        <v>1207</v>
      </c>
      <c r="H1360" s="43"/>
      <c r="I1360" s="43"/>
      <c r="J1360" s="43"/>
      <c r="K1360" s="43"/>
      <c r="L1360" s="43"/>
      <c r="M1360" s="43"/>
      <c r="N1360" s="43"/>
      <c r="O1360" s="43"/>
      <c r="P1360" s="43"/>
      <c r="Q1360" s="43"/>
      <c r="R1360" s="43"/>
      <c r="S1360" s="43"/>
      <c r="T1360" s="43"/>
      <c r="U1360" s="43"/>
      <c r="V1360" s="43"/>
    </row>
    <row r="1361" spans="1:22" ht="15.75" customHeight="1" x14ac:dyDescent="0.2">
      <c r="A1361" s="40">
        <v>587</v>
      </c>
      <c r="B1361" s="41" t="s">
        <v>428</v>
      </c>
      <c r="C1361" s="42" t="s">
        <v>1567</v>
      </c>
      <c r="D1361" s="42" t="s">
        <v>534</v>
      </c>
      <c r="E1361" s="42" t="s">
        <v>18</v>
      </c>
      <c r="F1361" s="42" t="s">
        <v>1542</v>
      </c>
      <c r="G1361" s="42" t="s">
        <v>1207</v>
      </c>
      <c r="H1361" s="43"/>
      <c r="I1361" s="43"/>
      <c r="J1361" s="43"/>
      <c r="K1361" s="43"/>
      <c r="L1361" s="43"/>
      <c r="M1361" s="43"/>
      <c r="N1361" s="43"/>
      <c r="O1361" s="43"/>
      <c r="P1361" s="43"/>
      <c r="Q1361" s="43"/>
      <c r="R1361" s="43"/>
      <c r="S1361" s="43"/>
      <c r="T1361" s="43"/>
      <c r="U1361" s="43"/>
      <c r="V1361" s="43"/>
    </row>
    <row r="1362" spans="1:22" ht="15.75" customHeight="1" x14ac:dyDescent="0.2">
      <c r="A1362" s="40">
        <v>657</v>
      </c>
      <c r="B1362" s="41" t="s">
        <v>252</v>
      </c>
      <c r="C1362" s="42" t="s">
        <v>1564</v>
      </c>
      <c r="D1362" s="42" t="s">
        <v>529</v>
      </c>
      <c r="E1362" s="42" t="s">
        <v>639</v>
      </c>
      <c r="F1362" s="42" t="s">
        <v>1542</v>
      </c>
      <c r="G1362" s="42" t="s">
        <v>1207</v>
      </c>
      <c r="H1362" s="43"/>
      <c r="I1362" s="43"/>
      <c r="J1362" s="43"/>
      <c r="K1362" s="43"/>
      <c r="L1362" s="43"/>
      <c r="M1362" s="43"/>
      <c r="N1362" s="43"/>
      <c r="O1362" s="43"/>
      <c r="P1362" s="43"/>
      <c r="Q1362" s="43"/>
      <c r="R1362" s="43"/>
      <c r="S1362" s="43"/>
      <c r="T1362" s="43"/>
      <c r="U1362" s="43"/>
      <c r="V1362" s="43"/>
    </row>
    <row r="1363" spans="1:22" ht="15.75" customHeight="1" x14ac:dyDescent="0.2">
      <c r="A1363" s="40">
        <v>691</v>
      </c>
      <c r="B1363" s="41" t="s">
        <v>1508</v>
      </c>
      <c r="C1363" s="42" t="s">
        <v>1554</v>
      </c>
      <c r="D1363" s="42" t="s">
        <v>516</v>
      </c>
      <c r="E1363" s="42" t="s">
        <v>306</v>
      </c>
      <c r="F1363" s="42" t="s">
        <v>1542</v>
      </c>
      <c r="G1363" s="42" t="s">
        <v>1207</v>
      </c>
      <c r="H1363" s="43"/>
      <c r="I1363" s="43"/>
      <c r="J1363" s="43"/>
      <c r="K1363" s="43"/>
      <c r="L1363" s="43"/>
      <c r="M1363" s="43"/>
      <c r="N1363" s="43"/>
      <c r="O1363" s="43"/>
      <c r="P1363" s="43"/>
      <c r="Q1363" s="43"/>
      <c r="R1363" s="43"/>
      <c r="S1363" s="43"/>
      <c r="T1363" s="43"/>
      <c r="U1363" s="43"/>
      <c r="V1363" s="43"/>
    </row>
    <row r="1364" spans="1:22" ht="15.75" customHeight="1" x14ac:dyDescent="0.2">
      <c r="A1364" s="40">
        <v>695</v>
      </c>
      <c r="B1364" s="41" t="s">
        <v>1508</v>
      </c>
      <c r="C1364" s="42" t="s">
        <v>1568</v>
      </c>
      <c r="D1364" s="42" t="s">
        <v>1289</v>
      </c>
      <c r="E1364" s="42" t="s">
        <v>452</v>
      </c>
      <c r="F1364" s="42" t="s">
        <v>1542</v>
      </c>
      <c r="G1364" s="42" t="s">
        <v>1207</v>
      </c>
      <c r="H1364" s="43"/>
      <c r="I1364" s="43"/>
      <c r="J1364" s="43"/>
      <c r="K1364" s="43"/>
      <c r="L1364" s="43"/>
      <c r="M1364" s="43"/>
      <c r="N1364" s="43"/>
      <c r="O1364" s="43"/>
      <c r="P1364" s="43"/>
      <c r="Q1364" s="43"/>
      <c r="R1364" s="43"/>
      <c r="S1364" s="43"/>
      <c r="T1364" s="43"/>
      <c r="U1364" s="43"/>
      <c r="V1364" s="43"/>
    </row>
    <row r="1365" spans="1:22" ht="15.75" customHeight="1" x14ac:dyDescent="0.2">
      <c r="A1365" s="40">
        <v>705</v>
      </c>
      <c r="B1365" s="41" t="s">
        <v>1569</v>
      </c>
      <c r="C1365" s="42" t="s">
        <v>1570</v>
      </c>
      <c r="D1365" s="42" t="s">
        <v>1239</v>
      </c>
      <c r="E1365" s="42" t="s">
        <v>1571</v>
      </c>
      <c r="F1365" s="42" t="s">
        <v>1542</v>
      </c>
      <c r="G1365" s="42" t="s">
        <v>1207</v>
      </c>
      <c r="H1365" s="43"/>
      <c r="I1365" s="43"/>
      <c r="J1365" s="43"/>
      <c r="K1365" s="43"/>
      <c r="L1365" s="43"/>
      <c r="M1365" s="43"/>
      <c r="N1365" s="43"/>
      <c r="O1365" s="43"/>
      <c r="P1365" s="43"/>
      <c r="Q1365" s="43"/>
      <c r="R1365" s="43"/>
      <c r="S1365" s="43"/>
      <c r="T1365" s="43"/>
      <c r="U1365" s="43"/>
      <c r="V1365" s="43"/>
    </row>
    <row r="1366" spans="1:22" ht="15.75" customHeight="1" x14ac:dyDescent="0.2">
      <c r="A1366" s="40">
        <v>707</v>
      </c>
      <c r="B1366" s="41" t="s">
        <v>1569</v>
      </c>
      <c r="C1366" s="42" t="s">
        <v>1568</v>
      </c>
      <c r="D1366" s="42" t="s">
        <v>1289</v>
      </c>
      <c r="E1366" s="42" t="s">
        <v>452</v>
      </c>
      <c r="F1366" s="42" t="s">
        <v>1542</v>
      </c>
      <c r="G1366" s="42" t="s">
        <v>1207</v>
      </c>
      <c r="H1366" s="43"/>
      <c r="I1366" s="43"/>
      <c r="J1366" s="43"/>
      <c r="K1366" s="43"/>
      <c r="L1366" s="43"/>
      <c r="M1366" s="43"/>
      <c r="N1366" s="43"/>
      <c r="O1366" s="43"/>
      <c r="P1366" s="43"/>
      <c r="Q1366" s="43"/>
      <c r="R1366" s="43"/>
      <c r="S1366" s="43"/>
      <c r="T1366" s="43"/>
      <c r="U1366" s="43"/>
      <c r="V1366" s="43"/>
    </row>
    <row r="1367" spans="1:22" ht="15.75" customHeight="1" x14ac:dyDescent="0.2">
      <c r="A1367" s="40">
        <v>719</v>
      </c>
      <c r="B1367" s="41" t="s">
        <v>1407</v>
      </c>
      <c r="C1367" s="42" t="s">
        <v>1572</v>
      </c>
      <c r="D1367" s="42" t="s">
        <v>1573</v>
      </c>
      <c r="E1367" s="42" t="s">
        <v>348</v>
      </c>
      <c r="F1367" s="42" t="s">
        <v>1542</v>
      </c>
      <c r="G1367" s="42" t="s">
        <v>1207</v>
      </c>
      <c r="H1367" s="43"/>
      <c r="I1367" s="43"/>
      <c r="J1367" s="43"/>
      <c r="K1367" s="43"/>
      <c r="L1367" s="43"/>
      <c r="M1367" s="43"/>
      <c r="N1367" s="43"/>
      <c r="O1367" s="43"/>
      <c r="P1367" s="43"/>
      <c r="Q1367" s="43"/>
      <c r="R1367" s="43"/>
      <c r="S1367" s="43"/>
      <c r="T1367" s="43"/>
      <c r="U1367" s="43"/>
      <c r="V1367" s="43"/>
    </row>
    <row r="1368" spans="1:22" ht="15.75" customHeight="1" x14ac:dyDescent="0.2">
      <c r="A1368" s="40">
        <v>733</v>
      </c>
      <c r="B1368" s="41" t="s">
        <v>686</v>
      </c>
      <c r="C1368" s="42" t="s">
        <v>1574</v>
      </c>
      <c r="D1368" s="42" t="s">
        <v>1171</v>
      </c>
      <c r="E1368" s="42" t="s">
        <v>1575</v>
      </c>
      <c r="F1368" s="42" t="s">
        <v>1542</v>
      </c>
      <c r="G1368" s="42" t="s">
        <v>1207</v>
      </c>
      <c r="H1368" s="43"/>
      <c r="I1368" s="43"/>
      <c r="J1368" s="43"/>
      <c r="K1368" s="43"/>
      <c r="L1368" s="43"/>
      <c r="M1368" s="43"/>
      <c r="N1368" s="43"/>
      <c r="O1368" s="43"/>
      <c r="P1368" s="43"/>
      <c r="Q1368" s="43"/>
      <c r="R1368" s="43"/>
      <c r="S1368" s="43"/>
      <c r="T1368" s="43"/>
      <c r="U1368" s="43"/>
      <c r="V1368" s="43"/>
    </row>
    <row r="1369" spans="1:22" ht="15.75" customHeight="1" x14ac:dyDescent="0.2">
      <c r="A1369" s="40">
        <v>739</v>
      </c>
      <c r="B1369" s="41" t="s">
        <v>686</v>
      </c>
      <c r="C1369" s="42" t="s">
        <v>1572</v>
      </c>
      <c r="D1369" s="42" t="s">
        <v>1573</v>
      </c>
      <c r="E1369" s="42" t="s">
        <v>348</v>
      </c>
      <c r="F1369" s="42" t="s">
        <v>1542</v>
      </c>
      <c r="G1369" s="42" t="s">
        <v>1207</v>
      </c>
      <c r="H1369" s="43"/>
      <c r="I1369" s="43"/>
      <c r="J1369" s="43"/>
      <c r="K1369" s="43"/>
      <c r="L1369" s="43"/>
      <c r="M1369" s="43"/>
      <c r="N1369" s="43"/>
      <c r="O1369" s="43"/>
      <c r="P1369" s="43"/>
      <c r="Q1369" s="43"/>
      <c r="R1369" s="43"/>
      <c r="S1369" s="43"/>
      <c r="T1369" s="43"/>
      <c r="U1369" s="43"/>
      <c r="V1369" s="43"/>
    </row>
    <row r="1370" spans="1:22" ht="15.75" customHeight="1" x14ac:dyDescent="0.2">
      <c r="A1370" s="40">
        <v>745</v>
      </c>
      <c r="B1370" s="41" t="s">
        <v>687</v>
      </c>
      <c r="C1370" s="42" t="s">
        <v>1567</v>
      </c>
      <c r="D1370" s="42" t="s">
        <v>534</v>
      </c>
      <c r="E1370" s="42" t="s">
        <v>18</v>
      </c>
      <c r="F1370" s="42" t="s">
        <v>1542</v>
      </c>
      <c r="G1370" s="42" t="s">
        <v>1207</v>
      </c>
      <c r="H1370" s="43"/>
      <c r="I1370" s="43"/>
      <c r="J1370" s="43"/>
      <c r="K1370" s="43"/>
      <c r="L1370" s="43"/>
      <c r="M1370" s="43"/>
      <c r="N1370" s="43"/>
      <c r="O1370" s="43"/>
      <c r="P1370" s="43"/>
      <c r="Q1370" s="43"/>
      <c r="R1370" s="43"/>
      <c r="S1370" s="43"/>
      <c r="T1370" s="43"/>
      <c r="U1370" s="43"/>
      <c r="V1370" s="43"/>
    </row>
    <row r="1371" spans="1:22" ht="15.75" customHeight="1" x14ac:dyDescent="0.2">
      <c r="A1371" s="40">
        <v>891</v>
      </c>
      <c r="B1371" s="41" t="s">
        <v>634</v>
      </c>
      <c r="C1371" s="42" t="s">
        <v>1576</v>
      </c>
      <c r="D1371" s="42" t="s">
        <v>21</v>
      </c>
      <c r="E1371" s="42" t="s">
        <v>40</v>
      </c>
      <c r="F1371" s="42" t="s">
        <v>1542</v>
      </c>
      <c r="G1371" s="42" t="s">
        <v>1207</v>
      </c>
      <c r="H1371" s="43"/>
      <c r="I1371" s="43"/>
      <c r="J1371" s="43"/>
      <c r="K1371" s="43"/>
      <c r="L1371" s="43"/>
      <c r="M1371" s="43"/>
      <c r="N1371" s="43"/>
      <c r="O1371" s="43"/>
      <c r="P1371" s="43"/>
      <c r="Q1371" s="43"/>
      <c r="R1371" s="43"/>
      <c r="S1371" s="43"/>
      <c r="T1371" s="43"/>
      <c r="U1371" s="43"/>
      <c r="V1371" s="43"/>
    </row>
    <row r="1372" spans="1:22" ht="15.75" customHeight="1" x14ac:dyDescent="0.2">
      <c r="A1372" s="40">
        <v>927</v>
      </c>
      <c r="B1372" s="41" t="s">
        <v>709</v>
      </c>
      <c r="C1372" s="42" t="s">
        <v>1449</v>
      </c>
      <c r="D1372" s="42" t="s">
        <v>396</v>
      </c>
      <c r="E1372" s="42" t="s">
        <v>70</v>
      </c>
      <c r="F1372" s="42" t="s">
        <v>1542</v>
      </c>
      <c r="G1372" s="42" t="s">
        <v>1207</v>
      </c>
      <c r="H1372" s="43"/>
      <c r="I1372" s="43"/>
      <c r="J1372" s="43"/>
      <c r="K1372" s="43"/>
      <c r="L1372" s="43"/>
      <c r="M1372" s="43"/>
      <c r="N1372" s="43"/>
      <c r="O1372" s="43"/>
      <c r="P1372" s="43"/>
      <c r="Q1372" s="43"/>
      <c r="R1372" s="43"/>
      <c r="S1372" s="43"/>
      <c r="T1372" s="43"/>
      <c r="U1372" s="43"/>
      <c r="V1372" s="43"/>
    </row>
    <row r="1373" spans="1:22" ht="15.75" customHeight="1" x14ac:dyDescent="0.2">
      <c r="A1373" s="40">
        <v>1017</v>
      </c>
      <c r="B1373" s="41" t="s">
        <v>1076</v>
      </c>
      <c r="C1373" s="42" t="s">
        <v>1577</v>
      </c>
      <c r="D1373" s="42" t="s">
        <v>75</v>
      </c>
      <c r="E1373" s="42" t="s">
        <v>1485</v>
      </c>
      <c r="F1373" s="42" t="s">
        <v>1542</v>
      </c>
      <c r="G1373" s="42" t="s">
        <v>1207</v>
      </c>
      <c r="H1373" s="43"/>
      <c r="I1373" s="43"/>
      <c r="J1373" s="43"/>
      <c r="K1373" s="43"/>
      <c r="L1373" s="43"/>
      <c r="M1373" s="43"/>
      <c r="N1373" s="43"/>
      <c r="O1373" s="43"/>
      <c r="P1373" s="43"/>
      <c r="Q1373" s="43"/>
      <c r="R1373" s="43"/>
      <c r="S1373" s="43"/>
      <c r="T1373" s="43"/>
      <c r="U1373" s="43"/>
      <c r="V1373" s="43"/>
    </row>
    <row r="1374" spans="1:22" ht="15.75" customHeight="1" x14ac:dyDescent="0.2">
      <c r="A1374" s="40">
        <v>1085</v>
      </c>
      <c r="B1374" s="41" t="s">
        <v>710</v>
      </c>
      <c r="C1374" s="42" t="s">
        <v>584</v>
      </c>
      <c r="D1374" s="42" t="s">
        <v>491</v>
      </c>
      <c r="E1374" s="42" t="s">
        <v>384</v>
      </c>
      <c r="F1374" s="42" t="s">
        <v>1542</v>
      </c>
      <c r="G1374" s="42" t="s">
        <v>1207</v>
      </c>
      <c r="H1374" s="43"/>
      <c r="I1374" s="43"/>
      <c r="J1374" s="43"/>
      <c r="K1374" s="43"/>
      <c r="L1374" s="43"/>
      <c r="M1374" s="43"/>
      <c r="N1374" s="43"/>
      <c r="O1374" s="43"/>
      <c r="P1374" s="43"/>
      <c r="Q1374" s="43"/>
      <c r="R1374" s="43"/>
      <c r="S1374" s="43"/>
      <c r="T1374" s="43"/>
      <c r="U1374" s="43"/>
      <c r="V1374" s="43"/>
    </row>
    <row r="1375" spans="1:22" ht="15.75" customHeight="1" x14ac:dyDescent="0.2">
      <c r="A1375" s="40">
        <v>1143</v>
      </c>
      <c r="B1375" s="41" t="s">
        <v>433</v>
      </c>
      <c r="C1375" s="42" t="s">
        <v>483</v>
      </c>
      <c r="D1375" s="42" t="s">
        <v>1562</v>
      </c>
      <c r="E1375" s="42" t="s">
        <v>319</v>
      </c>
      <c r="F1375" s="42" t="s">
        <v>1542</v>
      </c>
      <c r="G1375" s="42" t="s">
        <v>1207</v>
      </c>
      <c r="H1375" s="43"/>
      <c r="I1375" s="43"/>
      <c r="J1375" s="43"/>
      <c r="K1375" s="43"/>
      <c r="L1375" s="43"/>
      <c r="M1375" s="43"/>
      <c r="N1375" s="43"/>
      <c r="O1375" s="43"/>
      <c r="P1375" s="43"/>
      <c r="Q1375" s="43"/>
      <c r="R1375" s="43"/>
      <c r="S1375" s="43"/>
      <c r="T1375" s="43"/>
      <c r="U1375" s="43"/>
      <c r="V1375" s="43"/>
    </row>
    <row r="1376" spans="1:22" ht="15.75" customHeight="1" x14ac:dyDescent="0.2">
      <c r="A1376" s="40">
        <v>1199</v>
      </c>
      <c r="B1376" s="41" t="s">
        <v>1364</v>
      </c>
      <c r="C1376" s="42" t="s">
        <v>1553</v>
      </c>
      <c r="D1376" s="42" t="s">
        <v>58</v>
      </c>
      <c r="E1376" s="42" t="s">
        <v>1058</v>
      </c>
      <c r="F1376" s="42" t="s">
        <v>1542</v>
      </c>
      <c r="G1376" s="42" t="s">
        <v>1207</v>
      </c>
      <c r="H1376" s="43"/>
      <c r="I1376" s="43"/>
      <c r="J1376" s="43"/>
      <c r="K1376" s="43"/>
      <c r="L1376" s="43"/>
      <c r="M1376" s="43"/>
      <c r="N1376" s="43"/>
      <c r="O1376" s="43"/>
      <c r="P1376" s="43"/>
      <c r="Q1376" s="43"/>
      <c r="R1376" s="43"/>
      <c r="S1376" s="43"/>
      <c r="T1376" s="43"/>
      <c r="U1376" s="43"/>
      <c r="V1376" s="43"/>
    </row>
    <row r="1377" spans="1:22" ht="15.75" customHeight="1" x14ac:dyDescent="0.2">
      <c r="A1377" s="40">
        <v>1207</v>
      </c>
      <c r="B1377" s="41" t="s">
        <v>1364</v>
      </c>
      <c r="C1377" s="42" t="s">
        <v>1554</v>
      </c>
      <c r="D1377" s="42" t="s">
        <v>516</v>
      </c>
      <c r="E1377" s="42" t="s">
        <v>306</v>
      </c>
      <c r="F1377" s="42" t="s">
        <v>1542</v>
      </c>
      <c r="G1377" s="42" t="s">
        <v>1207</v>
      </c>
      <c r="H1377" s="43"/>
      <c r="I1377" s="43"/>
      <c r="J1377" s="43"/>
      <c r="K1377" s="43"/>
      <c r="L1377" s="43"/>
      <c r="M1377" s="43"/>
      <c r="N1377" s="43"/>
      <c r="O1377" s="43"/>
      <c r="P1377" s="43"/>
      <c r="Q1377" s="43"/>
      <c r="R1377" s="43"/>
      <c r="S1377" s="43"/>
      <c r="T1377" s="43"/>
      <c r="U1377" s="43"/>
      <c r="V1377" s="43"/>
    </row>
    <row r="1378" spans="1:22" ht="15.75" customHeight="1" x14ac:dyDescent="0.2">
      <c r="A1378" s="40">
        <v>1211</v>
      </c>
      <c r="B1378" s="41" t="s">
        <v>1364</v>
      </c>
      <c r="C1378" s="42" t="s">
        <v>1555</v>
      </c>
      <c r="D1378" s="42" t="s">
        <v>1556</v>
      </c>
      <c r="E1378" s="42" t="s">
        <v>876</v>
      </c>
      <c r="F1378" s="42" t="s">
        <v>1542</v>
      </c>
      <c r="G1378" s="42" t="s">
        <v>1207</v>
      </c>
      <c r="H1378" s="43"/>
      <c r="I1378" s="43"/>
      <c r="J1378" s="43"/>
      <c r="K1378" s="43"/>
      <c r="L1378" s="43"/>
      <c r="M1378" s="43"/>
      <c r="N1378" s="43"/>
      <c r="O1378" s="43"/>
      <c r="P1378" s="43"/>
      <c r="Q1378" s="43"/>
      <c r="R1378" s="43"/>
      <c r="S1378" s="43"/>
      <c r="T1378" s="43"/>
      <c r="U1378" s="43"/>
      <c r="V1378" s="43"/>
    </row>
    <row r="1379" spans="1:22" ht="15.75" customHeight="1" x14ac:dyDescent="0.2">
      <c r="A1379" s="40">
        <v>1223</v>
      </c>
      <c r="B1379" s="41" t="s">
        <v>699</v>
      </c>
      <c r="C1379" s="42" t="s">
        <v>1552</v>
      </c>
      <c r="D1379" s="42" t="s">
        <v>128</v>
      </c>
      <c r="E1379" s="42" t="s">
        <v>40</v>
      </c>
      <c r="F1379" s="42" t="s">
        <v>1542</v>
      </c>
      <c r="G1379" s="42" t="s">
        <v>1207</v>
      </c>
      <c r="H1379" s="43"/>
      <c r="I1379" s="43"/>
      <c r="J1379" s="43"/>
      <c r="K1379" s="43"/>
      <c r="L1379" s="43"/>
      <c r="M1379" s="43"/>
      <c r="N1379" s="43"/>
      <c r="O1379" s="43"/>
      <c r="P1379" s="43"/>
      <c r="Q1379" s="43"/>
      <c r="R1379" s="43"/>
      <c r="S1379" s="43"/>
      <c r="T1379" s="43"/>
      <c r="U1379" s="43"/>
      <c r="V1379" s="43"/>
    </row>
    <row r="1380" spans="1:22" ht="15.75" customHeight="1" x14ac:dyDescent="0.2">
      <c r="A1380" s="40">
        <v>1253</v>
      </c>
      <c r="B1380" s="41" t="s">
        <v>699</v>
      </c>
      <c r="C1380" s="42" t="s">
        <v>1578</v>
      </c>
      <c r="D1380" s="42" t="s">
        <v>643</v>
      </c>
      <c r="E1380" s="42" t="s">
        <v>32</v>
      </c>
      <c r="F1380" s="42" t="s">
        <v>1542</v>
      </c>
      <c r="G1380" s="42" t="s">
        <v>1207</v>
      </c>
      <c r="H1380" s="43"/>
      <c r="I1380" s="43"/>
      <c r="J1380" s="43"/>
      <c r="K1380" s="43"/>
      <c r="L1380" s="43"/>
      <c r="M1380" s="43"/>
      <c r="N1380" s="43"/>
      <c r="O1380" s="43"/>
      <c r="P1380" s="43"/>
      <c r="Q1380" s="43"/>
      <c r="R1380" s="43"/>
      <c r="S1380" s="43"/>
      <c r="T1380" s="43"/>
      <c r="U1380" s="43"/>
      <c r="V1380" s="43"/>
    </row>
    <row r="1381" spans="1:22" ht="15.75" customHeight="1" x14ac:dyDescent="0.2">
      <c r="A1381" s="40">
        <v>1285</v>
      </c>
      <c r="B1381" s="41" t="s">
        <v>453</v>
      </c>
      <c r="C1381" s="42" t="s">
        <v>1579</v>
      </c>
      <c r="D1381" s="42" t="s">
        <v>128</v>
      </c>
      <c r="E1381" s="42" t="s">
        <v>70</v>
      </c>
      <c r="F1381" s="42" t="s">
        <v>1542</v>
      </c>
      <c r="G1381" s="42" t="s">
        <v>1207</v>
      </c>
      <c r="H1381" s="43"/>
      <c r="I1381" s="43"/>
      <c r="J1381" s="43"/>
      <c r="K1381" s="43"/>
      <c r="L1381" s="43"/>
      <c r="M1381" s="43"/>
      <c r="N1381" s="43"/>
      <c r="O1381" s="43"/>
      <c r="P1381" s="43"/>
      <c r="Q1381" s="43"/>
      <c r="R1381" s="43"/>
      <c r="S1381" s="43"/>
      <c r="T1381" s="43"/>
      <c r="U1381" s="43"/>
      <c r="V1381" s="43"/>
    </row>
    <row r="1382" spans="1:22" ht="15.75" customHeight="1" x14ac:dyDescent="0.2">
      <c r="A1382" s="40">
        <v>1299</v>
      </c>
      <c r="B1382" s="41" t="s">
        <v>936</v>
      </c>
      <c r="C1382" s="42" t="s">
        <v>1580</v>
      </c>
      <c r="D1382" s="42" t="s">
        <v>1581</v>
      </c>
      <c r="E1382" s="42" t="s">
        <v>1281</v>
      </c>
      <c r="F1382" s="42" t="s">
        <v>1542</v>
      </c>
      <c r="G1382" s="42" t="s">
        <v>1207</v>
      </c>
      <c r="H1382" s="43"/>
      <c r="I1382" s="43"/>
      <c r="J1382" s="43"/>
      <c r="K1382" s="43"/>
      <c r="L1382" s="43"/>
      <c r="M1382" s="43"/>
      <c r="N1382" s="43"/>
      <c r="O1382" s="43"/>
      <c r="P1382" s="43"/>
      <c r="Q1382" s="43"/>
      <c r="R1382" s="43"/>
      <c r="S1382" s="43"/>
      <c r="T1382" s="43"/>
      <c r="U1382" s="43"/>
      <c r="V1382" s="43"/>
    </row>
    <row r="1383" spans="1:22" ht="15.75" customHeight="1" x14ac:dyDescent="0.2">
      <c r="A1383" s="40">
        <v>1379</v>
      </c>
      <c r="B1383" s="41" t="s">
        <v>601</v>
      </c>
      <c r="C1383" s="42" t="s">
        <v>1576</v>
      </c>
      <c r="D1383" s="42" t="s">
        <v>124</v>
      </c>
      <c r="E1383" s="42" t="s">
        <v>40</v>
      </c>
      <c r="F1383" s="42" t="s">
        <v>1542</v>
      </c>
      <c r="G1383" s="42" t="s">
        <v>1207</v>
      </c>
      <c r="H1383" s="43"/>
      <c r="I1383" s="43"/>
      <c r="J1383" s="43"/>
      <c r="K1383" s="43"/>
      <c r="L1383" s="43"/>
      <c r="M1383" s="43"/>
      <c r="N1383" s="43"/>
      <c r="O1383" s="43"/>
      <c r="P1383" s="43"/>
      <c r="Q1383" s="43"/>
      <c r="R1383" s="43"/>
      <c r="S1383" s="43"/>
      <c r="T1383" s="43"/>
      <c r="U1383" s="43"/>
      <c r="V1383" s="43"/>
    </row>
    <row r="1384" spans="1:22" ht="15.75" customHeight="1" x14ac:dyDescent="0.2">
      <c r="A1384" s="40">
        <v>1383</v>
      </c>
      <c r="B1384" s="41" t="s">
        <v>601</v>
      </c>
      <c r="C1384" s="42" t="s">
        <v>1449</v>
      </c>
      <c r="D1384" s="42" t="s">
        <v>1237</v>
      </c>
      <c r="E1384" s="42" t="s">
        <v>70</v>
      </c>
      <c r="F1384" s="42" t="s">
        <v>1542</v>
      </c>
      <c r="G1384" s="42" t="s">
        <v>1207</v>
      </c>
      <c r="H1384" s="43"/>
      <c r="I1384" s="43"/>
      <c r="J1384" s="43"/>
      <c r="K1384" s="43"/>
      <c r="L1384" s="43"/>
      <c r="M1384" s="43"/>
      <c r="N1384" s="43"/>
      <c r="O1384" s="43"/>
      <c r="P1384" s="43"/>
      <c r="Q1384" s="43"/>
      <c r="R1384" s="43"/>
      <c r="S1384" s="43"/>
      <c r="T1384" s="43"/>
      <c r="U1384" s="43"/>
      <c r="V1384" s="43"/>
    </row>
    <row r="1385" spans="1:22" ht="15.75" customHeight="1" x14ac:dyDescent="0.2">
      <c r="A1385" s="40">
        <v>1435</v>
      </c>
      <c r="B1385" s="41" t="s">
        <v>261</v>
      </c>
      <c r="C1385" s="42" t="s">
        <v>1561</v>
      </c>
      <c r="D1385" s="42" t="s">
        <v>309</v>
      </c>
      <c r="E1385" s="42" t="s">
        <v>40</v>
      </c>
      <c r="F1385" s="42" t="s">
        <v>1542</v>
      </c>
      <c r="G1385" s="42" t="s">
        <v>1207</v>
      </c>
      <c r="H1385" s="43"/>
      <c r="I1385" s="43"/>
      <c r="J1385" s="43"/>
      <c r="K1385" s="43"/>
      <c r="L1385" s="43"/>
      <c r="M1385" s="43"/>
      <c r="N1385" s="43"/>
      <c r="O1385" s="43"/>
      <c r="P1385" s="43"/>
      <c r="Q1385" s="43"/>
      <c r="R1385" s="43"/>
      <c r="S1385" s="43"/>
      <c r="T1385" s="43"/>
      <c r="U1385" s="43"/>
      <c r="V1385" s="43"/>
    </row>
    <row r="1386" spans="1:22" ht="15.75" customHeight="1" x14ac:dyDescent="0.2">
      <c r="A1386" s="40">
        <v>1461</v>
      </c>
      <c r="B1386" s="41" t="s">
        <v>261</v>
      </c>
      <c r="C1386" s="42" t="s">
        <v>1582</v>
      </c>
      <c r="D1386" s="42" t="s">
        <v>75</v>
      </c>
      <c r="E1386" s="42" t="s">
        <v>87</v>
      </c>
      <c r="F1386" s="42" t="s">
        <v>1542</v>
      </c>
      <c r="G1386" s="42" t="s">
        <v>1207</v>
      </c>
      <c r="H1386" s="43"/>
      <c r="I1386" s="43"/>
      <c r="J1386" s="43"/>
      <c r="K1386" s="43"/>
      <c r="L1386" s="43"/>
      <c r="M1386" s="43"/>
      <c r="N1386" s="43"/>
      <c r="O1386" s="43"/>
      <c r="P1386" s="43"/>
      <c r="Q1386" s="43"/>
      <c r="R1386" s="43"/>
      <c r="S1386" s="43"/>
      <c r="T1386" s="43"/>
      <c r="U1386" s="43"/>
      <c r="V1386" s="43"/>
    </row>
    <row r="1387" spans="1:22" ht="15.75" customHeight="1" x14ac:dyDescent="0.2">
      <c r="A1387" s="40">
        <v>1525</v>
      </c>
      <c r="B1387" s="41" t="s">
        <v>263</v>
      </c>
      <c r="C1387" s="42" t="s">
        <v>1564</v>
      </c>
      <c r="D1387" s="42" t="s">
        <v>529</v>
      </c>
      <c r="E1387" s="42" t="s">
        <v>639</v>
      </c>
      <c r="F1387" s="42" t="s">
        <v>1542</v>
      </c>
      <c r="G1387" s="42" t="s">
        <v>1207</v>
      </c>
      <c r="H1387" s="43"/>
      <c r="I1387" s="43"/>
      <c r="J1387" s="43"/>
      <c r="K1387" s="43"/>
      <c r="L1387" s="43"/>
      <c r="M1387" s="43"/>
      <c r="N1387" s="43"/>
      <c r="O1387" s="43"/>
      <c r="P1387" s="43"/>
      <c r="Q1387" s="43"/>
      <c r="R1387" s="43"/>
      <c r="S1387" s="43"/>
      <c r="T1387" s="43"/>
      <c r="U1387" s="43"/>
      <c r="V1387" s="43"/>
    </row>
    <row r="1388" spans="1:22" ht="15.75" customHeight="1" x14ac:dyDescent="0.2">
      <c r="A1388" s="40">
        <v>1533</v>
      </c>
      <c r="B1388" s="41" t="s">
        <v>263</v>
      </c>
      <c r="C1388" s="42" t="s">
        <v>1583</v>
      </c>
      <c r="D1388" s="42" t="s">
        <v>426</v>
      </c>
      <c r="E1388" s="42" t="s">
        <v>91</v>
      </c>
      <c r="F1388" s="42" t="s">
        <v>1542</v>
      </c>
      <c r="G1388" s="42" t="s">
        <v>1207</v>
      </c>
      <c r="H1388" s="43"/>
      <c r="I1388" s="43"/>
      <c r="J1388" s="43"/>
      <c r="K1388" s="43"/>
      <c r="L1388" s="43"/>
      <c r="M1388" s="43"/>
      <c r="N1388" s="43"/>
      <c r="O1388" s="43"/>
      <c r="P1388" s="43"/>
      <c r="Q1388" s="43"/>
      <c r="R1388" s="43"/>
      <c r="S1388" s="43"/>
      <c r="T1388" s="43"/>
      <c r="U1388" s="43"/>
      <c r="V1388" s="43"/>
    </row>
    <row r="1389" spans="1:22" ht="15.75" customHeight="1" x14ac:dyDescent="0.2">
      <c r="A1389" s="40">
        <v>1679</v>
      </c>
      <c r="B1389" s="41" t="s">
        <v>270</v>
      </c>
      <c r="C1389" s="42" t="s">
        <v>1326</v>
      </c>
      <c r="D1389" s="42" t="s">
        <v>396</v>
      </c>
      <c r="E1389" s="42" t="s">
        <v>1330</v>
      </c>
      <c r="F1389" s="42" t="s">
        <v>1542</v>
      </c>
      <c r="G1389" s="42" t="s">
        <v>1207</v>
      </c>
      <c r="H1389" s="43"/>
      <c r="I1389" s="43"/>
      <c r="J1389" s="43"/>
      <c r="K1389" s="43"/>
      <c r="L1389" s="43"/>
      <c r="M1389" s="43"/>
      <c r="N1389" s="43"/>
      <c r="O1389" s="43"/>
      <c r="P1389" s="43"/>
      <c r="Q1389" s="43"/>
      <c r="R1389" s="43"/>
      <c r="S1389" s="43"/>
      <c r="T1389" s="43"/>
      <c r="U1389" s="43"/>
      <c r="V1389" s="43"/>
    </row>
    <row r="1390" spans="1:22" ht="15.75" customHeight="1" x14ac:dyDescent="0.2">
      <c r="A1390" s="40">
        <v>1717</v>
      </c>
      <c r="B1390" s="41" t="s">
        <v>465</v>
      </c>
      <c r="C1390" s="42" t="s">
        <v>1552</v>
      </c>
      <c r="D1390" s="42" t="s">
        <v>128</v>
      </c>
      <c r="E1390" s="42" t="s">
        <v>40</v>
      </c>
      <c r="F1390" s="42" t="s">
        <v>1542</v>
      </c>
      <c r="G1390" s="42" t="s">
        <v>1207</v>
      </c>
      <c r="H1390" s="43"/>
      <c r="I1390" s="43"/>
      <c r="J1390" s="43"/>
      <c r="K1390" s="43"/>
      <c r="L1390" s="43"/>
      <c r="M1390" s="43"/>
      <c r="N1390" s="43"/>
      <c r="O1390" s="43"/>
      <c r="P1390" s="43"/>
      <c r="Q1390" s="43"/>
      <c r="R1390" s="43"/>
      <c r="S1390" s="43"/>
      <c r="T1390" s="43"/>
      <c r="U1390" s="43"/>
      <c r="V1390" s="43"/>
    </row>
    <row r="1391" spans="1:22" ht="15.75" customHeight="1" x14ac:dyDescent="0.2">
      <c r="A1391" s="40">
        <v>1719</v>
      </c>
      <c r="B1391" s="41" t="s">
        <v>465</v>
      </c>
      <c r="C1391" s="42" t="s">
        <v>1554</v>
      </c>
      <c r="D1391" s="42" t="s">
        <v>516</v>
      </c>
      <c r="E1391" s="42" t="s">
        <v>306</v>
      </c>
      <c r="F1391" s="42" t="s">
        <v>1542</v>
      </c>
      <c r="G1391" s="42" t="s">
        <v>1207</v>
      </c>
      <c r="H1391" s="43"/>
      <c r="I1391" s="43"/>
      <c r="J1391" s="43"/>
      <c r="K1391" s="43"/>
      <c r="L1391" s="43"/>
      <c r="M1391" s="43"/>
      <c r="N1391" s="43"/>
      <c r="O1391" s="43"/>
      <c r="P1391" s="43"/>
      <c r="Q1391" s="43"/>
      <c r="R1391" s="43"/>
      <c r="S1391" s="43"/>
      <c r="T1391" s="43"/>
      <c r="U1391" s="43"/>
      <c r="V1391" s="43"/>
    </row>
    <row r="1392" spans="1:22" ht="15.75" customHeight="1" x14ac:dyDescent="0.2">
      <c r="A1392" s="40">
        <v>1721</v>
      </c>
      <c r="B1392" s="41" t="s">
        <v>465</v>
      </c>
      <c r="C1392" s="42" t="s">
        <v>1555</v>
      </c>
      <c r="D1392" s="42" t="s">
        <v>1556</v>
      </c>
      <c r="E1392" s="42" t="s">
        <v>876</v>
      </c>
      <c r="F1392" s="42" t="s">
        <v>1542</v>
      </c>
      <c r="G1392" s="42" t="s">
        <v>1207</v>
      </c>
      <c r="H1392" s="43"/>
      <c r="I1392" s="43"/>
      <c r="J1392" s="43"/>
      <c r="K1392" s="43"/>
      <c r="L1392" s="43"/>
      <c r="M1392" s="43"/>
      <c r="N1392" s="43"/>
      <c r="O1392" s="43"/>
      <c r="P1392" s="43"/>
      <c r="Q1392" s="43"/>
      <c r="R1392" s="43"/>
      <c r="S1392" s="43"/>
      <c r="T1392" s="43"/>
      <c r="U1392" s="43"/>
      <c r="V1392" s="43"/>
    </row>
    <row r="1393" spans="1:22" ht="15.75" customHeight="1" x14ac:dyDescent="0.2">
      <c r="A1393" s="40">
        <v>1741</v>
      </c>
      <c r="B1393" s="41" t="s">
        <v>465</v>
      </c>
      <c r="C1393" s="42" t="s">
        <v>1577</v>
      </c>
      <c r="D1393" s="42" t="s">
        <v>75</v>
      </c>
      <c r="E1393" s="42" t="s">
        <v>1485</v>
      </c>
      <c r="F1393" s="42" t="s">
        <v>1542</v>
      </c>
      <c r="G1393" s="42" t="s">
        <v>1207</v>
      </c>
      <c r="H1393" s="43"/>
      <c r="I1393" s="43"/>
      <c r="J1393" s="43"/>
      <c r="K1393" s="43"/>
      <c r="L1393" s="43"/>
      <c r="M1393" s="43"/>
      <c r="N1393" s="43"/>
      <c r="O1393" s="43"/>
      <c r="P1393" s="43"/>
      <c r="Q1393" s="43"/>
      <c r="R1393" s="43"/>
      <c r="S1393" s="43"/>
      <c r="T1393" s="43"/>
      <c r="U1393" s="43"/>
      <c r="V1393" s="43"/>
    </row>
    <row r="1394" spans="1:22" ht="15.75" customHeight="1" x14ac:dyDescent="0.2">
      <c r="A1394" s="40">
        <v>1769</v>
      </c>
      <c r="B1394" s="41" t="s">
        <v>442</v>
      </c>
      <c r="C1394" s="42" t="s">
        <v>584</v>
      </c>
      <c r="D1394" s="42" t="s">
        <v>491</v>
      </c>
      <c r="E1394" s="42" t="s">
        <v>384</v>
      </c>
      <c r="F1394" s="42" t="s">
        <v>1542</v>
      </c>
      <c r="G1394" s="42" t="s">
        <v>1207</v>
      </c>
      <c r="H1394" s="43"/>
      <c r="I1394" s="43"/>
      <c r="J1394" s="43"/>
      <c r="K1394" s="43"/>
      <c r="L1394" s="43"/>
      <c r="M1394" s="43"/>
      <c r="N1394" s="43"/>
      <c r="O1394" s="43"/>
      <c r="P1394" s="43"/>
      <c r="Q1394" s="43"/>
      <c r="R1394" s="43"/>
      <c r="S1394" s="43"/>
      <c r="T1394" s="43"/>
      <c r="U1394" s="43"/>
      <c r="V1394" s="43"/>
    </row>
    <row r="1395" spans="1:22" ht="15.75" customHeight="1" x14ac:dyDescent="0.2">
      <c r="A1395" s="40">
        <v>1795</v>
      </c>
      <c r="B1395" s="41" t="s">
        <v>276</v>
      </c>
      <c r="C1395" s="42" t="s">
        <v>1580</v>
      </c>
      <c r="D1395" s="42" t="s">
        <v>1581</v>
      </c>
      <c r="E1395" s="42" t="s">
        <v>1281</v>
      </c>
      <c r="F1395" s="42" t="s">
        <v>1542</v>
      </c>
      <c r="G1395" s="42" t="s">
        <v>1207</v>
      </c>
      <c r="H1395" s="43"/>
      <c r="I1395" s="43"/>
      <c r="J1395" s="43"/>
      <c r="K1395" s="43"/>
      <c r="L1395" s="43"/>
      <c r="M1395" s="43"/>
      <c r="N1395" s="43"/>
      <c r="O1395" s="43"/>
      <c r="P1395" s="43"/>
      <c r="Q1395" s="43"/>
      <c r="R1395" s="43"/>
      <c r="S1395" s="43"/>
      <c r="T1395" s="43"/>
      <c r="U1395" s="43"/>
      <c r="V1395" s="43"/>
    </row>
    <row r="1396" spans="1:22" ht="15.75" customHeight="1" x14ac:dyDescent="0.2">
      <c r="A1396" s="40">
        <v>1847</v>
      </c>
      <c r="B1396" s="41" t="s">
        <v>604</v>
      </c>
      <c r="C1396" s="42" t="s">
        <v>1584</v>
      </c>
      <c r="D1396" s="42" t="s">
        <v>78</v>
      </c>
      <c r="E1396" s="42" t="s">
        <v>273</v>
      </c>
      <c r="F1396" s="42" t="s">
        <v>1542</v>
      </c>
      <c r="G1396" s="42" t="s">
        <v>1207</v>
      </c>
      <c r="H1396" s="43"/>
      <c r="I1396" s="43"/>
      <c r="J1396" s="43"/>
      <c r="K1396" s="43"/>
      <c r="L1396" s="43"/>
      <c r="M1396" s="43"/>
      <c r="N1396" s="43"/>
      <c r="O1396" s="43"/>
      <c r="P1396" s="43"/>
      <c r="Q1396" s="43"/>
      <c r="R1396" s="43"/>
      <c r="S1396" s="43"/>
      <c r="T1396" s="43"/>
      <c r="U1396" s="43"/>
      <c r="V1396" s="43"/>
    </row>
    <row r="1397" spans="1:22" ht="15.75" customHeight="1" x14ac:dyDescent="0.2">
      <c r="A1397" s="40">
        <v>1883</v>
      </c>
      <c r="B1397" s="41" t="s">
        <v>711</v>
      </c>
      <c r="C1397" s="42" t="s">
        <v>1576</v>
      </c>
      <c r="D1397" s="42" t="s">
        <v>124</v>
      </c>
      <c r="E1397" s="42" t="s">
        <v>40</v>
      </c>
      <c r="F1397" s="42" t="s">
        <v>1542</v>
      </c>
      <c r="G1397" s="42" t="s">
        <v>1207</v>
      </c>
      <c r="H1397" s="43"/>
      <c r="I1397" s="43"/>
      <c r="J1397" s="43"/>
      <c r="K1397" s="43"/>
      <c r="L1397" s="43"/>
      <c r="M1397" s="43"/>
      <c r="N1397" s="43"/>
      <c r="O1397" s="43"/>
      <c r="P1397" s="43"/>
      <c r="Q1397" s="43"/>
      <c r="R1397" s="43"/>
      <c r="S1397" s="43"/>
      <c r="T1397" s="43"/>
      <c r="U1397" s="43"/>
      <c r="V1397" s="43"/>
    </row>
    <row r="1398" spans="1:22" ht="15.75" customHeight="1" x14ac:dyDescent="0.2">
      <c r="A1398" s="40">
        <v>1907</v>
      </c>
      <c r="B1398" s="41" t="s">
        <v>277</v>
      </c>
      <c r="C1398" s="42" t="s">
        <v>1582</v>
      </c>
      <c r="D1398" s="42" t="s">
        <v>75</v>
      </c>
      <c r="E1398" s="42" t="s">
        <v>87</v>
      </c>
      <c r="F1398" s="42" t="s">
        <v>1542</v>
      </c>
      <c r="G1398" s="42" t="s">
        <v>1207</v>
      </c>
      <c r="H1398" s="43"/>
      <c r="I1398" s="43"/>
      <c r="J1398" s="43"/>
      <c r="K1398" s="43"/>
      <c r="L1398" s="43"/>
      <c r="M1398" s="43"/>
      <c r="N1398" s="43"/>
      <c r="O1398" s="43"/>
      <c r="P1398" s="43"/>
      <c r="Q1398" s="43"/>
      <c r="R1398" s="43"/>
      <c r="S1398" s="43"/>
      <c r="T1398" s="43"/>
      <c r="U1398" s="43"/>
      <c r="V1398" s="43"/>
    </row>
    <row r="1399" spans="1:22" ht="15.75" customHeight="1" x14ac:dyDescent="0.2">
      <c r="A1399" s="40">
        <v>1917</v>
      </c>
      <c r="B1399" s="41" t="s">
        <v>278</v>
      </c>
      <c r="C1399" s="42" t="s">
        <v>1561</v>
      </c>
      <c r="D1399" s="42" t="s">
        <v>309</v>
      </c>
      <c r="E1399" s="42" t="s">
        <v>40</v>
      </c>
      <c r="F1399" s="42" t="s">
        <v>1542</v>
      </c>
      <c r="G1399" s="42" t="s">
        <v>1207</v>
      </c>
      <c r="H1399" s="43"/>
      <c r="I1399" s="43"/>
      <c r="J1399" s="43"/>
      <c r="K1399" s="43"/>
      <c r="L1399" s="43"/>
      <c r="M1399" s="43"/>
      <c r="N1399" s="43"/>
      <c r="O1399" s="43"/>
      <c r="P1399" s="43"/>
      <c r="Q1399" s="43"/>
      <c r="R1399" s="43"/>
      <c r="S1399" s="43"/>
      <c r="T1399" s="43"/>
      <c r="U1399" s="43"/>
      <c r="V1399" s="43"/>
    </row>
    <row r="1400" spans="1:22" ht="15.75" customHeight="1" x14ac:dyDescent="0.2">
      <c r="A1400" s="40">
        <v>1927</v>
      </c>
      <c r="B1400" s="41" t="s">
        <v>278</v>
      </c>
      <c r="C1400" s="42" t="s">
        <v>1585</v>
      </c>
      <c r="D1400" s="42" t="s">
        <v>124</v>
      </c>
      <c r="E1400" s="42" t="s">
        <v>1586</v>
      </c>
      <c r="F1400" s="42" t="s">
        <v>1542</v>
      </c>
      <c r="G1400" s="42" t="s">
        <v>1207</v>
      </c>
      <c r="H1400" s="43"/>
      <c r="I1400" s="43"/>
      <c r="J1400" s="43"/>
      <c r="K1400" s="43"/>
      <c r="L1400" s="43"/>
      <c r="M1400" s="43"/>
      <c r="N1400" s="43"/>
      <c r="O1400" s="43"/>
      <c r="P1400" s="43"/>
      <c r="Q1400" s="43"/>
      <c r="R1400" s="43"/>
      <c r="S1400" s="43"/>
      <c r="T1400" s="43"/>
      <c r="U1400" s="43"/>
      <c r="V1400" s="43"/>
    </row>
    <row r="1401" spans="1:22" ht="15.75" customHeight="1" x14ac:dyDescent="0.2">
      <c r="A1401" s="40">
        <v>1939</v>
      </c>
      <c r="B1401" s="41" t="s">
        <v>278</v>
      </c>
      <c r="C1401" s="42" t="s">
        <v>1326</v>
      </c>
      <c r="D1401" s="42" t="s">
        <v>396</v>
      </c>
      <c r="E1401" s="42" t="s">
        <v>1330</v>
      </c>
      <c r="F1401" s="42" t="s">
        <v>1542</v>
      </c>
      <c r="G1401" s="42" t="s">
        <v>1207</v>
      </c>
      <c r="H1401" s="43"/>
      <c r="I1401" s="43"/>
      <c r="J1401" s="43"/>
      <c r="K1401" s="43"/>
      <c r="L1401" s="43"/>
      <c r="M1401" s="43"/>
      <c r="N1401" s="43"/>
      <c r="O1401" s="43"/>
      <c r="P1401" s="43"/>
      <c r="Q1401" s="43"/>
      <c r="R1401" s="43"/>
      <c r="S1401" s="43"/>
      <c r="T1401" s="43"/>
      <c r="U1401" s="43"/>
      <c r="V1401" s="43"/>
    </row>
    <row r="1402" spans="1:22" ht="15.75" customHeight="1" x14ac:dyDescent="0.2">
      <c r="A1402" s="40">
        <v>1977</v>
      </c>
      <c r="B1402" s="41" t="s">
        <v>279</v>
      </c>
      <c r="C1402" s="42" t="s">
        <v>1583</v>
      </c>
      <c r="D1402" s="42" t="s">
        <v>426</v>
      </c>
      <c r="E1402" s="42" t="s">
        <v>91</v>
      </c>
      <c r="F1402" s="42" t="s">
        <v>1542</v>
      </c>
      <c r="G1402" s="42" t="s">
        <v>1207</v>
      </c>
      <c r="H1402" s="43"/>
      <c r="I1402" s="43"/>
      <c r="J1402" s="43"/>
      <c r="K1402" s="43"/>
      <c r="L1402" s="43"/>
      <c r="M1402" s="43"/>
      <c r="N1402" s="43"/>
      <c r="O1402" s="43"/>
      <c r="P1402" s="43"/>
      <c r="Q1402" s="43"/>
      <c r="R1402" s="43"/>
      <c r="S1402" s="43"/>
      <c r="T1402" s="43"/>
      <c r="U1402" s="43"/>
      <c r="V1402" s="43"/>
    </row>
    <row r="1403" spans="1:22" ht="15.75" customHeight="1" x14ac:dyDescent="0.2">
      <c r="A1403" s="40">
        <v>2003</v>
      </c>
      <c r="B1403" s="41" t="s">
        <v>701</v>
      </c>
      <c r="C1403" s="42" t="s">
        <v>1449</v>
      </c>
      <c r="D1403" s="42" t="s">
        <v>396</v>
      </c>
      <c r="E1403" s="42" t="s">
        <v>70</v>
      </c>
      <c r="F1403" s="42" t="s">
        <v>1542</v>
      </c>
      <c r="G1403" s="42" t="s">
        <v>1207</v>
      </c>
      <c r="H1403" s="43"/>
      <c r="I1403" s="43"/>
      <c r="J1403" s="43"/>
      <c r="K1403" s="43"/>
      <c r="L1403" s="43"/>
      <c r="M1403" s="43"/>
      <c r="N1403" s="43"/>
      <c r="O1403" s="43"/>
      <c r="P1403" s="43"/>
      <c r="Q1403" s="43"/>
      <c r="R1403" s="43"/>
      <c r="S1403" s="43"/>
      <c r="T1403" s="43"/>
      <c r="U1403" s="43"/>
      <c r="V1403" s="43"/>
    </row>
    <row r="1404" spans="1:22" ht="15.75" customHeight="1" x14ac:dyDescent="0.2">
      <c r="A1404" s="40">
        <v>2035</v>
      </c>
      <c r="B1404" s="41" t="s">
        <v>701</v>
      </c>
      <c r="C1404" s="42" t="s">
        <v>1576</v>
      </c>
      <c r="D1404" s="42" t="s">
        <v>21</v>
      </c>
      <c r="E1404" s="42" t="s">
        <v>40</v>
      </c>
      <c r="F1404" s="42" t="s">
        <v>1542</v>
      </c>
      <c r="G1404" s="42" t="s">
        <v>1207</v>
      </c>
      <c r="H1404" s="43"/>
      <c r="I1404" s="43"/>
      <c r="J1404" s="43"/>
      <c r="K1404" s="43"/>
      <c r="L1404" s="43"/>
      <c r="M1404" s="43"/>
      <c r="N1404" s="43"/>
      <c r="O1404" s="43"/>
      <c r="P1404" s="43"/>
      <c r="Q1404" s="43"/>
      <c r="R1404" s="43"/>
      <c r="S1404" s="43"/>
      <c r="T1404" s="43"/>
      <c r="U1404" s="43"/>
      <c r="V1404" s="43"/>
    </row>
    <row r="1405" spans="1:22" ht="15.75" customHeight="1" x14ac:dyDescent="0.2">
      <c r="A1405" s="40">
        <v>2093</v>
      </c>
      <c r="B1405" s="41" t="s">
        <v>280</v>
      </c>
      <c r="C1405" s="42" t="s">
        <v>1553</v>
      </c>
      <c r="D1405" s="42" t="s">
        <v>58</v>
      </c>
      <c r="E1405" s="42" t="s">
        <v>1058</v>
      </c>
      <c r="F1405" s="42" t="s">
        <v>1542</v>
      </c>
      <c r="G1405" s="42" t="s">
        <v>1207</v>
      </c>
      <c r="H1405" s="43"/>
      <c r="I1405" s="43"/>
      <c r="J1405" s="43"/>
      <c r="K1405" s="43"/>
      <c r="L1405" s="43"/>
      <c r="M1405" s="43"/>
      <c r="N1405" s="43"/>
      <c r="O1405" s="43"/>
      <c r="P1405" s="43"/>
      <c r="Q1405" s="43"/>
      <c r="R1405" s="43"/>
      <c r="S1405" s="43"/>
      <c r="T1405" s="43"/>
      <c r="U1405" s="43"/>
      <c r="V1405" s="43"/>
    </row>
    <row r="1406" spans="1:22" ht="15.75" customHeight="1" x14ac:dyDescent="0.2">
      <c r="A1406" s="40">
        <v>2097</v>
      </c>
      <c r="B1406" s="41" t="s">
        <v>280</v>
      </c>
      <c r="C1406" s="42" t="s">
        <v>1580</v>
      </c>
      <c r="D1406" s="42" t="s">
        <v>1581</v>
      </c>
      <c r="E1406" s="42" t="s">
        <v>1281</v>
      </c>
      <c r="F1406" s="42" t="s">
        <v>1542</v>
      </c>
      <c r="G1406" s="42" t="s">
        <v>1207</v>
      </c>
      <c r="H1406" s="43"/>
      <c r="I1406" s="43"/>
      <c r="J1406" s="43"/>
      <c r="K1406" s="43"/>
      <c r="L1406" s="43"/>
      <c r="M1406" s="43"/>
      <c r="N1406" s="43"/>
      <c r="O1406" s="43"/>
      <c r="P1406" s="43"/>
      <c r="Q1406" s="43"/>
      <c r="R1406" s="43"/>
      <c r="S1406" s="43"/>
      <c r="T1406" s="43"/>
      <c r="U1406" s="43"/>
      <c r="V1406" s="43"/>
    </row>
    <row r="1407" spans="1:22" ht="15.75" customHeight="1" x14ac:dyDescent="0.2">
      <c r="A1407" s="40">
        <v>2321</v>
      </c>
      <c r="B1407" s="41" t="s">
        <v>285</v>
      </c>
      <c r="C1407" s="42" t="s">
        <v>1564</v>
      </c>
      <c r="D1407" s="42" t="s">
        <v>529</v>
      </c>
      <c r="E1407" s="42" t="s">
        <v>639</v>
      </c>
      <c r="F1407" s="42" t="s">
        <v>1542</v>
      </c>
      <c r="G1407" s="42" t="s">
        <v>1207</v>
      </c>
      <c r="H1407" s="43"/>
      <c r="I1407" s="43"/>
      <c r="J1407" s="43"/>
      <c r="K1407" s="43"/>
      <c r="L1407" s="43"/>
      <c r="M1407" s="43"/>
      <c r="N1407" s="43"/>
      <c r="O1407" s="43"/>
      <c r="P1407" s="43"/>
      <c r="Q1407" s="43"/>
      <c r="R1407" s="43"/>
      <c r="S1407" s="43"/>
      <c r="T1407" s="43"/>
      <c r="U1407" s="43"/>
      <c r="V1407" s="43"/>
    </row>
    <row r="1408" spans="1:22" ht="15.75" customHeight="1" x14ac:dyDescent="0.2">
      <c r="A1408" s="40">
        <v>2483</v>
      </c>
      <c r="B1408" s="41" t="s">
        <v>444</v>
      </c>
      <c r="C1408" s="42" t="s">
        <v>927</v>
      </c>
      <c r="D1408" s="42" t="s">
        <v>75</v>
      </c>
      <c r="E1408" s="42" t="s">
        <v>334</v>
      </c>
      <c r="F1408" s="42" t="s">
        <v>1542</v>
      </c>
      <c r="G1408" s="42" t="s">
        <v>1207</v>
      </c>
      <c r="H1408" s="43"/>
      <c r="I1408" s="43"/>
      <c r="J1408" s="43"/>
      <c r="K1408" s="43"/>
      <c r="L1408" s="43"/>
      <c r="M1408" s="43"/>
      <c r="N1408" s="43"/>
      <c r="O1408" s="43"/>
      <c r="P1408" s="43"/>
      <c r="Q1408" s="43"/>
      <c r="R1408" s="43"/>
      <c r="S1408" s="43"/>
      <c r="T1408" s="43"/>
      <c r="U1408" s="43"/>
      <c r="V1408" s="43"/>
    </row>
    <row r="1409" spans="1:22" ht="15.75" customHeight="1" x14ac:dyDescent="0.2">
      <c r="A1409" s="40">
        <v>2487</v>
      </c>
      <c r="B1409" s="41" t="s">
        <v>444</v>
      </c>
      <c r="C1409" s="42" t="s">
        <v>1548</v>
      </c>
      <c r="D1409" s="42" t="s">
        <v>407</v>
      </c>
      <c r="E1409" s="42" t="s">
        <v>630</v>
      </c>
      <c r="F1409" s="42" t="s">
        <v>1542</v>
      </c>
      <c r="G1409" s="42" t="s">
        <v>1207</v>
      </c>
      <c r="H1409" s="43"/>
      <c r="I1409" s="43"/>
      <c r="J1409" s="43"/>
      <c r="K1409" s="43"/>
      <c r="L1409" s="43"/>
      <c r="M1409" s="43"/>
      <c r="N1409" s="43"/>
      <c r="O1409" s="43"/>
      <c r="P1409" s="43"/>
      <c r="Q1409" s="43"/>
      <c r="R1409" s="43"/>
      <c r="S1409" s="43"/>
      <c r="T1409" s="43"/>
      <c r="U1409" s="43"/>
      <c r="V1409" s="43"/>
    </row>
    <row r="1410" spans="1:22" ht="15.75" customHeight="1" x14ac:dyDescent="0.2">
      <c r="A1410" s="40">
        <v>2491</v>
      </c>
      <c r="B1410" s="41" t="s">
        <v>444</v>
      </c>
      <c r="C1410" s="42" t="s">
        <v>1557</v>
      </c>
      <c r="D1410" s="42" t="s">
        <v>643</v>
      </c>
      <c r="E1410" s="42" t="s">
        <v>424</v>
      </c>
      <c r="F1410" s="42" t="s">
        <v>1542</v>
      </c>
      <c r="G1410" s="42" t="s">
        <v>1207</v>
      </c>
      <c r="H1410" s="43"/>
      <c r="I1410" s="43"/>
      <c r="J1410" s="43"/>
      <c r="K1410" s="43"/>
      <c r="L1410" s="43"/>
      <c r="M1410" s="43"/>
      <c r="N1410" s="43"/>
      <c r="O1410" s="43"/>
      <c r="P1410" s="43"/>
      <c r="Q1410" s="43"/>
      <c r="R1410" s="43"/>
      <c r="S1410" s="43"/>
      <c r="T1410" s="43"/>
      <c r="U1410" s="43"/>
      <c r="V1410" s="43"/>
    </row>
    <row r="1411" spans="1:22" ht="15.75" customHeight="1" x14ac:dyDescent="0.2">
      <c r="A1411" s="40">
        <v>2501</v>
      </c>
      <c r="B1411" s="41" t="s">
        <v>434</v>
      </c>
      <c r="C1411" s="42" t="s">
        <v>1563</v>
      </c>
      <c r="D1411" s="42" t="s">
        <v>376</v>
      </c>
      <c r="E1411" s="42" t="s">
        <v>690</v>
      </c>
      <c r="F1411" s="42" t="s">
        <v>1542</v>
      </c>
      <c r="G1411" s="42" t="s">
        <v>1207</v>
      </c>
      <c r="H1411" s="43"/>
      <c r="I1411" s="43"/>
      <c r="J1411" s="43"/>
      <c r="K1411" s="43"/>
      <c r="L1411" s="43"/>
      <c r="M1411" s="43"/>
      <c r="N1411" s="43"/>
      <c r="O1411" s="43"/>
      <c r="P1411" s="43"/>
      <c r="Q1411" s="43"/>
      <c r="R1411" s="43"/>
      <c r="S1411" s="43"/>
      <c r="T1411" s="43"/>
      <c r="U1411" s="43"/>
      <c r="V1411" s="43"/>
    </row>
    <row r="1412" spans="1:22" ht="15.75" customHeight="1" x14ac:dyDescent="0.2">
      <c r="A1412" s="40">
        <v>2523</v>
      </c>
      <c r="B1412" s="41" t="s">
        <v>1587</v>
      </c>
      <c r="C1412" s="42" t="s">
        <v>1564</v>
      </c>
      <c r="D1412" s="42" t="s">
        <v>1565</v>
      </c>
      <c r="E1412" s="42" t="s">
        <v>1566</v>
      </c>
      <c r="F1412" s="42" t="s">
        <v>1542</v>
      </c>
      <c r="G1412" s="42" t="s">
        <v>1207</v>
      </c>
      <c r="H1412" s="43"/>
      <c r="I1412" s="43"/>
      <c r="J1412" s="43"/>
      <c r="K1412" s="43"/>
      <c r="L1412" s="43"/>
      <c r="M1412" s="43"/>
      <c r="N1412" s="43"/>
      <c r="O1412" s="43"/>
      <c r="P1412" s="43"/>
      <c r="Q1412" s="43"/>
      <c r="R1412" s="43"/>
      <c r="S1412" s="43"/>
      <c r="T1412" s="43"/>
      <c r="U1412" s="43"/>
      <c r="V1412" s="43"/>
    </row>
    <row r="1413" spans="1:22" ht="15.75" customHeight="1" x14ac:dyDescent="0.2">
      <c r="A1413" s="40">
        <v>2527</v>
      </c>
      <c r="B1413" s="41" t="s">
        <v>1587</v>
      </c>
      <c r="C1413" s="42" t="s">
        <v>1444</v>
      </c>
      <c r="D1413" s="42" t="s">
        <v>1068</v>
      </c>
      <c r="E1413" s="42" t="s">
        <v>348</v>
      </c>
      <c r="F1413" s="42" t="s">
        <v>1542</v>
      </c>
      <c r="G1413" s="42" t="s">
        <v>1207</v>
      </c>
      <c r="H1413" s="43"/>
      <c r="I1413" s="43"/>
      <c r="J1413" s="43"/>
      <c r="K1413" s="43"/>
      <c r="L1413" s="43"/>
      <c r="M1413" s="43"/>
      <c r="N1413" s="43"/>
      <c r="O1413" s="43"/>
      <c r="P1413" s="43"/>
      <c r="Q1413" s="43"/>
      <c r="R1413" s="43"/>
      <c r="S1413" s="43"/>
      <c r="T1413" s="43"/>
      <c r="U1413" s="43"/>
      <c r="V1413" s="43"/>
    </row>
    <row r="1414" spans="1:22" ht="15.75" customHeight="1" x14ac:dyDescent="0.2">
      <c r="A1414" s="40">
        <v>2529</v>
      </c>
      <c r="B1414" s="41" t="s">
        <v>1587</v>
      </c>
      <c r="C1414" s="42" t="s">
        <v>1588</v>
      </c>
      <c r="D1414" s="42" t="s">
        <v>481</v>
      </c>
      <c r="E1414" s="42" t="s">
        <v>251</v>
      </c>
      <c r="F1414" s="42" t="s">
        <v>1542</v>
      </c>
      <c r="G1414" s="42" t="s">
        <v>1207</v>
      </c>
      <c r="H1414" s="43"/>
      <c r="I1414" s="43"/>
      <c r="J1414" s="43"/>
      <c r="K1414" s="43"/>
      <c r="L1414" s="43"/>
      <c r="M1414" s="43"/>
      <c r="N1414" s="43"/>
      <c r="O1414" s="43"/>
      <c r="P1414" s="43"/>
      <c r="Q1414" s="43"/>
      <c r="R1414" s="43"/>
      <c r="S1414" s="43"/>
      <c r="T1414" s="43"/>
      <c r="U1414" s="43"/>
      <c r="V1414" s="43"/>
    </row>
    <row r="1415" spans="1:22" ht="15.75" customHeight="1" x14ac:dyDescent="0.2">
      <c r="A1415" s="40">
        <v>2537</v>
      </c>
      <c r="B1415" s="41" t="s">
        <v>1247</v>
      </c>
      <c r="C1415" s="42" t="s">
        <v>1559</v>
      </c>
      <c r="D1415" s="42" t="s">
        <v>554</v>
      </c>
      <c r="E1415" s="42" t="s">
        <v>1560</v>
      </c>
      <c r="F1415" s="42" t="s">
        <v>1542</v>
      </c>
      <c r="G1415" s="42" t="s">
        <v>1207</v>
      </c>
      <c r="H1415" s="43"/>
      <c r="I1415" s="43"/>
      <c r="J1415" s="43"/>
      <c r="K1415" s="43"/>
      <c r="L1415" s="43"/>
      <c r="M1415" s="43"/>
      <c r="N1415" s="43"/>
      <c r="O1415" s="43"/>
      <c r="P1415" s="43"/>
      <c r="Q1415" s="43"/>
      <c r="R1415" s="43"/>
      <c r="S1415" s="43"/>
      <c r="T1415" s="43"/>
      <c r="U1415" s="43"/>
      <c r="V1415" s="43"/>
    </row>
    <row r="1416" spans="1:22" ht="15.75" customHeight="1" x14ac:dyDescent="0.2">
      <c r="A1416" s="40">
        <v>2619</v>
      </c>
      <c r="B1416" s="41" t="s">
        <v>702</v>
      </c>
      <c r="C1416" s="42" t="s">
        <v>1547</v>
      </c>
      <c r="D1416" s="42" t="s">
        <v>116</v>
      </c>
      <c r="E1416" s="42" t="s">
        <v>1212</v>
      </c>
      <c r="F1416" s="42" t="s">
        <v>1542</v>
      </c>
      <c r="G1416" s="42" t="s">
        <v>1207</v>
      </c>
      <c r="H1416" s="43"/>
      <c r="I1416" s="43"/>
      <c r="J1416" s="43"/>
      <c r="K1416" s="43"/>
      <c r="L1416" s="43"/>
      <c r="M1416" s="43"/>
      <c r="N1416" s="43"/>
      <c r="O1416" s="43"/>
      <c r="P1416" s="43"/>
      <c r="Q1416" s="43"/>
      <c r="R1416" s="43"/>
      <c r="S1416" s="43"/>
      <c r="T1416" s="43"/>
      <c r="U1416" s="43"/>
      <c r="V1416" s="43"/>
    </row>
    <row r="1417" spans="1:22" ht="15.75" customHeight="1" x14ac:dyDescent="0.2">
      <c r="A1417" s="40">
        <v>2655</v>
      </c>
      <c r="B1417" s="41" t="s">
        <v>1055</v>
      </c>
      <c r="C1417" s="42" t="s">
        <v>1336</v>
      </c>
      <c r="D1417" s="42" t="s">
        <v>1551</v>
      </c>
      <c r="E1417" s="42" t="s">
        <v>302</v>
      </c>
      <c r="F1417" s="42" t="s">
        <v>1542</v>
      </c>
      <c r="G1417" s="42" t="s">
        <v>1207</v>
      </c>
      <c r="H1417" s="43"/>
      <c r="I1417" s="43"/>
      <c r="J1417" s="43"/>
      <c r="K1417" s="43"/>
      <c r="L1417" s="43"/>
      <c r="M1417" s="43"/>
      <c r="N1417" s="43"/>
      <c r="O1417" s="43"/>
      <c r="P1417" s="43"/>
      <c r="Q1417" s="43"/>
      <c r="R1417" s="43"/>
      <c r="S1417" s="43"/>
      <c r="T1417" s="43"/>
      <c r="U1417" s="43"/>
      <c r="V1417" s="43"/>
    </row>
    <row r="1418" spans="1:22" ht="15.75" customHeight="1" x14ac:dyDescent="0.2">
      <c r="A1418" s="40">
        <v>2669</v>
      </c>
      <c r="B1418" s="41" t="s">
        <v>1098</v>
      </c>
      <c r="C1418" s="42" t="s">
        <v>1589</v>
      </c>
      <c r="D1418" s="42" t="s">
        <v>272</v>
      </c>
      <c r="E1418" s="42" t="s">
        <v>125</v>
      </c>
      <c r="F1418" s="42" t="s">
        <v>1542</v>
      </c>
      <c r="G1418" s="42" t="s">
        <v>1207</v>
      </c>
      <c r="H1418" s="43"/>
      <c r="I1418" s="43"/>
      <c r="J1418" s="43"/>
      <c r="K1418" s="43"/>
      <c r="L1418" s="43"/>
      <c r="M1418" s="43"/>
      <c r="N1418" s="43"/>
      <c r="O1418" s="43"/>
      <c r="P1418" s="43"/>
      <c r="Q1418" s="43"/>
      <c r="R1418" s="43"/>
      <c r="S1418" s="43"/>
      <c r="T1418" s="43"/>
      <c r="U1418" s="43"/>
      <c r="V1418" s="43"/>
    </row>
    <row r="1419" spans="1:22" ht="15.75" customHeight="1" x14ac:dyDescent="0.2">
      <c r="A1419" s="40">
        <v>2671</v>
      </c>
      <c r="B1419" s="41" t="s">
        <v>1098</v>
      </c>
      <c r="C1419" s="42" t="s">
        <v>942</v>
      </c>
      <c r="D1419" s="42" t="s">
        <v>325</v>
      </c>
      <c r="E1419" s="42" t="s">
        <v>337</v>
      </c>
      <c r="F1419" s="42" t="s">
        <v>1542</v>
      </c>
      <c r="G1419" s="42" t="s">
        <v>1207</v>
      </c>
      <c r="H1419" s="43"/>
      <c r="I1419" s="43"/>
      <c r="J1419" s="43"/>
      <c r="K1419" s="43"/>
      <c r="L1419" s="43"/>
      <c r="M1419" s="43"/>
      <c r="N1419" s="43"/>
      <c r="O1419" s="43"/>
      <c r="P1419" s="43"/>
      <c r="Q1419" s="43"/>
      <c r="R1419" s="43"/>
      <c r="S1419" s="43"/>
      <c r="T1419" s="43"/>
      <c r="U1419" s="43"/>
      <c r="V1419" s="43"/>
    </row>
    <row r="1420" spans="1:22" ht="15.75" customHeight="1" x14ac:dyDescent="0.2">
      <c r="A1420" s="40">
        <v>2675</v>
      </c>
      <c r="B1420" s="41" t="s">
        <v>1098</v>
      </c>
      <c r="C1420" s="42" t="s">
        <v>1590</v>
      </c>
      <c r="D1420" s="42" t="s">
        <v>1385</v>
      </c>
      <c r="E1420" s="42" t="s">
        <v>52</v>
      </c>
      <c r="F1420" s="42" t="s">
        <v>1542</v>
      </c>
      <c r="G1420" s="42" t="s">
        <v>1207</v>
      </c>
      <c r="H1420" s="43"/>
      <c r="I1420" s="43"/>
      <c r="J1420" s="43"/>
      <c r="K1420" s="43"/>
      <c r="L1420" s="43"/>
      <c r="M1420" s="43"/>
      <c r="N1420" s="43"/>
      <c r="O1420" s="43"/>
      <c r="P1420" s="43"/>
      <c r="Q1420" s="43"/>
      <c r="R1420" s="43"/>
      <c r="S1420" s="43"/>
      <c r="T1420" s="43"/>
      <c r="U1420" s="43"/>
      <c r="V1420" s="43"/>
    </row>
    <row r="1421" spans="1:22" ht="15.75" customHeight="1" x14ac:dyDescent="0.2">
      <c r="A1421" s="40">
        <v>2677</v>
      </c>
      <c r="B1421" s="41" t="s">
        <v>1098</v>
      </c>
      <c r="C1421" s="42" t="s">
        <v>1585</v>
      </c>
      <c r="D1421" s="42" t="s">
        <v>124</v>
      </c>
      <c r="E1421" s="42" t="s">
        <v>1586</v>
      </c>
      <c r="F1421" s="42" t="s">
        <v>1542</v>
      </c>
      <c r="G1421" s="42" t="s">
        <v>1207</v>
      </c>
      <c r="H1421" s="43"/>
      <c r="I1421" s="43"/>
      <c r="J1421" s="43"/>
      <c r="K1421" s="43"/>
      <c r="L1421" s="43"/>
      <c r="M1421" s="43"/>
      <c r="N1421" s="43"/>
      <c r="O1421" s="43"/>
      <c r="P1421" s="43"/>
      <c r="Q1421" s="43"/>
      <c r="R1421" s="43"/>
      <c r="S1421" s="43"/>
      <c r="T1421" s="43"/>
      <c r="U1421" s="43"/>
      <c r="V1421" s="43"/>
    </row>
    <row r="1422" spans="1:22" ht="15.75" customHeight="1" x14ac:dyDescent="0.2">
      <c r="A1422" s="40">
        <v>2679</v>
      </c>
      <c r="B1422" s="41" t="s">
        <v>1098</v>
      </c>
      <c r="C1422" s="42" t="s">
        <v>1554</v>
      </c>
      <c r="D1422" s="42" t="s">
        <v>516</v>
      </c>
      <c r="E1422" s="42" t="s">
        <v>306</v>
      </c>
      <c r="F1422" s="42" t="s">
        <v>1542</v>
      </c>
      <c r="G1422" s="42" t="s">
        <v>1207</v>
      </c>
      <c r="H1422" s="43"/>
      <c r="I1422" s="43"/>
      <c r="J1422" s="43"/>
      <c r="K1422" s="43"/>
      <c r="L1422" s="43"/>
      <c r="M1422" s="43"/>
      <c r="N1422" s="43"/>
      <c r="O1422" s="43"/>
      <c r="P1422" s="43"/>
      <c r="Q1422" s="43"/>
      <c r="R1422" s="43"/>
      <c r="S1422" s="43"/>
      <c r="T1422" s="43"/>
      <c r="U1422" s="43"/>
      <c r="V1422" s="43"/>
    </row>
    <row r="1423" spans="1:22" ht="15.75" customHeight="1" x14ac:dyDescent="0.2">
      <c r="A1423" s="40">
        <v>2713</v>
      </c>
      <c r="B1423" s="41" t="s">
        <v>703</v>
      </c>
      <c r="C1423" s="42" t="s">
        <v>1574</v>
      </c>
      <c r="D1423" s="42" t="s">
        <v>1171</v>
      </c>
      <c r="E1423" s="42" t="s">
        <v>1575</v>
      </c>
      <c r="F1423" s="42" t="s">
        <v>1542</v>
      </c>
      <c r="G1423" s="42" t="s">
        <v>1207</v>
      </c>
      <c r="H1423" s="43"/>
      <c r="I1423" s="43"/>
      <c r="J1423" s="43"/>
      <c r="K1423" s="43"/>
      <c r="L1423" s="43"/>
      <c r="M1423" s="43"/>
      <c r="N1423" s="43"/>
      <c r="O1423" s="43"/>
      <c r="P1423" s="43"/>
      <c r="Q1423" s="43"/>
      <c r="R1423" s="43"/>
      <c r="S1423" s="43"/>
      <c r="T1423" s="43"/>
      <c r="U1423" s="43"/>
      <c r="V1423" s="43"/>
    </row>
    <row r="1424" spans="1:22" ht="15.75" customHeight="1" x14ac:dyDescent="0.2">
      <c r="A1424" s="40">
        <v>2737</v>
      </c>
      <c r="B1424" s="41" t="s">
        <v>944</v>
      </c>
      <c r="C1424" s="42" t="s">
        <v>584</v>
      </c>
      <c r="D1424" s="42" t="s">
        <v>116</v>
      </c>
      <c r="E1424" s="42" t="s">
        <v>384</v>
      </c>
      <c r="F1424" s="42" t="s">
        <v>1542</v>
      </c>
      <c r="G1424" s="42" t="s">
        <v>1207</v>
      </c>
      <c r="H1424" s="43"/>
      <c r="I1424" s="43"/>
      <c r="J1424" s="43"/>
      <c r="K1424" s="43"/>
      <c r="L1424" s="43"/>
      <c r="M1424" s="43"/>
      <c r="N1424" s="43"/>
      <c r="O1424" s="43"/>
      <c r="P1424" s="43"/>
      <c r="Q1424" s="43"/>
      <c r="R1424" s="43"/>
      <c r="S1424" s="43"/>
      <c r="T1424" s="43"/>
      <c r="U1424" s="43"/>
      <c r="V1424" s="43"/>
    </row>
    <row r="1425" spans="1:22" ht="15.75" customHeight="1" x14ac:dyDescent="0.2">
      <c r="A1425" s="40">
        <v>2805</v>
      </c>
      <c r="B1425" s="41" t="s">
        <v>1348</v>
      </c>
      <c r="C1425" s="42" t="s">
        <v>483</v>
      </c>
      <c r="D1425" s="42" t="s">
        <v>313</v>
      </c>
      <c r="E1425" s="42" t="s">
        <v>319</v>
      </c>
      <c r="F1425" s="42" t="s">
        <v>1542</v>
      </c>
      <c r="G1425" s="42" t="s">
        <v>1207</v>
      </c>
      <c r="H1425" s="43"/>
      <c r="I1425" s="43"/>
      <c r="J1425" s="43"/>
      <c r="K1425" s="43"/>
      <c r="L1425" s="43"/>
      <c r="M1425" s="43"/>
      <c r="N1425" s="43"/>
      <c r="O1425" s="43"/>
      <c r="P1425" s="43"/>
      <c r="Q1425" s="43"/>
      <c r="R1425" s="43"/>
      <c r="S1425" s="43"/>
      <c r="T1425" s="43"/>
      <c r="U1425" s="43"/>
      <c r="V1425" s="43"/>
    </row>
    <row r="1426" spans="1:22" ht="15.75" customHeight="1" x14ac:dyDescent="0.2">
      <c r="A1426" s="40">
        <v>2823</v>
      </c>
      <c r="B1426" s="41" t="s">
        <v>518</v>
      </c>
      <c r="C1426" s="42" t="s">
        <v>1563</v>
      </c>
      <c r="D1426" s="42" t="s">
        <v>376</v>
      </c>
      <c r="E1426" s="42" t="s">
        <v>690</v>
      </c>
      <c r="F1426" s="42" t="s">
        <v>1542</v>
      </c>
      <c r="G1426" s="42" t="s">
        <v>1207</v>
      </c>
      <c r="H1426" s="43"/>
      <c r="I1426" s="43"/>
      <c r="J1426" s="43"/>
      <c r="K1426" s="43"/>
      <c r="L1426" s="43"/>
      <c r="M1426" s="43"/>
      <c r="N1426" s="43"/>
      <c r="O1426" s="43"/>
      <c r="P1426" s="43"/>
      <c r="Q1426" s="43"/>
      <c r="R1426" s="43"/>
      <c r="S1426" s="43"/>
      <c r="T1426" s="43"/>
      <c r="U1426" s="43"/>
      <c r="V1426" s="43"/>
    </row>
    <row r="1427" spans="1:22" ht="15.75" customHeight="1" x14ac:dyDescent="0.2">
      <c r="A1427" s="40">
        <v>2893</v>
      </c>
      <c r="B1427" s="41" t="s">
        <v>1133</v>
      </c>
      <c r="C1427" s="42" t="s">
        <v>1584</v>
      </c>
      <c r="D1427" s="42" t="s">
        <v>78</v>
      </c>
      <c r="E1427" s="42" t="s">
        <v>273</v>
      </c>
      <c r="F1427" s="42" t="s">
        <v>1542</v>
      </c>
      <c r="G1427" s="42" t="s">
        <v>1207</v>
      </c>
      <c r="H1427" s="43"/>
      <c r="I1427" s="43"/>
      <c r="J1427" s="43"/>
      <c r="K1427" s="43"/>
      <c r="L1427" s="43"/>
      <c r="M1427" s="43"/>
      <c r="N1427" s="43"/>
      <c r="O1427" s="43"/>
      <c r="P1427" s="43"/>
      <c r="Q1427" s="43"/>
      <c r="R1427" s="43"/>
      <c r="S1427" s="43"/>
      <c r="T1427" s="43"/>
      <c r="U1427" s="43"/>
      <c r="V1427" s="43"/>
    </row>
    <row r="1428" spans="1:22" ht="15.75" customHeight="1" x14ac:dyDescent="0.2">
      <c r="A1428" s="40">
        <v>2927</v>
      </c>
      <c r="B1428" s="41" t="s">
        <v>722</v>
      </c>
      <c r="C1428" s="42" t="s">
        <v>1578</v>
      </c>
      <c r="D1428" s="42" t="s">
        <v>643</v>
      </c>
      <c r="E1428" s="42" t="s">
        <v>32</v>
      </c>
      <c r="F1428" s="42" t="s">
        <v>1542</v>
      </c>
      <c r="G1428" s="42" t="s">
        <v>1207</v>
      </c>
      <c r="H1428" s="43"/>
      <c r="I1428" s="43"/>
      <c r="J1428" s="43"/>
      <c r="K1428" s="43"/>
      <c r="L1428" s="43"/>
      <c r="M1428" s="43"/>
      <c r="N1428" s="43"/>
      <c r="O1428" s="43"/>
      <c r="P1428" s="43"/>
      <c r="Q1428" s="43"/>
      <c r="R1428" s="43"/>
      <c r="S1428" s="43"/>
      <c r="T1428" s="43"/>
      <c r="U1428" s="43"/>
      <c r="V1428" s="43"/>
    </row>
    <row r="1429" spans="1:22" ht="15.75" customHeight="1" x14ac:dyDescent="0.2">
      <c r="A1429" s="40">
        <v>2929</v>
      </c>
      <c r="B1429" s="41" t="s">
        <v>722</v>
      </c>
      <c r="C1429" s="42" t="s">
        <v>1579</v>
      </c>
      <c r="D1429" s="42" t="s">
        <v>128</v>
      </c>
      <c r="E1429" s="42" t="s">
        <v>70</v>
      </c>
      <c r="F1429" s="42" t="s">
        <v>1542</v>
      </c>
      <c r="G1429" s="42" t="s">
        <v>1207</v>
      </c>
      <c r="H1429" s="43"/>
      <c r="I1429" s="43"/>
      <c r="J1429" s="43"/>
      <c r="K1429" s="43"/>
      <c r="L1429" s="43"/>
      <c r="M1429" s="43"/>
      <c r="N1429" s="43"/>
      <c r="O1429" s="43"/>
      <c r="P1429" s="43"/>
      <c r="Q1429" s="43"/>
      <c r="R1429" s="43"/>
      <c r="S1429" s="43"/>
      <c r="T1429" s="43"/>
      <c r="U1429" s="43"/>
      <c r="V1429" s="43"/>
    </row>
    <row r="1430" spans="1:22" ht="15.75" customHeight="1" x14ac:dyDescent="0.2">
      <c r="A1430" s="40">
        <v>2943</v>
      </c>
      <c r="B1430" s="41" t="s">
        <v>1270</v>
      </c>
      <c r="C1430" s="42" t="s">
        <v>1549</v>
      </c>
      <c r="D1430" s="42" t="s">
        <v>275</v>
      </c>
      <c r="E1430" s="42" t="s">
        <v>40</v>
      </c>
      <c r="F1430" s="42" t="s">
        <v>1542</v>
      </c>
      <c r="G1430" s="42" t="s">
        <v>1207</v>
      </c>
      <c r="H1430" s="43"/>
      <c r="I1430" s="43"/>
      <c r="J1430" s="43"/>
      <c r="K1430" s="43"/>
      <c r="L1430" s="43"/>
      <c r="M1430" s="43"/>
      <c r="N1430" s="43"/>
      <c r="O1430" s="43"/>
      <c r="P1430" s="43"/>
      <c r="Q1430" s="43"/>
      <c r="R1430" s="43"/>
      <c r="S1430" s="43"/>
      <c r="T1430" s="43"/>
      <c r="U1430" s="43"/>
      <c r="V1430" s="43"/>
    </row>
    <row r="1431" spans="1:22" ht="15.75" customHeight="1" x14ac:dyDescent="0.2">
      <c r="A1431" s="40">
        <v>2945</v>
      </c>
      <c r="B1431" s="41" t="s">
        <v>1270</v>
      </c>
      <c r="C1431" s="42" t="s">
        <v>57</v>
      </c>
      <c r="D1431" s="42" t="s">
        <v>516</v>
      </c>
      <c r="E1431" s="42" t="s">
        <v>306</v>
      </c>
      <c r="F1431" s="42" t="s">
        <v>1542</v>
      </c>
      <c r="G1431" s="42" t="s">
        <v>1207</v>
      </c>
      <c r="H1431" s="43"/>
      <c r="I1431" s="43"/>
      <c r="J1431" s="43"/>
      <c r="K1431" s="43"/>
      <c r="L1431" s="43"/>
      <c r="M1431" s="43"/>
      <c r="N1431" s="43"/>
      <c r="O1431" s="43"/>
      <c r="P1431" s="43"/>
      <c r="Q1431" s="43"/>
      <c r="R1431" s="43"/>
      <c r="S1431" s="43"/>
      <c r="T1431" s="43"/>
      <c r="U1431" s="43"/>
      <c r="V1431" s="43"/>
    </row>
    <row r="1432" spans="1:22" ht="15.75" customHeight="1" x14ac:dyDescent="0.2">
      <c r="A1432" s="40">
        <v>2959</v>
      </c>
      <c r="B1432" s="41" t="s">
        <v>1138</v>
      </c>
      <c r="C1432" s="42" t="s">
        <v>885</v>
      </c>
      <c r="D1432" s="42" t="s">
        <v>139</v>
      </c>
      <c r="E1432" s="42" t="s">
        <v>87</v>
      </c>
      <c r="F1432" s="42" t="s">
        <v>1542</v>
      </c>
      <c r="G1432" s="42" t="s">
        <v>1207</v>
      </c>
      <c r="H1432" s="43"/>
      <c r="I1432" s="43"/>
      <c r="J1432" s="43"/>
      <c r="K1432" s="43"/>
      <c r="L1432" s="43"/>
      <c r="M1432" s="43"/>
      <c r="N1432" s="43"/>
      <c r="O1432" s="43"/>
      <c r="P1432" s="43"/>
      <c r="Q1432" s="43"/>
      <c r="R1432" s="43"/>
      <c r="S1432" s="43"/>
      <c r="T1432" s="43"/>
      <c r="U1432" s="43"/>
      <c r="V1432" s="43"/>
    </row>
    <row r="1433" spans="1:22" ht="15.75" customHeight="1" x14ac:dyDescent="0.2">
      <c r="A1433" s="40">
        <v>2965</v>
      </c>
      <c r="B1433" s="41" t="s">
        <v>1138</v>
      </c>
      <c r="C1433" s="42" t="s">
        <v>1550</v>
      </c>
      <c r="D1433" s="42" t="s">
        <v>86</v>
      </c>
      <c r="E1433" s="42" t="s">
        <v>87</v>
      </c>
      <c r="F1433" s="42" t="s">
        <v>1542</v>
      </c>
      <c r="G1433" s="42" t="s">
        <v>1207</v>
      </c>
      <c r="H1433" s="43"/>
      <c r="I1433" s="43"/>
      <c r="J1433" s="43"/>
      <c r="K1433" s="43"/>
      <c r="L1433" s="43"/>
      <c r="M1433" s="43"/>
      <c r="N1433" s="43"/>
      <c r="O1433" s="43"/>
      <c r="P1433" s="43"/>
      <c r="Q1433" s="43"/>
      <c r="R1433" s="43"/>
      <c r="S1433" s="43"/>
      <c r="T1433" s="43"/>
      <c r="U1433" s="43"/>
      <c r="V1433" s="43"/>
    </row>
    <row r="1434" spans="1:22" ht="15.75" customHeight="1" x14ac:dyDescent="0.2">
      <c r="A1434" s="48">
        <v>2991</v>
      </c>
      <c r="B1434" s="49" t="s">
        <v>290</v>
      </c>
      <c r="C1434" s="50" t="s">
        <v>1584</v>
      </c>
      <c r="D1434" s="50" t="s">
        <v>78</v>
      </c>
      <c r="E1434" s="50" t="s">
        <v>273</v>
      </c>
      <c r="F1434" s="42" t="s">
        <v>1542</v>
      </c>
      <c r="G1434" s="42" t="s">
        <v>1207</v>
      </c>
      <c r="H1434" s="43"/>
      <c r="I1434" s="43"/>
      <c r="J1434" s="43"/>
      <c r="K1434" s="43"/>
      <c r="L1434" s="43"/>
      <c r="M1434" s="43"/>
      <c r="N1434" s="43"/>
      <c r="O1434" s="43"/>
      <c r="P1434" s="43"/>
      <c r="Q1434" s="43"/>
      <c r="R1434" s="43"/>
      <c r="S1434" s="43"/>
      <c r="T1434" s="43"/>
      <c r="U1434" s="43"/>
      <c r="V1434" s="43"/>
    </row>
    <row r="1435" spans="1:22" ht="15.75" customHeight="1" x14ac:dyDescent="0.2">
      <c r="A1435" s="40">
        <v>119</v>
      </c>
      <c r="B1435" s="41" t="s">
        <v>360</v>
      </c>
      <c r="C1435" s="42" t="s">
        <v>1591</v>
      </c>
      <c r="D1435" s="42" t="s">
        <v>1592</v>
      </c>
      <c r="E1435" s="42" t="s">
        <v>1593</v>
      </c>
      <c r="F1435" s="42" t="s">
        <v>1542</v>
      </c>
      <c r="G1435" s="42" t="s">
        <v>1207</v>
      </c>
      <c r="H1435" s="43"/>
      <c r="I1435" s="43"/>
      <c r="J1435" s="43"/>
      <c r="K1435" s="43"/>
      <c r="L1435" s="43"/>
      <c r="M1435" s="43"/>
      <c r="N1435" s="43"/>
      <c r="O1435" s="43"/>
      <c r="P1435" s="43"/>
      <c r="Q1435" s="43"/>
      <c r="R1435" s="43"/>
      <c r="S1435" s="43"/>
      <c r="T1435" s="43"/>
      <c r="U1435" s="43"/>
      <c r="V1435" s="43"/>
    </row>
    <row r="1436" spans="1:22" ht="15.75" customHeight="1" x14ac:dyDescent="0.2">
      <c r="A1436" s="40">
        <v>341</v>
      </c>
      <c r="B1436" s="41" t="s">
        <v>100</v>
      </c>
      <c r="C1436" s="42" t="s">
        <v>1594</v>
      </c>
      <c r="D1436" s="42" t="s">
        <v>1595</v>
      </c>
      <c r="E1436" s="42" t="s">
        <v>1596</v>
      </c>
      <c r="F1436" s="42" t="s">
        <v>1542</v>
      </c>
      <c r="G1436" s="42" t="s">
        <v>1207</v>
      </c>
      <c r="H1436" s="43"/>
      <c r="I1436" s="43"/>
      <c r="J1436" s="43"/>
      <c r="K1436" s="43"/>
      <c r="L1436" s="43"/>
      <c r="M1436" s="43"/>
      <c r="N1436" s="43"/>
      <c r="O1436" s="43"/>
      <c r="P1436" s="43"/>
      <c r="Q1436" s="43"/>
      <c r="R1436" s="43"/>
      <c r="S1436" s="43"/>
      <c r="T1436" s="43"/>
      <c r="U1436" s="43"/>
      <c r="V1436" s="43"/>
    </row>
    <row r="1437" spans="1:22" ht="15.75" customHeight="1" x14ac:dyDescent="0.2">
      <c r="A1437" s="40"/>
      <c r="B1437" s="45" t="s">
        <v>94</v>
      </c>
      <c r="C1437" s="46" t="s">
        <v>1597</v>
      </c>
      <c r="D1437" s="46" t="s">
        <v>1598</v>
      </c>
      <c r="E1437" s="46" t="s">
        <v>112</v>
      </c>
      <c r="F1437" s="46" t="s">
        <v>1542</v>
      </c>
      <c r="G1437" s="46" t="s">
        <v>1207</v>
      </c>
    </row>
    <row r="1438" spans="1:22" ht="15.75" customHeight="1" x14ac:dyDescent="0.2">
      <c r="A1438" s="40"/>
      <c r="B1438" s="45" t="s">
        <v>94</v>
      </c>
      <c r="C1438" s="46" t="s">
        <v>1597</v>
      </c>
      <c r="D1438" s="46" t="s">
        <v>75</v>
      </c>
      <c r="E1438" s="46" t="s">
        <v>112</v>
      </c>
      <c r="F1438" s="46" t="s">
        <v>1542</v>
      </c>
      <c r="G1438" s="46" t="s">
        <v>1207</v>
      </c>
    </row>
    <row r="1439" spans="1:22" ht="15.75" customHeight="1" x14ac:dyDescent="0.2">
      <c r="A1439" s="40"/>
      <c r="B1439" s="45" t="s">
        <v>102</v>
      </c>
      <c r="C1439" s="46" t="s">
        <v>1591</v>
      </c>
      <c r="D1439" s="46" t="s">
        <v>1592</v>
      </c>
      <c r="E1439" s="46" t="s">
        <v>1593</v>
      </c>
      <c r="F1439" s="46" t="s">
        <v>1542</v>
      </c>
      <c r="G1439" s="46" t="s">
        <v>1207</v>
      </c>
    </row>
    <row r="1440" spans="1:22" ht="15.75" customHeight="1" x14ac:dyDescent="0.2">
      <c r="A1440" s="40"/>
      <c r="B1440" s="45" t="s">
        <v>421</v>
      </c>
      <c r="C1440" s="46" t="s">
        <v>1599</v>
      </c>
      <c r="D1440" s="46" t="s">
        <v>295</v>
      </c>
      <c r="E1440" s="46" t="s">
        <v>319</v>
      </c>
      <c r="F1440" s="46" t="s">
        <v>1542</v>
      </c>
      <c r="G1440" s="46" t="s">
        <v>1207</v>
      </c>
    </row>
    <row r="1441" spans="1:22" ht="15.75" customHeight="1" x14ac:dyDescent="0.2">
      <c r="A1441" s="40"/>
      <c r="B1441" s="45" t="s">
        <v>114</v>
      </c>
      <c r="C1441" s="46" t="s">
        <v>1599</v>
      </c>
      <c r="D1441" s="46" t="s">
        <v>295</v>
      </c>
      <c r="E1441" s="46" t="s">
        <v>319</v>
      </c>
      <c r="F1441" s="46" t="s">
        <v>1542</v>
      </c>
      <c r="G1441" s="46" t="s">
        <v>1207</v>
      </c>
    </row>
    <row r="1442" spans="1:22" ht="15.75" customHeight="1" x14ac:dyDescent="0.2">
      <c r="A1442" s="40"/>
      <c r="B1442" s="45" t="s">
        <v>108</v>
      </c>
      <c r="C1442" s="46" t="s">
        <v>1599</v>
      </c>
      <c r="D1442" s="46" t="s">
        <v>295</v>
      </c>
      <c r="E1442" s="46" t="s">
        <v>319</v>
      </c>
      <c r="F1442" s="46" t="s">
        <v>1542</v>
      </c>
      <c r="G1442" s="46" t="s">
        <v>1207</v>
      </c>
    </row>
    <row r="1443" spans="1:22" ht="15.75" customHeight="1" x14ac:dyDescent="0.2">
      <c r="A1443" s="40"/>
      <c r="B1443" s="45" t="s">
        <v>315</v>
      </c>
      <c r="C1443" s="46" t="s">
        <v>1336</v>
      </c>
      <c r="D1443" s="46" t="s">
        <v>1426</v>
      </c>
      <c r="E1443" s="46" t="s">
        <v>302</v>
      </c>
      <c r="F1443" s="46" t="s">
        <v>1542</v>
      </c>
      <c r="G1443" s="46" t="s">
        <v>1207</v>
      </c>
    </row>
    <row r="1444" spans="1:22" ht="15.75" customHeight="1" x14ac:dyDescent="0.2">
      <c r="A1444" s="40"/>
      <c r="B1444" s="45" t="s">
        <v>323</v>
      </c>
      <c r="C1444" s="46" t="s">
        <v>1336</v>
      </c>
      <c r="D1444" s="46" t="s">
        <v>1426</v>
      </c>
      <c r="E1444" s="46" t="s">
        <v>302</v>
      </c>
      <c r="F1444" s="46" t="s">
        <v>1542</v>
      </c>
      <c r="G1444" s="46" t="s">
        <v>1207</v>
      </c>
    </row>
    <row r="1445" spans="1:22" ht="15.75" customHeight="1" x14ac:dyDescent="0.2">
      <c r="A1445" s="40"/>
      <c r="B1445" s="45" t="s">
        <v>94</v>
      </c>
      <c r="C1445" s="46" t="s">
        <v>1336</v>
      </c>
      <c r="D1445" s="46" t="s">
        <v>1426</v>
      </c>
      <c r="E1445" s="46" t="s">
        <v>302</v>
      </c>
      <c r="F1445" s="46" t="s">
        <v>1542</v>
      </c>
      <c r="G1445" s="46" t="s">
        <v>1207</v>
      </c>
    </row>
    <row r="1446" spans="1:22" ht="15.75" customHeight="1" x14ac:dyDescent="0.2">
      <c r="A1446" s="40"/>
      <c r="B1446" s="45" t="s">
        <v>94</v>
      </c>
      <c r="C1446" s="46" t="s">
        <v>1594</v>
      </c>
      <c r="D1446" s="46" t="s">
        <v>1595</v>
      </c>
      <c r="E1446" s="46" t="s">
        <v>1596</v>
      </c>
      <c r="F1446" s="46" t="s">
        <v>1542</v>
      </c>
      <c r="G1446" s="46" t="s">
        <v>1207</v>
      </c>
      <c r="H1446" s="53"/>
      <c r="I1446" s="54"/>
      <c r="J1446" s="54"/>
      <c r="K1446" s="54"/>
      <c r="L1446" s="54"/>
      <c r="M1446" s="54"/>
      <c r="N1446" s="54"/>
      <c r="O1446" s="54"/>
      <c r="P1446" s="54"/>
      <c r="Q1446" s="54"/>
      <c r="R1446" s="54"/>
      <c r="S1446" s="54"/>
      <c r="T1446" s="54"/>
      <c r="U1446" s="54"/>
      <c r="V1446" s="54"/>
    </row>
    <row r="1447" spans="1:22" ht="15.75" customHeight="1" x14ac:dyDescent="0.2">
      <c r="A1447" s="40"/>
      <c r="B1447" s="45" t="s">
        <v>126</v>
      </c>
      <c r="C1447" s="46" t="s">
        <v>1600</v>
      </c>
      <c r="D1447" s="46" t="s">
        <v>973</v>
      </c>
      <c r="E1447" s="46" t="s">
        <v>1601</v>
      </c>
      <c r="F1447" s="46" t="s">
        <v>1542</v>
      </c>
      <c r="G1447" s="46" t="s">
        <v>1207</v>
      </c>
    </row>
    <row r="1448" spans="1:22" ht="15.75" customHeight="1" x14ac:dyDescent="0.2">
      <c r="A1448" s="40"/>
      <c r="B1448" s="45" t="s">
        <v>131</v>
      </c>
      <c r="C1448" s="46" t="s">
        <v>1600</v>
      </c>
      <c r="D1448" s="46" t="s">
        <v>973</v>
      </c>
      <c r="E1448" s="46" t="s">
        <v>1601</v>
      </c>
      <c r="F1448" s="46" t="s">
        <v>1542</v>
      </c>
      <c r="G1448" s="46" t="s">
        <v>1207</v>
      </c>
    </row>
    <row r="1449" spans="1:22" ht="15.75" customHeight="1" x14ac:dyDescent="0.2">
      <c r="A1449" s="40"/>
      <c r="B1449" s="45" t="s">
        <v>117</v>
      </c>
      <c r="C1449" s="46" t="s">
        <v>1558</v>
      </c>
      <c r="D1449" s="46" t="s">
        <v>1461</v>
      </c>
      <c r="E1449" s="46" t="s">
        <v>1602</v>
      </c>
      <c r="F1449" s="46" t="s">
        <v>1542</v>
      </c>
      <c r="G1449" s="46" t="s">
        <v>1207</v>
      </c>
    </row>
    <row r="1450" spans="1:22" ht="15.75" customHeight="1" x14ac:dyDescent="0.2">
      <c r="A1450" s="40"/>
      <c r="B1450" s="45" t="s">
        <v>296</v>
      </c>
      <c r="C1450" s="46" t="s">
        <v>1558</v>
      </c>
      <c r="D1450" s="46" t="s">
        <v>1461</v>
      </c>
      <c r="E1450" s="46" t="s">
        <v>1602</v>
      </c>
      <c r="F1450" s="46" t="s">
        <v>1542</v>
      </c>
      <c r="G1450" s="46" t="s">
        <v>1207</v>
      </c>
    </row>
    <row r="1451" spans="1:22" ht="15.75" customHeight="1" x14ac:dyDescent="0.2">
      <c r="A1451" s="40"/>
      <c r="B1451" s="45" t="s">
        <v>315</v>
      </c>
      <c r="C1451" s="46" t="s">
        <v>1603</v>
      </c>
      <c r="D1451" s="46" t="s">
        <v>370</v>
      </c>
      <c r="E1451" s="46" t="s">
        <v>1604</v>
      </c>
      <c r="F1451" s="46" t="s">
        <v>1542</v>
      </c>
      <c r="G1451" s="46" t="s">
        <v>1207</v>
      </c>
    </row>
    <row r="1452" spans="1:22" ht="15.75" customHeight="1" x14ac:dyDescent="0.2">
      <c r="A1452" s="40"/>
      <c r="B1452" s="45" t="s">
        <v>316</v>
      </c>
      <c r="C1452" s="46" t="s">
        <v>1603</v>
      </c>
      <c r="D1452" s="46" t="s">
        <v>370</v>
      </c>
      <c r="E1452" s="46" t="s">
        <v>1604</v>
      </c>
      <c r="F1452" s="46" t="s">
        <v>1542</v>
      </c>
      <c r="G1452" s="46" t="s">
        <v>1207</v>
      </c>
    </row>
    <row r="1453" spans="1:22" ht="15.75" customHeight="1" x14ac:dyDescent="0.2">
      <c r="A1453" s="40"/>
      <c r="B1453" s="45" t="s">
        <v>108</v>
      </c>
      <c r="C1453" s="46" t="s">
        <v>1603</v>
      </c>
      <c r="D1453" s="46" t="s">
        <v>370</v>
      </c>
      <c r="E1453" s="46" t="s">
        <v>1604</v>
      </c>
      <c r="F1453" s="46" t="s">
        <v>1542</v>
      </c>
      <c r="G1453" s="46" t="s">
        <v>1207</v>
      </c>
    </row>
    <row r="1454" spans="1:22" ht="15.75" customHeight="1" x14ac:dyDescent="0.2">
      <c r="A1454" s="40"/>
      <c r="B1454" s="45" t="s">
        <v>88</v>
      </c>
      <c r="C1454" s="46" t="s">
        <v>1605</v>
      </c>
      <c r="D1454" s="46" t="s">
        <v>1606</v>
      </c>
      <c r="E1454" s="46" t="s">
        <v>1441</v>
      </c>
      <c r="F1454" s="46" t="s">
        <v>1542</v>
      </c>
      <c r="G1454" s="46" t="s">
        <v>1207</v>
      </c>
    </row>
    <row r="1455" spans="1:22" ht="15.75" customHeight="1" x14ac:dyDescent="0.2">
      <c r="A1455" s="40"/>
      <c r="B1455" s="45" t="s">
        <v>94</v>
      </c>
      <c r="C1455" s="46" t="s">
        <v>1605</v>
      </c>
      <c r="D1455" s="46" t="s">
        <v>1606</v>
      </c>
      <c r="E1455" s="46" t="s">
        <v>1441</v>
      </c>
      <c r="F1455" s="46" t="s">
        <v>1542</v>
      </c>
      <c r="G1455" s="46" t="s">
        <v>1207</v>
      </c>
    </row>
    <row r="1456" spans="1:22" ht="15.75" customHeight="1" x14ac:dyDescent="0.2">
      <c r="A1456" s="40"/>
      <c r="B1456" s="45" t="s">
        <v>131</v>
      </c>
      <c r="C1456" s="46" t="s">
        <v>1607</v>
      </c>
      <c r="D1456" s="46" t="s">
        <v>388</v>
      </c>
      <c r="E1456" s="46" t="s">
        <v>83</v>
      </c>
      <c r="F1456" s="46" t="s">
        <v>1542</v>
      </c>
      <c r="G1456" s="46" t="s">
        <v>1207</v>
      </c>
    </row>
    <row r="1457" spans="1:7" ht="15.75" customHeight="1" x14ac:dyDescent="0.2">
      <c r="A1457" s="40"/>
      <c r="B1457" s="45" t="s">
        <v>118</v>
      </c>
      <c r="C1457" s="46" t="s">
        <v>1607</v>
      </c>
      <c r="D1457" s="46" t="s">
        <v>388</v>
      </c>
      <c r="E1457" s="46" t="s">
        <v>83</v>
      </c>
      <c r="F1457" s="46" t="s">
        <v>1542</v>
      </c>
      <c r="G1457" s="46" t="s">
        <v>1207</v>
      </c>
    </row>
    <row r="1458" spans="1:7" ht="15.75" customHeight="1" x14ac:dyDescent="0.2">
      <c r="A1458" s="40"/>
      <c r="B1458" s="45" t="s">
        <v>297</v>
      </c>
      <c r="C1458" s="46" t="s">
        <v>1608</v>
      </c>
      <c r="D1458" s="46" t="s">
        <v>1598</v>
      </c>
      <c r="E1458" s="46" t="s">
        <v>1609</v>
      </c>
      <c r="F1458" s="46" t="s">
        <v>1542</v>
      </c>
      <c r="G1458" s="46" t="s">
        <v>1207</v>
      </c>
    </row>
    <row r="1459" spans="1:7" ht="15.75" customHeight="1" x14ac:dyDescent="0.2">
      <c r="A1459" s="40"/>
      <c r="B1459" s="45" t="s">
        <v>300</v>
      </c>
      <c r="C1459" s="46" t="s">
        <v>1608</v>
      </c>
      <c r="D1459" s="46" t="s">
        <v>1598</v>
      </c>
      <c r="E1459" s="46" t="s">
        <v>1609</v>
      </c>
      <c r="F1459" s="46" t="s">
        <v>1542</v>
      </c>
      <c r="G1459" s="46" t="s">
        <v>1207</v>
      </c>
    </row>
    <row r="1460" spans="1:7" ht="15.75" customHeight="1" x14ac:dyDescent="0.2">
      <c r="A1460" s="40"/>
      <c r="B1460" s="45" t="s">
        <v>88</v>
      </c>
      <c r="C1460" s="46" t="s">
        <v>1610</v>
      </c>
      <c r="D1460" s="46" t="s">
        <v>1611</v>
      </c>
      <c r="E1460" s="46" t="s">
        <v>348</v>
      </c>
      <c r="F1460" s="46" t="s">
        <v>1542</v>
      </c>
      <c r="G1460" s="46" t="s">
        <v>1207</v>
      </c>
    </row>
    <row r="1461" spans="1:7" ht="15.75" customHeight="1" x14ac:dyDescent="0.2">
      <c r="A1461" s="40"/>
      <c r="B1461" s="45" t="s">
        <v>94</v>
      </c>
      <c r="C1461" s="46" t="s">
        <v>1610</v>
      </c>
      <c r="D1461" s="46" t="s">
        <v>1611</v>
      </c>
      <c r="E1461" s="46" t="s">
        <v>348</v>
      </c>
      <c r="F1461" s="46" t="s">
        <v>1542</v>
      </c>
      <c r="G1461" s="46" t="s">
        <v>1207</v>
      </c>
    </row>
    <row r="1462" spans="1:7" ht="15.75" customHeight="1" x14ac:dyDescent="0.2">
      <c r="A1462" s="40"/>
      <c r="B1462" s="47" t="s">
        <v>131</v>
      </c>
      <c r="C1462" s="51" t="s">
        <v>1612</v>
      </c>
      <c r="D1462" s="51" t="s">
        <v>1613</v>
      </c>
      <c r="E1462" s="51" t="s">
        <v>1212</v>
      </c>
      <c r="F1462" s="51" t="s">
        <v>1542</v>
      </c>
      <c r="G1462" s="51" t="s">
        <v>1207</v>
      </c>
    </row>
    <row r="1463" spans="1:7" ht="15.75" customHeight="1" x14ac:dyDescent="0.2">
      <c r="A1463" s="40"/>
      <c r="B1463" s="45" t="s">
        <v>118</v>
      </c>
      <c r="C1463" s="46" t="s">
        <v>1612</v>
      </c>
      <c r="D1463" s="46" t="s">
        <v>1613</v>
      </c>
      <c r="E1463" s="46" t="s">
        <v>1212</v>
      </c>
      <c r="F1463" s="46" t="s">
        <v>1542</v>
      </c>
      <c r="G1463" s="46" t="s">
        <v>1207</v>
      </c>
    </row>
    <row r="1464" spans="1:7" ht="15.75" customHeight="1" x14ac:dyDescent="0.2">
      <c r="A1464" s="40"/>
      <c r="B1464" s="45" t="s">
        <v>114</v>
      </c>
      <c r="C1464" s="46" t="s">
        <v>1614</v>
      </c>
      <c r="D1464" s="46" t="s">
        <v>399</v>
      </c>
      <c r="E1464" s="46" t="s">
        <v>530</v>
      </c>
      <c r="F1464" s="46" t="s">
        <v>1542</v>
      </c>
      <c r="G1464" s="46" t="s">
        <v>1207</v>
      </c>
    </row>
    <row r="1465" spans="1:7" ht="15.75" customHeight="1" x14ac:dyDescent="0.2">
      <c r="A1465" s="40"/>
      <c r="B1465" s="45" t="s">
        <v>108</v>
      </c>
      <c r="C1465" s="46" t="s">
        <v>1614</v>
      </c>
      <c r="D1465" s="46" t="s">
        <v>399</v>
      </c>
      <c r="E1465" s="46" t="s">
        <v>530</v>
      </c>
      <c r="F1465" s="46" t="s">
        <v>1542</v>
      </c>
      <c r="G1465" s="46" t="s">
        <v>1207</v>
      </c>
    </row>
    <row r="1466" spans="1:7" ht="15.75" customHeight="1" x14ac:dyDescent="0.2">
      <c r="A1466" s="40"/>
      <c r="B1466" s="45" t="s">
        <v>102</v>
      </c>
      <c r="C1466" s="46" t="s">
        <v>1614</v>
      </c>
      <c r="D1466" s="46" t="s">
        <v>1107</v>
      </c>
      <c r="E1466" s="46" t="s">
        <v>530</v>
      </c>
      <c r="F1466" s="46" t="s">
        <v>1542</v>
      </c>
      <c r="G1466" s="46" t="s">
        <v>1207</v>
      </c>
    </row>
    <row r="1467" spans="1:7" ht="15.75" customHeight="1" x14ac:dyDescent="0.2">
      <c r="A1467" s="40"/>
      <c r="B1467" s="45" t="s">
        <v>232</v>
      </c>
      <c r="C1467" s="46" t="s">
        <v>1614</v>
      </c>
      <c r="D1467" s="46" t="s">
        <v>1107</v>
      </c>
      <c r="E1467" s="46" t="s">
        <v>530</v>
      </c>
      <c r="F1467" s="46" t="s">
        <v>1542</v>
      </c>
      <c r="G1467" s="46" t="s">
        <v>1207</v>
      </c>
    </row>
    <row r="1468" spans="1:7" ht="15.75" customHeight="1" x14ac:dyDescent="0.2">
      <c r="A1468" s="40"/>
      <c r="B1468" s="45" t="s">
        <v>108</v>
      </c>
      <c r="C1468" s="46" t="s">
        <v>1614</v>
      </c>
      <c r="D1468" s="46" t="s">
        <v>1107</v>
      </c>
      <c r="E1468" s="46" t="s">
        <v>530</v>
      </c>
      <c r="F1468" s="46" t="s">
        <v>1542</v>
      </c>
      <c r="G1468" s="46" t="s">
        <v>1207</v>
      </c>
    </row>
    <row r="1469" spans="1:7" ht="15.75" customHeight="1" x14ac:dyDescent="0.2">
      <c r="A1469" s="40"/>
      <c r="B1469" s="45" t="s">
        <v>316</v>
      </c>
      <c r="C1469" s="46" t="s">
        <v>1614</v>
      </c>
      <c r="D1469" s="46" t="s">
        <v>1615</v>
      </c>
      <c r="E1469" s="46" t="s">
        <v>1387</v>
      </c>
      <c r="F1469" s="46" t="s">
        <v>1542</v>
      </c>
      <c r="G1469" s="46" t="s">
        <v>1207</v>
      </c>
    </row>
    <row r="1470" spans="1:7" ht="15.75" customHeight="1" x14ac:dyDescent="0.2">
      <c r="A1470" s="40"/>
      <c r="B1470" s="45" t="s">
        <v>102</v>
      </c>
      <c r="C1470" s="46" t="s">
        <v>1614</v>
      </c>
      <c r="D1470" s="46" t="s">
        <v>1615</v>
      </c>
      <c r="E1470" s="46" t="s">
        <v>1387</v>
      </c>
      <c r="F1470" s="46" t="s">
        <v>1542</v>
      </c>
      <c r="G1470" s="46" t="s">
        <v>1207</v>
      </c>
    </row>
    <row r="1471" spans="1:7" ht="15.75" customHeight="1" x14ac:dyDescent="0.2">
      <c r="A1471" s="40"/>
      <c r="B1471" s="45" t="s">
        <v>102</v>
      </c>
      <c r="C1471" s="46" t="s">
        <v>1326</v>
      </c>
      <c r="D1471" s="46" t="s">
        <v>967</v>
      </c>
      <c r="E1471" s="46" t="s">
        <v>1330</v>
      </c>
      <c r="F1471" s="46" t="s">
        <v>1542</v>
      </c>
      <c r="G1471" s="46" t="s">
        <v>1207</v>
      </c>
    </row>
    <row r="1472" spans="1:7" ht="15.75" customHeight="1" x14ac:dyDescent="0.2">
      <c r="A1472" s="40"/>
      <c r="B1472" s="45" t="s">
        <v>311</v>
      </c>
      <c r="C1472" s="46" t="s">
        <v>1326</v>
      </c>
      <c r="D1472" s="46" t="s">
        <v>967</v>
      </c>
      <c r="E1472" s="46" t="s">
        <v>1330</v>
      </c>
      <c r="F1472" s="46" t="s">
        <v>1542</v>
      </c>
      <c r="G1472" s="46" t="s">
        <v>1207</v>
      </c>
    </row>
    <row r="1473" spans="1:22" ht="15.75" customHeight="1" x14ac:dyDescent="0.2">
      <c r="A1473" s="40"/>
      <c r="B1473" s="45" t="s">
        <v>108</v>
      </c>
      <c r="C1473" s="46" t="s">
        <v>1326</v>
      </c>
      <c r="D1473" s="46" t="s">
        <v>967</v>
      </c>
      <c r="E1473" s="46" t="s">
        <v>1330</v>
      </c>
      <c r="F1473" s="46" t="s">
        <v>1542</v>
      </c>
      <c r="G1473" s="46" t="s">
        <v>1207</v>
      </c>
    </row>
    <row r="1474" spans="1:22" ht="15.75" customHeight="1" x14ac:dyDescent="0.2">
      <c r="A1474" s="40"/>
      <c r="B1474" s="45" t="s">
        <v>88</v>
      </c>
      <c r="C1474" s="46" t="s">
        <v>1616</v>
      </c>
      <c r="D1474" s="46" t="s">
        <v>484</v>
      </c>
      <c r="E1474" s="46" t="s">
        <v>676</v>
      </c>
      <c r="F1474" s="46" t="s">
        <v>1542</v>
      </c>
      <c r="G1474" s="46" t="s">
        <v>1207</v>
      </c>
    </row>
    <row r="1475" spans="1:22" ht="15.75" customHeight="1" x14ac:dyDescent="0.2">
      <c r="A1475" s="40"/>
      <c r="B1475" s="45" t="s">
        <v>548</v>
      </c>
      <c r="C1475" s="46" t="s">
        <v>1616</v>
      </c>
      <c r="D1475" s="46" t="s">
        <v>484</v>
      </c>
      <c r="E1475" s="46" t="s">
        <v>676</v>
      </c>
      <c r="F1475" s="46" t="s">
        <v>1542</v>
      </c>
      <c r="G1475" s="46" t="s">
        <v>1207</v>
      </c>
    </row>
    <row r="1476" spans="1:22" ht="15.75" customHeight="1" x14ac:dyDescent="0.2">
      <c r="A1476" s="40"/>
      <c r="B1476" s="45" t="s">
        <v>102</v>
      </c>
      <c r="C1476" s="46" t="s">
        <v>1421</v>
      </c>
      <c r="D1476" s="46" t="s">
        <v>901</v>
      </c>
      <c r="E1476" s="46" t="s">
        <v>876</v>
      </c>
      <c r="F1476" s="46" t="s">
        <v>1542</v>
      </c>
      <c r="G1476" s="46" t="s">
        <v>1207</v>
      </c>
    </row>
    <row r="1477" spans="1:22" ht="15.75" customHeight="1" x14ac:dyDescent="0.2">
      <c r="A1477" s="40"/>
      <c r="B1477" s="45" t="s">
        <v>311</v>
      </c>
      <c r="C1477" s="46" t="s">
        <v>1421</v>
      </c>
      <c r="D1477" s="46" t="s">
        <v>901</v>
      </c>
      <c r="E1477" s="46" t="s">
        <v>876</v>
      </c>
      <c r="F1477" s="46" t="s">
        <v>1542</v>
      </c>
      <c r="G1477" s="46" t="s">
        <v>1207</v>
      </c>
    </row>
    <row r="1478" spans="1:22" ht="15.75" customHeight="1" x14ac:dyDescent="0.2">
      <c r="A1478" s="40"/>
      <c r="B1478" s="45" t="s">
        <v>94</v>
      </c>
      <c r="C1478" s="46" t="s">
        <v>1617</v>
      </c>
      <c r="D1478" s="46" t="s">
        <v>1453</v>
      </c>
      <c r="E1478" s="46" t="s">
        <v>1235</v>
      </c>
      <c r="F1478" s="46" t="s">
        <v>1542</v>
      </c>
      <c r="G1478" s="46" t="s">
        <v>1207</v>
      </c>
      <c r="H1478" s="43"/>
      <c r="I1478" s="43"/>
      <c r="J1478" s="43"/>
      <c r="K1478" s="43"/>
      <c r="L1478" s="43"/>
      <c r="M1478" s="43"/>
      <c r="N1478" s="43"/>
      <c r="O1478" s="43"/>
      <c r="P1478" s="43"/>
      <c r="Q1478" s="43"/>
      <c r="R1478" s="43"/>
      <c r="S1478" s="43"/>
      <c r="T1478" s="43"/>
      <c r="U1478" s="43"/>
      <c r="V1478" s="43"/>
    </row>
    <row r="1479" spans="1:22" ht="15.75" customHeight="1" x14ac:dyDescent="0.2">
      <c r="A1479" s="40"/>
      <c r="B1479" s="45" t="s">
        <v>303</v>
      </c>
      <c r="C1479" s="46" t="s">
        <v>1618</v>
      </c>
      <c r="D1479" s="46" t="s">
        <v>852</v>
      </c>
      <c r="E1479" s="46" t="s">
        <v>1619</v>
      </c>
      <c r="F1479" s="46" t="s">
        <v>1542</v>
      </c>
      <c r="G1479" s="46" t="s">
        <v>1207</v>
      </c>
    </row>
    <row r="1480" spans="1:22" ht="15.75" customHeight="1" x14ac:dyDescent="0.2">
      <c r="A1480" s="40"/>
      <c r="B1480" s="45" t="s">
        <v>88</v>
      </c>
      <c r="C1480" s="46" t="s">
        <v>1618</v>
      </c>
      <c r="D1480" s="46" t="s">
        <v>852</v>
      </c>
      <c r="E1480" s="46" t="s">
        <v>1619</v>
      </c>
      <c r="F1480" s="46" t="s">
        <v>1542</v>
      </c>
      <c r="G1480" s="46" t="s">
        <v>1207</v>
      </c>
    </row>
    <row r="1481" spans="1:22" ht="15.75" customHeight="1" x14ac:dyDescent="0.2">
      <c r="A1481" s="40"/>
      <c r="B1481" s="45" t="s">
        <v>94</v>
      </c>
      <c r="C1481" s="46" t="s">
        <v>1618</v>
      </c>
      <c r="D1481" s="46" t="s">
        <v>852</v>
      </c>
      <c r="E1481" s="46" t="s">
        <v>1619</v>
      </c>
      <c r="F1481" s="46" t="s">
        <v>1542</v>
      </c>
      <c r="G1481" s="46" t="s">
        <v>1207</v>
      </c>
    </row>
    <row r="1482" spans="1:22" ht="15.75" customHeight="1" x14ac:dyDescent="0.2">
      <c r="A1482" s="40"/>
      <c r="B1482" s="45" t="s">
        <v>88</v>
      </c>
      <c r="C1482" s="46" t="s">
        <v>1620</v>
      </c>
      <c r="D1482" s="46" t="s">
        <v>124</v>
      </c>
      <c r="E1482" s="46" t="s">
        <v>40</v>
      </c>
      <c r="F1482" s="46" t="s">
        <v>1542</v>
      </c>
      <c r="G1482" s="46" t="s">
        <v>1207</v>
      </c>
    </row>
    <row r="1483" spans="1:22" ht="15.75" customHeight="1" x14ac:dyDescent="0.2">
      <c r="A1483" s="40"/>
      <c r="B1483" s="45" t="s">
        <v>323</v>
      </c>
      <c r="C1483" s="46" t="s">
        <v>1621</v>
      </c>
      <c r="D1483" s="46" t="s">
        <v>186</v>
      </c>
      <c r="E1483" s="46" t="s">
        <v>306</v>
      </c>
      <c r="F1483" s="46" t="s">
        <v>1542</v>
      </c>
      <c r="G1483" s="46" t="s">
        <v>1207</v>
      </c>
    </row>
    <row r="1484" spans="1:22" ht="15.75" customHeight="1" x14ac:dyDescent="0.2">
      <c r="A1484" s="40"/>
      <c r="B1484" s="45" t="s">
        <v>297</v>
      </c>
      <c r="C1484" s="46" t="s">
        <v>1621</v>
      </c>
      <c r="D1484" s="46" t="s">
        <v>186</v>
      </c>
      <c r="E1484" s="46" t="s">
        <v>306</v>
      </c>
      <c r="F1484" s="46" t="s">
        <v>1542</v>
      </c>
      <c r="G1484" s="46" t="s">
        <v>1207</v>
      </c>
    </row>
    <row r="1485" spans="1:22" ht="15.75" customHeight="1" x14ac:dyDescent="0.2">
      <c r="A1485" s="40"/>
      <c r="B1485" s="45" t="s">
        <v>88</v>
      </c>
      <c r="C1485" s="46" t="s">
        <v>1622</v>
      </c>
      <c r="D1485" s="46" t="s">
        <v>1595</v>
      </c>
      <c r="E1485" s="46" t="s">
        <v>626</v>
      </c>
      <c r="F1485" s="46" t="s">
        <v>1542</v>
      </c>
      <c r="G1485" s="46" t="s">
        <v>1207</v>
      </c>
    </row>
    <row r="1486" spans="1:22" ht="15.75" customHeight="1" x14ac:dyDescent="0.2">
      <c r="A1486" s="40"/>
      <c r="B1486" s="45" t="s">
        <v>88</v>
      </c>
      <c r="C1486" s="46" t="s">
        <v>1544</v>
      </c>
      <c r="D1486" s="46" t="s">
        <v>186</v>
      </c>
      <c r="E1486" s="46" t="s">
        <v>112</v>
      </c>
      <c r="F1486" s="46" t="s">
        <v>1542</v>
      </c>
      <c r="G1486" s="46" t="s">
        <v>1207</v>
      </c>
    </row>
    <row r="1487" spans="1:22" ht="15.75" customHeight="1" x14ac:dyDescent="0.2">
      <c r="A1487" s="40"/>
      <c r="B1487" s="45" t="s">
        <v>94</v>
      </c>
      <c r="C1487" s="46" t="s">
        <v>1544</v>
      </c>
      <c r="D1487" s="46" t="s">
        <v>186</v>
      </c>
      <c r="E1487" s="46" t="s">
        <v>112</v>
      </c>
      <c r="F1487" s="46" t="s">
        <v>1542</v>
      </c>
      <c r="G1487" s="46" t="s">
        <v>1207</v>
      </c>
    </row>
    <row r="1488" spans="1:22" ht="15.75" customHeight="1" x14ac:dyDescent="0.2">
      <c r="A1488" s="40"/>
      <c r="B1488" s="45" t="s">
        <v>102</v>
      </c>
      <c r="C1488" s="46" t="s">
        <v>1564</v>
      </c>
      <c r="D1488" s="46" t="s">
        <v>1068</v>
      </c>
      <c r="E1488" s="46" t="s">
        <v>319</v>
      </c>
      <c r="F1488" s="46" t="s">
        <v>1542</v>
      </c>
      <c r="G1488" s="46" t="s">
        <v>1207</v>
      </c>
    </row>
    <row r="1489" spans="1:7" ht="15.75" customHeight="1" x14ac:dyDescent="0.2">
      <c r="A1489" s="40"/>
      <c r="B1489" s="45" t="s">
        <v>303</v>
      </c>
      <c r="C1489" s="46" t="s">
        <v>1564</v>
      </c>
      <c r="D1489" s="46" t="s">
        <v>1068</v>
      </c>
      <c r="E1489" s="46" t="s">
        <v>319</v>
      </c>
      <c r="F1489" s="46" t="s">
        <v>1542</v>
      </c>
      <c r="G1489" s="46" t="s">
        <v>1207</v>
      </c>
    </row>
    <row r="1490" spans="1:7" ht="15.75" customHeight="1" x14ac:dyDescent="0.2">
      <c r="A1490" s="40"/>
      <c r="B1490" s="45" t="s">
        <v>421</v>
      </c>
      <c r="C1490" s="46" t="s">
        <v>1623</v>
      </c>
      <c r="D1490" s="46" t="s">
        <v>557</v>
      </c>
      <c r="E1490" s="46" t="s">
        <v>302</v>
      </c>
      <c r="F1490" s="46" t="s">
        <v>1542</v>
      </c>
      <c r="G1490" s="46" t="s">
        <v>1207</v>
      </c>
    </row>
    <row r="1491" spans="1:7" ht="15.75" customHeight="1" x14ac:dyDescent="0.2">
      <c r="A1491" s="40"/>
      <c r="B1491" s="45" t="s">
        <v>307</v>
      </c>
      <c r="C1491" s="46" t="s">
        <v>1623</v>
      </c>
      <c r="D1491" s="46" t="s">
        <v>557</v>
      </c>
      <c r="E1491" s="46" t="s">
        <v>302</v>
      </c>
      <c r="F1491" s="46" t="s">
        <v>1542</v>
      </c>
      <c r="G1491" s="46" t="s">
        <v>1207</v>
      </c>
    </row>
    <row r="1492" spans="1:7" ht="15.75" customHeight="1" x14ac:dyDescent="0.2">
      <c r="A1492" s="40"/>
      <c r="B1492" s="45" t="s">
        <v>108</v>
      </c>
      <c r="C1492" s="46" t="s">
        <v>1623</v>
      </c>
      <c r="D1492" s="46" t="s">
        <v>557</v>
      </c>
      <c r="E1492" s="46" t="s">
        <v>302</v>
      </c>
      <c r="F1492" s="46" t="s">
        <v>1542</v>
      </c>
      <c r="G1492" s="46" t="s">
        <v>1207</v>
      </c>
    </row>
    <row r="1493" spans="1:7" ht="15.75" customHeight="1" x14ac:dyDescent="0.2">
      <c r="A1493" s="40"/>
      <c r="B1493" s="45" t="s">
        <v>307</v>
      </c>
      <c r="C1493" s="46" t="s">
        <v>1623</v>
      </c>
      <c r="D1493" s="46" t="s">
        <v>1041</v>
      </c>
      <c r="E1493" s="46" t="s">
        <v>302</v>
      </c>
      <c r="F1493" s="46" t="s">
        <v>1542</v>
      </c>
      <c r="G1493" s="46" t="s">
        <v>1207</v>
      </c>
    </row>
    <row r="1494" spans="1:7" ht="15.75" customHeight="1" x14ac:dyDescent="0.2">
      <c r="A1494" s="40"/>
      <c r="B1494" s="45" t="s">
        <v>311</v>
      </c>
      <c r="C1494" s="46" t="s">
        <v>1623</v>
      </c>
      <c r="D1494" s="46" t="s">
        <v>1041</v>
      </c>
      <c r="E1494" s="46" t="s">
        <v>302</v>
      </c>
      <c r="F1494" s="46" t="s">
        <v>1542</v>
      </c>
      <c r="G1494" s="46" t="s">
        <v>1207</v>
      </c>
    </row>
    <row r="1495" spans="1:7" ht="15.75" customHeight="1" x14ac:dyDescent="0.2">
      <c r="A1495" s="40"/>
      <c r="B1495" s="45" t="s">
        <v>108</v>
      </c>
      <c r="C1495" s="46" t="s">
        <v>1623</v>
      </c>
      <c r="D1495" s="46" t="s">
        <v>1041</v>
      </c>
      <c r="E1495" s="46" t="s">
        <v>302</v>
      </c>
      <c r="F1495" s="46" t="s">
        <v>1542</v>
      </c>
      <c r="G1495" s="46" t="s">
        <v>1207</v>
      </c>
    </row>
    <row r="1496" spans="1:7" ht="15.75" customHeight="1" x14ac:dyDescent="0.2">
      <c r="A1496" s="40"/>
      <c r="B1496" s="45" t="s">
        <v>88</v>
      </c>
      <c r="C1496" s="46" t="s">
        <v>1554</v>
      </c>
      <c r="D1496" s="46" t="s">
        <v>58</v>
      </c>
      <c r="E1496" s="46" t="s">
        <v>306</v>
      </c>
      <c r="F1496" s="46" t="s">
        <v>1542</v>
      </c>
      <c r="G1496" s="46" t="s">
        <v>1207</v>
      </c>
    </row>
    <row r="1497" spans="1:7" ht="15.75" customHeight="1" x14ac:dyDescent="0.2">
      <c r="A1497" s="40"/>
      <c r="B1497" s="45" t="s">
        <v>94</v>
      </c>
      <c r="C1497" s="46" t="s">
        <v>1554</v>
      </c>
      <c r="D1497" s="46" t="s">
        <v>58</v>
      </c>
      <c r="E1497" s="46" t="s">
        <v>306</v>
      </c>
      <c r="F1497" s="46" t="s">
        <v>1542</v>
      </c>
      <c r="G1497" s="46" t="s">
        <v>1207</v>
      </c>
    </row>
    <row r="1498" spans="1:7" ht="15.75" customHeight="1" x14ac:dyDescent="0.2">
      <c r="A1498" s="40"/>
      <c r="B1498" s="45" t="s">
        <v>88</v>
      </c>
      <c r="C1498" s="46" t="s">
        <v>1624</v>
      </c>
      <c r="D1498" s="46" t="s">
        <v>1497</v>
      </c>
      <c r="E1498" s="46" t="s">
        <v>18</v>
      </c>
      <c r="F1498" s="46" t="s">
        <v>1542</v>
      </c>
      <c r="G1498" s="46" t="s">
        <v>1207</v>
      </c>
    </row>
    <row r="1499" spans="1:7" ht="15.75" customHeight="1" x14ac:dyDescent="0.2">
      <c r="A1499" s="40"/>
      <c r="B1499" s="45" t="s">
        <v>296</v>
      </c>
      <c r="C1499" s="46" t="s">
        <v>635</v>
      </c>
      <c r="D1499" s="46" t="s">
        <v>139</v>
      </c>
      <c r="E1499" s="46" t="s">
        <v>306</v>
      </c>
      <c r="F1499" s="46" t="s">
        <v>1542</v>
      </c>
      <c r="G1499" s="46" t="s">
        <v>1207</v>
      </c>
    </row>
    <row r="1500" spans="1:7" ht="15.75" customHeight="1" x14ac:dyDescent="0.2">
      <c r="A1500" s="40"/>
      <c r="B1500" s="45" t="s">
        <v>238</v>
      </c>
      <c r="C1500" s="46" t="s">
        <v>635</v>
      </c>
      <c r="D1500" s="46" t="s">
        <v>139</v>
      </c>
      <c r="E1500" s="46" t="s">
        <v>306</v>
      </c>
      <c r="F1500" s="46" t="s">
        <v>1542</v>
      </c>
      <c r="G1500" s="46" t="s">
        <v>1207</v>
      </c>
    </row>
    <row r="1501" spans="1:7" ht="15.75" customHeight="1" x14ac:dyDescent="0.2">
      <c r="A1501" s="40"/>
      <c r="B1501" s="45" t="s">
        <v>88</v>
      </c>
      <c r="C1501" s="46" t="s">
        <v>1625</v>
      </c>
      <c r="D1501" s="46" t="s">
        <v>353</v>
      </c>
      <c r="E1501" s="46" t="s">
        <v>319</v>
      </c>
      <c r="F1501" s="46" t="s">
        <v>1542</v>
      </c>
      <c r="G1501" s="46" t="s">
        <v>1207</v>
      </c>
    </row>
    <row r="1502" spans="1:7" ht="15.75" customHeight="1" x14ac:dyDescent="0.2">
      <c r="A1502" s="40"/>
      <c r="B1502" s="45" t="s">
        <v>297</v>
      </c>
      <c r="C1502" s="46" t="s">
        <v>1626</v>
      </c>
      <c r="D1502" s="46" t="s">
        <v>1627</v>
      </c>
      <c r="E1502" s="46" t="s">
        <v>1367</v>
      </c>
      <c r="F1502" s="46" t="s">
        <v>1542</v>
      </c>
      <c r="G1502" s="46" t="s">
        <v>1207</v>
      </c>
    </row>
    <row r="1503" spans="1:7" ht="15.75" customHeight="1" x14ac:dyDescent="0.2">
      <c r="A1503" s="40"/>
      <c r="B1503" s="45" t="s">
        <v>300</v>
      </c>
      <c r="C1503" s="46" t="s">
        <v>1626</v>
      </c>
      <c r="D1503" s="46" t="s">
        <v>1627</v>
      </c>
      <c r="E1503" s="46" t="s">
        <v>1367</v>
      </c>
      <c r="F1503" s="46" t="s">
        <v>1542</v>
      </c>
      <c r="G1503" s="46" t="s">
        <v>1207</v>
      </c>
    </row>
    <row r="1504" spans="1:7" ht="15.75" customHeight="1" x14ac:dyDescent="0.2">
      <c r="A1504" s="40"/>
      <c r="B1504" s="45" t="s">
        <v>121</v>
      </c>
      <c r="C1504" s="46" t="s">
        <v>1628</v>
      </c>
      <c r="D1504" s="46" t="s">
        <v>1629</v>
      </c>
      <c r="E1504" s="46" t="s">
        <v>1630</v>
      </c>
      <c r="F1504" s="46" t="s">
        <v>1542</v>
      </c>
      <c r="G1504" s="46" t="s">
        <v>1207</v>
      </c>
    </row>
    <row r="1505" spans="1:22" ht="15.75" customHeight="1" x14ac:dyDescent="0.2">
      <c r="A1505" s="40"/>
      <c r="B1505" s="45" t="s">
        <v>315</v>
      </c>
      <c r="C1505" s="46" t="s">
        <v>1628</v>
      </c>
      <c r="D1505" s="46" t="s">
        <v>1629</v>
      </c>
      <c r="E1505" s="46" t="s">
        <v>1630</v>
      </c>
      <c r="F1505" s="46" t="s">
        <v>1542</v>
      </c>
      <c r="G1505" s="46" t="s">
        <v>1207</v>
      </c>
    </row>
    <row r="1506" spans="1:22" ht="15.75" customHeight="1" x14ac:dyDescent="0.2">
      <c r="A1506" s="40">
        <v>199</v>
      </c>
      <c r="B1506" s="41" t="s">
        <v>1631</v>
      </c>
      <c r="C1506" s="42" t="s">
        <v>1632</v>
      </c>
      <c r="D1506" s="42" t="s">
        <v>1633</v>
      </c>
      <c r="E1506" s="42" t="s">
        <v>1634</v>
      </c>
      <c r="F1506" s="42" t="s">
        <v>1635</v>
      </c>
      <c r="G1506" s="42" t="s">
        <v>1207</v>
      </c>
      <c r="H1506" s="43"/>
      <c r="I1506" s="43"/>
      <c r="J1506" s="43"/>
      <c r="K1506" s="43"/>
      <c r="L1506" s="43"/>
      <c r="M1506" s="43"/>
      <c r="N1506" s="43"/>
      <c r="O1506" s="43"/>
      <c r="P1506" s="43"/>
      <c r="Q1506" s="43"/>
      <c r="R1506" s="43"/>
      <c r="S1506" s="43"/>
      <c r="T1506" s="43"/>
      <c r="U1506" s="43"/>
      <c r="V1506" s="43"/>
    </row>
    <row r="1507" spans="1:22" ht="15.75" customHeight="1" x14ac:dyDescent="0.2">
      <c r="A1507" s="40">
        <v>217</v>
      </c>
      <c r="B1507" s="41" t="s">
        <v>1636</v>
      </c>
      <c r="C1507" s="42" t="s">
        <v>1632</v>
      </c>
      <c r="D1507" s="42" t="s">
        <v>1633</v>
      </c>
      <c r="E1507" s="42" t="s">
        <v>1634</v>
      </c>
      <c r="F1507" s="42" t="s">
        <v>1635</v>
      </c>
      <c r="G1507" s="42" t="s">
        <v>1207</v>
      </c>
      <c r="H1507" s="43"/>
      <c r="I1507" s="43"/>
      <c r="J1507" s="43"/>
      <c r="K1507" s="43"/>
      <c r="L1507" s="43"/>
      <c r="M1507" s="43"/>
      <c r="N1507" s="43"/>
      <c r="O1507" s="43"/>
      <c r="P1507" s="43"/>
      <c r="Q1507" s="43"/>
      <c r="R1507" s="43"/>
      <c r="S1507" s="43"/>
      <c r="T1507" s="43"/>
      <c r="U1507" s="43"/>
      <c r="V1507" s="43"/>
    </row>
    <row r="1508" spans="1:22" ht="15.75" customHeight="1" x14ac:dyDescent="0.2">
      <c r="A1508" s="40"/>
      <c r="B1508" s="47" t="s">
        <v>296</v>
      </c>
      <c r="C1508" s="46" t="s">
        <v>1637</v>
      </c>
      <c r="D1508" s="46" t="s">
        <v>104</v>
      </c>
      <c r="E1508" s="46" t="s">
        <v>1372</v>
      </c>
      <c r="F1508" s="46" t="s">
        <v>1638</v>
      </c>
      <c r="G1508" s="46" t="s">
        <v>1207</v>
      </c>
      <c r="H1508" s="43"/>
      <c r="I1508" s="43"/>
      <c r="J1508" s="43"/>
      <c r="K1508" s="43"/>
      <c r="L1508" s="43"/>
      <c r="M1508" s="43"/>
      <c r="N1508" s="43"/>
      <c r="O1508" s="43"/>
      <c r="P1508" s="43"/>
      <c r="Q1508" s="43"/>
      <c r="R1508" s="43"/>
      <c r="S1508" s="43"/>
      <c r="T1508" s="43"/>
      <c r="U1508" s="43"/>
      <c r="V1508" s="43"/>
    </row>
    <row r="1509" spans="1:22" ht="15.75" customHeight="1" x14ac:dyDescent="0.2">
      <c r="A1509" s="40"/>
      <c r="B1509" s="45" t="s">
        <v>108</v>
      </c>
      <c r="C1509" s="46" t="s">
        <v>1637</v>
      </c>
      <c r="D1509" s="46" t="s">
        <v>104</v>
      </c>
      <c r="E1509" s="46" t="s">
        <v>1372</v>
      </c>
      <c r="F1509" s="46" t="s">
        <v>1638</v>
      </c>
      <c r="G1509" s="46" t="s">
        <v>1207</v>
      </c>
      <c r="H1509" s="43"/>
      <c r="I1509" s="43"/>
      <c r="J1509" s="43"/>
      <c r="K1509" s="43"/>
      <c r="L1509" s="43"/>
      <c r="M1509" s="43"/>
      <c r="N1509" s="43"/>
      <c r="O1509" s="43"/>
      <c r="P1509" s="43"/>
      <c r="Q1509" s="43"/>
      <c r="R1509" s="43"/>
      <c r="S1509" s="43"/>
      <c r="T1509" s="43"/>
      <c r="U1509" s="43"/>
      <c r="V1509" s="43"/>
    </row>
    <row r="1510" spans="1:22" ht="15.75" customHeight="1" x14ac:dyDescent="0.2">
      <c r="A1510" s="40"/>
      <c r="B1510" s="45" t="s">
        <v>303</v>
      </c>
      <c r="C1510" s="46" t="s">
        <v>1637</v>
      </c>
      <c r="D1510" s="46" t="s">
        <v>104</v>
      </c>
      <c r="E1510" s="46" t="s">
        <v>1372</v>
      </c>
      <c r="F1510" s="46" t="s">
        <v>1638</v>
      </c>
      <c r="G1510" s="46" t="s">
        <v>1207</v>
      </c>
      <c r="H1510" s="43"/>
      <c r="I1510" s="43"/>
      <c r="J1510" s="43"/>
      <c r="K1510" s="43"/>
      <c r="L1510" s="43"/>
      <c r="M1510" s="43"/>
      <c r="N1510" s="43"/>
      <c r="O1510" s="43"/>
      <c r="P1510" s="43"/>
      <c r="Q1510" s="43"/>
      <c r="R1510" s="43"/>
      <c r="S1510" s="43"/>
      <c r="T1510" s="43"/>
      <c r="U1510" s="43"/>
      <c r="V1510" s="43"/>
    </row>
    <row r="1511" spans="1:22" ht="15.75" customHeight="1" x14ac:dyDescent="0.2">
      <c r="A1511" s="40"/>
      <c r="B1511" s="45" t="s">
        <v>94</v>
      </c>
      <c r="C1511" s="46" t="s">
        <v>1637</v>
      </c>
      <c r="D1511" s="46" t="s">
        <v>104</v>
      </c>
      <c r="E1511" s="46" t="s">
        <v>1372</v>
      </c>
      <c r="F1511" s="46" t="s">
        <v>1638</v>
      </c>
      <c r="G1511" s="46" t="s">
        <v>1207</v>
      </c>
      <c r="H1511" s="43"/>
      <c r="I1511" s="43"/>
      <c r="J1511" s="43"/>
      <c r="K1511" s="43"/>
      <c r="L1511" s="43"/>
      <c r="M1511" s="43"/>
      <c r="N1511" s="43"/>
      <c r="O1511" s="43"/>
      <c r="P1511" s="43"/>
      <c r="Q1511" s="43"/>
      <c r="R1511" s="43"/>
      <c r="S1511" s="43"/>
      <c r="T1511" s="43"/>
      <c r="U1511" s="43"/>
      <c r="V1511" s="43"/>
    </row>
    <row r="1512" spans="1:22" ht="15.75" customHeight="1" x14ac:dyDescent="0.2">
      <c r="A1512" s="40"/>
      <c r="B1512" s="45" t="s">
        <v>94</v>
      </c>
      <c r="C1512" s="46" t="s">
        <v>1639</v>
      </c>
      <c r="D1512" s="46" t="s">
        <v>28</v>
      </c>
      <c r="E1512" s="46" t="s">
        <v>1212</v>
      </c>
      <c r="F1512" s="46" t="s">
        <v>1638</v>
      </c>
      <c r="G1512" s="46" t="s">
        <v>1207</v>
      </c>
      <c r="H1512" s="43"/>
      <c r="I1512" s="43"/>
      <c r="J1512" s="43"/>
      <c r="K1512" s="43"/>
      <c r="L1512" s="43"/>
      <c r="M1512" s="43"/>
      <c r="N1512" s="43"/>
      <c r="O1512" s="43"/>
      <c r="P1512" s="43"/>
      <c r="Q1512" s="43"/>
      <c r="R1512" s="43"/>
      <c r="S1512" s="43"/>
      <c r="T1512" s="43"/>
      <c r="U1512" s="43"/>
      <c r="V1512" s="43"/>
    </row>
    <row r="1513" spans="1:22" ht="15.75" customHeight="1" x14ac:dyDescent="0.2">
      <c r="A1513" s="40"/>
      <c r="B1513" s="45" t="s">
        <v>121</v>
      </c>
      <c r="C1513" s="46" t="s">
        <v>1639</v>
      </c>
      <c r="D1513" s="46" t="s">
        <v>1640</v>
      </c>
      <c r="E1513" s="46" t="s">
        <v>1212</v>
      </c>
      <c r="F1513" s="46" t="s">
        <v>1638</v>
      </c>
      <c r="G1513" s="46" t="s">
        <v>1207</v>
      </c>
      <c r="H1513" s="43"/>
      <c r="I1513" s="43"/>
      <c r="J1513" s="43"/>
      <c r="K1513" s="43"/>
      <c r="L1513" s="43"/>
      <c r="M1513" s="43"/>
      <c r="N1513" s="43"/>
      <c r="O1513" s="43"/>
      <c r="P1513" s="43"/>
      <c r="Q1513" s="43"/>
      <c r="R1513" s="43"/>
      <c r="S1513" s="43"/>
      <c r="T1513" s="43"/>
      <c r="U1513" s="43"/>
      <c r="V1513" s="43"/>
    </row>
    <row r="1514" spans="1:22" ht="15.75" customHeight="1" x14ac:dyDescent="0.2">
      <c r="A1514" s="40"/>
      <c r="B1514" s="45" t="s">
        <v>315</v>
      </c>
      <c r="C1514" s="46" t="s">
        <v>1639</v>
      </c>
      <c r="D1514" s="46" t="s">
        <v>1640</v>
      </c>
      <c r="E1514" s="46" t="s">
        <v>1212</v>
      </c>
      <c r="F1514" s="51" t="s">
        <v>1638</v>
      </c>
      <c r="G1514" s="46" t="s">
        <v>1207</v>
      </c>
      <c r="H1514" s="43"/>
      <c r="I1514" s="43"/>
      <c r="J1514" s="43"/>
      <c r="K1514" s="43"/>
      <c r="L1514" s="43"/>
      <c r="M1514" s="43"/>
      <c r="N1514" s="43"/>
      <c r="O1514" s="43"/>
      <c r="P1514" s="43"/>
      <c r="Q1514" s="43"/>
      <c r="R1514" s="43"/>
      <c r="S1514" s="43"/>
      <c r="T1514" s="43"/>
      <c r="U1514" s="43"/>
      <c r="V1514" s="43"/>
    </row>
    <row r="1515" spans="1:22" ht="15.75" customHeight="1" x14ac:dyDescent="0.2">
      <c r="A1515" s="40">
        <v>283</v>
      </c>
      <c r="B1515" s="41" t="s">
        <v>628</v>
      </c>
      <c r="C1515" s="42" t="s">
        <v>1641</v>
      </c>
      <c r="D1515" s="42" t="s">
        <v>441</v>
      </c>
      <c r="E1515" s="42" t="s">
        <v>393</v>
      </c>
      <c r="F1515" s="42" t="s">
        <v>1638</v>
      </c>
      <c r="G1515" s="42" t="s">
        <v>1207</v>
      </c>
      <c r="H1515" s="43"/>
      <c r="I1515" s="43"/>
      <c r="J1515" s="43"/>
      <c r="K1515" s="43"/>
      <c r="L1515" s="43"/>
      <c r="M1515" s="43"/>
      <c r="N1515" s="43"/>
      <c r="O1515" s="43"/>
      <c r="P1515" s="43"/>
      <c r="Q1515" s="43"/>
      <c r="R1515" s="43"/>
      <c r="S1515" s="43"/>
      <c r="T1515" s="43"/>
      <c r="U1515" s="43"/>
      <c r="V1515" s="43"/>
    </row>
    <row r="1516" spans="1:22" ht="15.75" customHeight="1" x14ac:dyDescent="0.2">
      <c r="A1516" s="40">
        <v>1295</v>
      </c>
      <c r="B1516" s="41" t="s">
        <v>453</v>
      </c>
      <c r="C1516" s="42" t="s">
        <v>1641</v>
      </c>
      <c r="D1516" s="42" t="s">
        <v>441</v>
      </c>
      <c r="E1516" s="42" t="s">
        <v>393</v>
      </c>
      <c r="F1516" s="42" t="s">
        <v>1638</v>
      </c>
      <c r="G1516" s="42" t="s">
        <v>1207</v>
      </c>
      <c r="H1516" s="43"/>
      <c r="I1516" s="43"/>
      <c r="J1516" s="43"/>
      <c r="K1516" s="43"/>
      <c r="L1516" s="43"/>
      <c r="M1516" s="43"/>
      <c r="N1516" s="43"/>
      <c r="O1516" s="43"/>
      <c r="P1516" s="43"/>
      <c r="Q1516" s="43"/>
      <c r="R1516" s="43"/>
      <c r="S1516" s="43"/>
      <c r="T1516" s="43"/>
      <c r="U1516" s="43"/>
      <c r="V1516" s="43"/>
    </row>
    <row r="1517" spans="1:22" ht="15.75" customHeight="1" x14ac:dyDescent="0.2">
      <c r="A1517" s="40">
        <v>1793</v>
      </c>
      <c r="B1517" s="41" t="s">
        <v>442</v>
      </c>
      <c r="C1517" s="42" t="s">
        <v>1641</v>
      </c>
      <c r="D1517" s="42" t="s">
        <v>441</v>
      </c>
      <c r="E1517" s="42" t="s">
        <v>393</v>
      </c>
      <c r="F1517" s="42" t="s">
        <v>1638</v>
      </c>
      <c r="G1517" s="42" t="s">
        <v>1207</v>
      </c>
      <c r="H1517" s="43"/>
      <c r="I1517" s="43"/>
      <c r="J1517" s="43"/>
      <c r="K1517" s="43"/>
      <c r="L1517" s="43"/>
      <c r="M1517" s="43"/>
      <c r="N1517" s="43"/>
      <c r="O1517" s="43"/>
      <c r="P1517" s="43"/>
      <c r="Q1517" s="43"/>
      <c r="R1517" s="43"/>
      <c r="S1517" s="43"/>
      <c r="T1517" s="43"/>
      <c r="U1517" s="43"/>
      <c r="V1517" s="43"/>
    </row>
    <row r="1518" spans="1:22" ht="15.75" customHeight="1" x14ac:dyDescent="0.2">
      <c r="A1518" s="40">
        <v>2131</v>
      </c>
      <c r="B1518" s="41" t="s">
        <v>280</v>
      </c>
      <c r="C1518" s="42" t="s">
        <v>1641</v>
      </c>
      <c r="D1518" s="42" t="s">
        <v>441</v>
      </c>
      <c r="E1518" s="42" t="s">
        <v>393</v>
      </c>
      <c r="F1518" s="42" t="s">
        <v>1638</v>
      </c>
      <c r="G1518" s="42" t="s">
        <v>1207</v>
      </c>
      <c r="H1518" s="43"/>
      <c r="I1518" s="43"/>
      <c r="J1518" s="43"/>
      <c r="K1518" s="43"/>
      <c r="L1518" s="43"/>
      <c r="M1518" s="43"/>
      <c r="N1518" s="43"/>
      <c r="O1518" s="43"/>
      <c r="P1518" s="43"/>
      <c r="Q1518" s="43"/>
      <c r="R1518" s="43"/>
      <c r="S1518" s="43"/>
      <c r="T1518" s="43"/>
      <c r="U1518" s="43"/>
      <c r="V1518" s="43"/>
    </row>
    <row r="1519" spans="1:22" ht="15.75" customHeight="1" x14ac:dyDescent="0.2">
      <c r="A1519" s="40"/>
      <c r="B1519" s="45" t="s">
        <v>102</v>
      </c>
      <c r="C1519" s="46" t="s">
        <v>1444</v>
      </c>
      <c r="D1519" s="46" t="s">
        <v>600</v>
      </c>
      <c r="E1519" s="46" t="s">
        <v>1081</v>
      </c>
      <c r="F1519" s="46" t="s">
        <v>1638</v>
      </c>
      <c r="G1519" s="46" t="s">
        <v>1207</v>
      </c>
      <c r="H1519" s="43"/>
      <c r="I1519" s="43"/>
      <c r="J1519" s="43"/>
      <c r="K1519" s="43"/>
      <c r="L1519" s="43"/>
      <c r="M1519" s="43"/>
      <c r="N1519" s="43"/>
      <c r="O1519" s="43"/>
      <c r="P1519" s="43"/>
      <c r="Q1519" s="43"/>
      <c r="R1519" s="43"/>
      <c r="S1519" s="43"/>
      <c r="T1519" s="43"/>
      <c r="U1519" s="43"/>
      <c r="V1519" s="43"/>
    </row>
    <row r="1520" spans="1:22" ht="15.75" customHeight="1" x14ac:dyDescent="0.2">
      <c r="A1520" s="40"/>
      <c r="B1520" s="45" t="s">
        <v>232</v>
      </c>
      <c r="C1520" s="46" t="s">
        <v>1444</v>
      </c>
      <c r="D1520" s="46" t="s">
        <v>600</v>
      </c>
      <c r="E1520" s="46" t="s">
        <v>1081</v>
      </c>
      <c r="F1520" s="46" t="s">
        <v>1638</v>
      </c>
      <c r="G1520" s="46" t="s">
        <v>1207</v>
      </c>
      <c r="H1520" s="43"/>
      <c r="I1520" s="43"/>
      <c r="J1520" s="43"/>
      <c r="K1520" s="43"/>
      <c r="L1520" s="43"/>
      <c r="M1520" s="43"/>
      <c r="N1520" s="43"/>
      <c r="O1520" s="43"/>
      <c r="P1520" s="43"/>
      <c r="Q1520" s="43"/>
      <c r="R1520" s="43"/>
      <c r="S1520" s="43"/>
      <c r="T1520" s="43"/>
      <c r="U1520" s="43"/>
      <c r="V1520" s="43"/>
    </row>
    <row r="1521" spans="1:22" ht="15.75" customHeight="1" x14ac:dyDescent="0.2">
      <c r="A1521" s="40"/>
      <c r="B1521" s="45" t="s">
        <v>94</v>
      </c>
      <c r="C1521" s="46" t="s">
        <v>1444</v>
      </c>
      <c r="D1521" s="46" t="s">
        <v>600</v>
      </c>
      <c r="E1521" s="46" t="s">
        <v>1081</v>
      </c>
      <c r="F1521" s="46" t="s">
        <v>1638</v>
      </c>
      <c r="G1521" s="46" t="s">
        <v>1207</v>
      </c>
      <c r="H1521" s="43"/>
      <c r="I1521" s="43"/>
      <c r="J1521" s="43"/>
      <c r="K1521" s="43"/>
      <c r="L1521" s="43"/>
      <c r="M1521" s="43"/>
      <c r="N1521" s="43"/>
      <c r="O1521" s="43"/>
      <c r="P1521" s="43"/>
      <c r="Q1521" s="43"/>
      <c r="R1521" s="43"/>
      <c r="S1521" s="43"/>
      <c r="T1521" s="43"/>
      <c r="U1521" s="43"/>
      <c r="V1521" s="43"/>
    </row>
    <row r="1522" spans="1:22" ht="15.75" customHeight="1" x14ac:dyDescent="0.2">
      <c r="A1522" s="40">
        <v>1501</v>
      </c>
      <c r="B1522" s="41" t="s">
        <v>262</v>
      </c>
      <c r="C1522" s="42" t="s">
        <v>1642</v>
      </c>
      <c r="D1522" s="42" t="s">
        <v>1643</v>
      </c>
      <c r="E1522" s="42" t="s">
        <v>1387</v>
      </c>
      <c r="F1522" s="42" t="s">
        <v>1638</v>
      </c>
      <c r="G1522" s="42" t="s">
        <v>1207</v>
      </c>
      <c r="H1522" s="43"/>
      <c r="I1522" s="43"/>
      <c r="J1522" s="43"/>
      <c r="K1522" s="43"/>
      <c r="L1522" s="43"/>
      <c r="M1522" s="43"/>
      <c r="N1522" s="43"/>
      <c r="O1522" s="43"/>
      <c r="P1522" s="43"/>
      <c r="Q1522" s="43"/>
      <c r="R1522" s="43"/>
      <c r="S1522" s="43"/>
      <c r="T1522" s="43"/>
      <c r="U1522" s="43"/>
      <c r="V1522" s="43"/>
    </row>
    <row r="1523" spans="1:22" ht="15.75" customHeight="1" x14ac:dyDescent="0.2">
      <c r="A1523" s="40">
        <v>2525</v>
      </c>
      <c r="B1523" s="41" t="s">
        <v>1587</v>
      </c>
      <c r="C1523" s="42" t="s">
        <v>1642</v>
      </c>
      <c r="D1523" s="42" t="s">
        <v>1643</v>
      </c>
      <c r="E1523" s="42" t="s">
        <v>1387</v>
      </c>
      <c r="F1523" s="42" t="s">
        <v>1638</v>
      </c>
      <c r="G1523" s="42" t="s">
        <v>1207</v>
      </c>
      <c r="H1523" s="43"/>
      <c r="I1523" s="43"/>
      <c r="J1523" s="43"/>
      <c r="K1523" s="43"/>
      <c r="L1523" s="43"/>
      <c r="M1523" s="43"/>
      <c r="N1523" s="43"/>
      <c r="O1523" s="43"/>
      <c r="P1523" s="43"/>
      <c r="Q1523" s="43"/>
      <c r="R1523" s="43"/>
      <c r="S1523" s="43"/>
      <c r="T1523" s="43"/>
      <c r="U1523" s="43"/>
      <c r="V1523" s="43"/>
    </row>
    <row r="1524" spans="1:22" ht="15.75" customHeight="1" x14ac:dyDescent="0.2">
      <c r="A1524" s="40">
        <v>2717</v>
      </c>
      <c r="B1524" s="41" t="s">
        <v>703</v>
      </c>
      <c r="C1524" s="42" t="s">
        <v>1642</v>
      </c>
      <c r="D1524" s="42" t="s">
        <v>1643</v>
      </c>
      <c r="E1524" s="42" t="s">
        <v>1387</v>
      </c>
      <c r="F1524" s="42" t="s">
        <v>1638</v>
      </c>
      <c r="G1524" s="42" t="s">
        <v>1207</v>
      </c>
      <c r="H1524" s="43"/>
      <c r="I1524" s="43"/>
      <c r="J1524" s="43"/>
      <c r="K1524" s="43"/>
      <c r="L1524" s="43"/>
      <c r="M1524" s="43"/>
      <c r="N1524" s="43"/>
      <c r="O1524" s="43"/>
      <c r="P1524" s="43"/>
      <c r="Q1524" s="43"/>
      <c r="R1524" s="43"/>
      <c r="S1524" s="43"/>
      <c r="T1524" s="43"/>
      <c r="U1524" s="43"/>
      <c r="V1524" s="43"/>
    </row>
    <row r="1525" spans="1:22" ht="15.75" customHeight="1" x14ac:dyDescent="0.2">
      <c r="A1525" s="40"/>
      <c r="B1525" s="45" t="s">
        <v>316</v>
      </c>
      <c r="C1525" s="46" t="s">
        <v>1644</v>
      </c>
      <c r="D1525" s="46" t="s">
        <v>1645</v>
      </c>
      <c r="E1525" s="46" t="s">
        <v>1646</v>
      </c>
      <c r="F1525" s="46" t="s">
        <v>1638</v>
      </c>
      <c r="G1525" s="46" t="s">
        <v>1207</v>
      </c>
      <c r="H1525" s="43"/>
      <c r="I1525" s="43"/>
      <c r="J1525" s="43"/>
      <c r="K1525" s="43"/>
      <c r="L1525" s="43"/>
      <c r="M1525" s="43"/>
      <c r="N1525" s="43"/>
      <c r="O1525" s="43"/>
      <c r="P1525" s="43"/>
      <c r="Q1525" s="43"/>
      <c r="R1525" s="43"/>
      <c r="S1525" s="43"/>
      <c r="T1525" s="43"/>
      <c r="U1525" s="43"/>
      <c r="V1525" s="43"/>
    </row>
    <row r="1526" spans="1:22" ht="15.75" customHeight="1" x14ac:dyDescent="0.2">
      <c r="A1526" s="40"/>
      <c r="B1526" s="45" t="s">
        <v>102</v>
      </c>
      <c r="C1526" s="46" t="s">
        <v>1644</v>
      </c>
      <c r="D1526" s="46" t="s">
        <v>1645</v>
      </c>
      <c r="E1526" s="46" t="s">
        <v>1646</v>
      </c>
      <c r="F1526" s="46" t="s">
        <v>1638</v>
      </c>
      <c r="G1526" s="46" t="s">
        <v>1207</v>
      </c>
      <c r="H1526" s="43"/>
      <c r="I1526" s="43"/>
      <c r="J1526" s="43"/>
      <c r="K1526" s="43"/>
      <c r="L1526" s="43"/>
      <c r="M1526" s="43"/>
      <c r="N1526" s="43"/>
      <c r="O1526" s="43"/>
      <c r="P1526" s="43"/>
      <c r="Q1526" s="43"/>
      <c r="R1526" s="43"/>
      <c r="S1526" s="43"/>
      <c r="T1526" s="43"/>
      <c r="U1526" s="43"/>
      <c r="V1526" s="43"/>
    </row>
    <row r="1527" spans="1:22" ht="15.75" customHeight="1" x14ac:dyDescent="0.2">
      <c r="A1527" s="40"/>
      <c r="B1527" s="45" t="s">
        <v>108</v>
      </c>
      <c r="C1527" s="46" t="s">
        <v>1644</v>
      </c>
      <c r="D1527" s="46" t="s">
        <v>1645</v>
      </c>
      <c r="E1527" s="46" t="s">
        <v>1646</v>
      </c>
      <c r="F1527" s="46" t="s">
        <v>1638</v>
      </c>
      <c r="G1527" s="46" t="s">
        <v>1207</v>
      </c>
      <c r="H1527" s="43"/>
      <c r="I1527" s="43"/>
      <c r="J1527" s="43"/>
      <c r="K1527" s="43"/>
      <c r="L1527" s="43"/>
      <c r="M1527" s="43"/>
      <c r="N1527" s="43"/>
      <c r="O1527" s="43"/>
      <c r="P1527" s="43"/>
      <c r="Q1527" s="43"/>
      <c r="R1527" s="43"/>
      <c r="S1527" s="43"/>
      <c r="T1527" s="43"/>
      <c r="U1527" s="43"/>
      <c r="V1527" s="43"/>
    </row>
    <row r="1528" spans="1:22" ht="15.75" customHeight="1" x14ac:dyDescent="0.2">
      <c r="A1528" s="40"/>
      <c r="B1528" s="45" t="s">
        <v>94</v>
      </c>
      <c r="C1528" s="46" t="s">
        <v>1644</v>
      </c>
      <c r="D1528" s="46" t="s">
        <v>1645</v>
      </c>
      <c r="E1528" s="46" t="s">
        <v>1646</v>
      </c>
      <c r="F1528" s="46" t="s">
        <v>1638</v>
      </c>
      <c r="G1528" s="46" t="s">
        <v>1207</v>
      </c>
      <c r="H1528" s="43"/>
      <c r="I1528" s="43"/>
      <c r="J1528" s="43"/>
      <c r="K1528" s="43"/>
      <c r="L1528" s="43"/>
      <c r="M1528" s="43"/>
      <c r="N1528" s="43"/>
      <c r="O1528" s="43"/>
      <c r="P1528" s="43"/>
      <c r="Q1528" s="43"/>
      <c r="R1528" s="43"/>
      <c r="S1528" s="43"/>
      <c r="T1528" s="43"/>
      <c r="U1528" s="43"/>
      <c r="V1528" s="43"/>
    </row>
    <row r="1529" spans="1:22" ht="15.75" customHeight="1" x14ac:dyDescent="0.2">
      <c r="A1529" s="40"/>
      <c r="B1529" s="45" t="s">
        <v>297</v>
      </c>
      <c r="C1529" s="46" t="s">
        <v>1647</v>
      </c>
      <c r="D1529" s="46" t="s">
        <v>647</v>
      </c>
      <c r="E1529" s="46" t="s">
        <v>539</v>
      </c>
      <c r="F1529" s="46" t="s">
        <v>1638</v>
      </c>
      <c r="G1529" s="46" t="s">
        <v>1207</v>
      </c>
      <c r="H1529" s="43"/>
      <c r="I1529" s="43"/>
      <c r="J1529" s="43"/>
      <c r="K1529" s="43"/>
      <c r="L1529" s="43"/>
      <c r="M1529" s="43"/>
      <c r="N1529" s="43"/>
      <c r="O1529" s="43"/>
      <c r="P1529" s="43"/>
      <c r="Q1529" s="43"/>
      <c r="R1529" s="43"/>
      <c r="S1529" s="43"/>
      <c r="T1529" s="43"/>
      <c r="U1529" s="43"/>
      <c r="V1529" s="43"/>
    </row>
    <row r="1530" spans="1:22" ht="15.75" customHeight="1" x14ac:dyDescent="0.2">
      <c r="A1530" s="40"/>
      <c r="B1530" s="45" t="s">
        <v>94</v>
      </c>
      <c r="C1530" s="46" t="s">
        <v>1647</v>
      </c>
      <c r="D1530" s="46" t="s">
        <v>647</v>
      </c>
      <c r="E1530" s="46" t="s">
        <v>539</v>
      </c>
      <c r="F1530" s="46" t="s">
        <v>1638</v>
      </c>
      <c r="G1530" s="46" t="s">
        <v>1207</v>
      </c>
      <c r="H1530" s="43"/>
      <c r="I1530" s="43"/>
      <c r="J1530" s="43"/>
      <c r="K1530" s="43"/>
      <c r="L1530" s="43"/>
      <c r="M1530" s="43"/>
      <c r="N1530" s="43"/>
      <c r="O1530" s="43"/>
      <c r="P1530" s="43"/>
      <c r="Q1530" s="43"/>
      <c r="R1530" s="43"/>
      <c r="S1530" s="43"/>
      <c r="T1530" s="43"/>
      <c r="U1530" s="43"/>
      <c r="V1530" s="43"/>
    </row>
    <row r="1531" spans="1:22" ht="15.75" customHeight="1" x14ac:dyDescent="0.2">
      <c r="A1531" s="40">
        <v>73</v>
      </c>
      <c r="B1531" s="41" t="s">
        <v>226</v>
      </c>
      <c r="C1531" s="42" t="s">
        <v>1648</v>
      </c>
      <c r="D1531" s="42" t="s">
        <v>1649</v>
      </c>
      <c r="E1531" s="42" t="s">
        <v>1650</v>
      </c>
      <c r="F1531" s="42" t="s">
        <v>1638</v>
      </c>
      <c r="G1531" s="42" t="s">
        <v>1207</v>
      </c>
      <c r="H1531" s="43"/>
      <c r="I1531" s="43"/>
      <c r="J1531" s="43"/>
      <c r="K1531" s="43"/>
      <c r="L1531" s="43"/>
      <c r="M1531" s="43"/>
      <c r="N1531" s="43"/>
      <c r="O1531" s="43"/>
      <c r="P1531" s="43"/>
      <c r="Q1531" s="43"/>
      <c r="R1531" s="43"/>
      <c r="S1531" s="43"/>
      <c r="T1531" s="43"/>
      <c r="U1531" s="43"/>
      <c r="V1531" s="43"/>
    </row>
    <row r="1532" spans="1:22" ht="15.75" customHeight="1" x14ac:dyDescent="0.2">
      <c r="A1532" s="40">
        <v>1437</v>
      </c>
      <c r="B1532" s="41" t="s">
        <v>261</v>
      </c>
      <c r="C1532" s="42" t="s">
        <v>1651</v>
      </c>
      <c r="D1532" s="42" t="s">
        <v>1237</v>
      </c>
      <c r="E1532" s="42" t="s">
        <v>302</v>
      </c>
      <c r="F1532" s="42" t="s">
        <v>1652</v>
      </c>
      <c r="G1532" s="42" t="s">
        <v>1207</v>
      </c>
      <c r="H1532" s="43"/>
      <c r="I1532" s="43"/>
      <c r="J1532" s="43"/>
      <c r="K1532" s="43"/>
      <c r="L1532" s="43"/>
      <c r="M1532" s="43"/>
      <c r="N1532" s="43"/>
      <c r="O1532" s="43"/>
      <c r="P1532" s="43"/>
      <c r="Q1532" s="43"/>
      <c r="R1532" s="43"/>
      <c r="S1532" s="43"/>
      <c r="T1532" s="43"/>
      <c r="U1532" s="43"/>
      <c r="V1532" s="43"/>
    </row>
    <row r="1533" spans="1:22" ht="15.75" customHeight="1" x14ac:dyDescent="0.2">
      <c r="A1533" s="40">
        <v>2515</v>
      </c>
      <c r="B1533" s="41" t="s">
        <v>434</v>
      </c>
      <c r="C1533" s="42" t="s">
        <v>1574</v>
      </c>
      <c r="D1533" s="42" t="s">
        <v>399</v>
      </c>
      <c r="E1533" s="42" t="s">
        <v>639</v>
      </c>
      <c r="F1533" s="42" t="s">
        <v>1652</v>
      </c>
      <c r="G1533" s="42" t="s">
        <v>1207</v>
      </c>
      <c r="H1533" s="43"/>
      <c r="I1533" s="43"/>
      <c r="J1533" s="43"/>
      <c r="K1533" s="43"/>
      <c r="L1533" s="43"/>
      <c r="M1533" s="43"/>
      <c r="N1533" s="43"/>
      <c r="O1533" s="43"/>
      <c r="P1533" s="43"/>
      <c r="Q1533" s="43"/>
      <c r="R1533" s="43"/>
      <c r="S1533" s="43"/>
      <c r="T1533" s="43"/>
      <c r="U1533" s="43"/>
      <c r="V1533" s="43"/>
    </row>
    <row r="1534" spans="1:22" ht="15.75" customHeight="1" x14ac:dyDescent="0.2">
      <c r="A1534" s="40">
        <v>2851</v>
      </c>
      <c r="B1534" s="41" t="s">
        <v>519</v>
      </c>
      <c r="C1534" s="42" t="s">
        <v>1653</v>
      </c>
      <c r="D1534" s="42" t="s">
        <v>1654</v>
      </c>
      <c r="E1534" s="42" t="s">
        <v>836</v>
      </c>
      <c r="F1534" s="42" t="s">
        <v>1652</v>
      </c>
      <c r="G1534" s="42" t="s">
        <v>1207</v>
      </c>
      <c r="H1534" s="43"/>
      <c r="I1534" s="43"/>
      <c r="J1534" s="43"/>
      <c r="K1534" s="43"/>
      <c r="L1534" s="43"/>
      <c r="M1534" s="43"/>
      <c r="N1534" s="43"/>
      <c r="O1534" s="43"/>
      <c r="P1534" s="43"/>
      <c r="Q1534" s="43"/>
      <c r="R1534" s="43"/>
      <c r="S1534" s="43"/>
      <c r="T1534" s="43"/>
      <c r="U1534" s="43"/>
      <c r="V1534" s="43"/>
    </row>
    <row r="1535" spans="1:22" ht="15.75" customHeight="1" x14ac:dyDescent="0.2">
      <c r="A1535" s="40">
        <v>2869</v>
      </c>
      <c r="B1535" s="41" t="s">
        <v>519</v>
      </c>
      <c r="C1535" s="42" t="s">
        <v>1574</v>
      </c>
      <c r="D1535" s="42" t="s">
        <v>254</v>
      </c>
      <c r="E1535" s="42" t="s">
        <v>575</v>
      </c>
      <c r="F1535" s="42" t="s">
        <v>1652</v>
      </c>
      <c r="G1535" s="42" t="s">
        <v>1207</v>
      </c>
      <c r="H1535" s="43"/>
      <c r="I1535" s="43"/>
      <c r="J1535" s="43"/>
      <c r="K1535" s="43"/>
      <c r="L1535" s="43"/>
      <c r="M1535" s="43"/>
      <c r="N1535" s="43"/>
      <c r="O1535" s="43"/>
      <c r="P1535" s="43"/>
      <c r="Q1535" s="43"/>
      <c r="R1535" s="43"/>
      <c r="S1535" s="43"/>
      <c r="T1535" s="43"/>
      <c r="U1535" s="43"/>
      <c r="V1535" s="43"/>
    </row>
    <row r="1536" spans="1:22" ht="15.75" customHeight="1" x14ac:dyDescent="0.2">
      <c r="A1536" s="40">
        <v>433</v>
      </c>
      <c r="B1536" s="41" t="s">
        <v>672</v>
      </c>
      <c r="C1536" s="42" t="s">
        <v>1655</v>
      </c>
      <c r="D1536" s="42" t="s">
        <v>529</v>
      </c>
      <c r="E1536" s="42" t="s">
        <v>690</v>
      </c>
      <c r="F1536" s="42" t="s">
        <v>1656</v>
      </c>
      <c r="G1536" s="42" t="s">
        <v>1207</v>
      </c>
      <c r="H1536" s="43"/>
      <c r="I1536" s="43"/>
      <c r="J1536" s="43"/>
      <c r="K1536" s="43"/>
      <c r="L1536" s="43"/>
      <c r="M1536" s="43"/>
      <c r="N1536" s="43"/>
      <c r="O1536" s="43"/>
      <c r="P1536" s="43"/>
      <c r="Q1536" s="43"/>
      <c r="R1536" s="43"/>
      <c r="S1536" s="43"/>
      <c r="T1536" s="43"/>
      <c r="U1536" s="43"/>
      <c r="V1536" s="43"/>
    </row>
    <row r="1537" spans="1:22" ht="15.75" customHeight="1" x14ac:dyDescent="0.2">
      <c r="A1537" s="40">
        <v>973</v>
      </c>
      <c r="B1537" s="41" t="s">
        <v>698</v>
      </c>
      <c r="C1537" s="42" t="s">
        <v>1655</v>
      </c>
      <c r="D1537" s="42" t="s">
        <v>529</v>
      </c>
      <c r="E1537" s="42" t="s">
        <v>690</v>
      </c>
      <c r="F1537" s="42" t="s">
        <v>1656</v>
      </c>
      <c r="G1537" s="42" t="s">
        <v>1207</v>
      </c>
      <c r="H1537" s="43"/>
      <c r="I1537" s="43"/>
      <c r="J1537" s="43"/>
      <c r="K1537" s="43"/>
      <c r="L1537" s="43"/>
      <c r="M1537" s="43"/>
      <c r="N1537" s="43"/>
      <c r="O1537" s="43"/>
      <c r="P1537" s="43"/>
      <c r="Q1537" s="43"/>
      <c r="R1537" s="43"/>
      <c r="S1537" s="43"/>
      <c r="T1537" s="43"/>
      <c r="U1537" s="43"/>
      <c r="V1537" s="43"/>
    </row>
    <row r="1538" spans="1:22" ht="15.75" customHeight="1" x14ac:dyDescent="0.2">
      <c r="A1538" s="40">
        <v>2821</v>
      </c>
      <c r="B1538" s="41" t="s">
        <v>1348</v>
      </c>
      <c r="C1538" s="42" t="s">
        <v>1655</v>
      </c>
      <c r="D1538" s="42" t="s">
        <v>529</v>
      </c>
      <c r="E1538" s="42" t="s">
        <v>690</v>
      </c>
      <c r="F1538" s="42" t="s">
        <v>1656</v>
      </c>
      <c r="G1538" s="42" t="s">
        <v>1207</v>
      </c>
      <c r="H1538" s="43"/>
      <c r="I1538" s="43"/>
      <c r="J1538" s="43"/>
      <c r="K1538" s="43"/>
      <c r="L1538" s="43"/>
      <c r="M1538" s="43"/>
      <c r="N1538" s="43"/>
      <c r="O1538" s="43"/>
      <c r="P1538" s="43"/>
      <c r="Q1538" s="43"/>
      <c r="R1538" s="43"/>
      <c r="S1538" s="43"/>
      <c r="T1538" s="43"/>
      <c r="U1538" s="43"/>
      <c r="V1538" s="43"/>
    </row>
    <row r="1539" spans="1:22" ht="15.75" customHeight="1" x14ac:dyDescent="0.2">
      <c r="A1539" s="40">
        <v>765</v>
      </c>
      <c r="B1539" s="41" t="s">
        <v>1112</v>
      </c>
      <c r="C1539" s="42" t="s">
        <v>1353</v>
      </c>
      <c r="D1539" s="42" t="s">
        <v>86</v>
      </c>
      <c r="E1539" s="42" t="s">
        <v>22</v>
      </c>
      <c r="F1539" s="42" t="s">
        <v>1657</v>
      </c>
      <c r="G1539" s="42" t="s">
        <v>1207</v>
      </c>
      <c r="H1539" s="43"/>
      <c r="I1539" s="43"/>
      <c r="J1539" s="43"/>
      <c r="K1539" s="43"/>
      <c r="L1539" s="43"/>
      <c r="M1539" s="43"/>
      <c r="N1539" s="43"/>
      <c r="O1539" s="43"/>
      <c r="P1539" s="43"/>
      <c r="Q1539" s="43"/>
      <c r="R1539" s="43"/>
      <c r="S1539" s="43"/>
      <c r="T1539" s="43"/>
      <c r="U1539" s="43"/>
      <c r="V1539" s="43"/>
    </row>
    <row r="1540" spans="1:22" ht="15.75" customHeight="1" x14ac:dyDescent="0.2">
      <c r="A1540" s="40">
        <v>775</v>
      </c>
      <c r="B1540" s="41" t="s">
        <v>405</v>
      </c>
      <c r="C1540" s="42" t="s">
        <v>1658</v>
      </c>
      <c r="D1540" s="42" t="s">
        <v>1659</v>
      </c>
      <c r="E1540" s="42" t="s">
        <v>846</v>
      </c>
      <c r="F1540" s="42" t="s">
        <v>1657</v>
      </c>
      <c r="G1540" s="42" t="s">
        <v>1207</v>
      </c>
      <c r="H1540" s="43"/>
      <c r="I1540" s="43"/>
      <c r="J1540" s="43"/>
      <c r="K1540" s="43"/>
      <c r="L1540" s="43"/>
      <c r="M1540" s="43"/>
      <c r="N1540" s="43"/>
      <c r="O1540" s="43"/>
      <c r="P1540" s="43"/>
      <c r="Q1540" s="43"/>
      <c r="R1540" s="43"/>
      <c r="S1540" s="43"/>
      <c r="T1540" s="43"/>
      <c r="U1540" s="43"/>
      <c r="V1540" s="43"/>
    </row>
    <row r="1541" spans="1:22" ht="15.75" customHeight="1" x14ac:dyDescent="0.2">
      <c r="A1541" s="40">
        <v>801</v>
      </c>
      <c r="B1541" s="41" t="s">
        <v>610</v>
      </c>
      <c r="C1541" s="42" t="s">
        <v>1660</v>
      </c>
      <c r="D1541" s="42" t="s">
        <v>1661</v>
      </c>
      <c r="E1541" s="42" t="s">
        <v>1662</v>
      </c>
      <c r="F1541" s="42" t="s">
        <v>1657</v>
      </c>
      <c r="G1541" s="42" t="s">
        <v>1207</v>
      </c>
      <c r="H1541" s="43"/>
      <c r="I1541" s="43"/>
      <c r="J1541" s="43"/>
      <c r="K1541" s="43"/>
      <c r="L1541" s="43"/>
      <c r="M1541" s="43"/>
      <c r="N1541" s="43"/>
      <c r="O1541" s="43"/>
      <c r="P1541" s="43"/>
      <c r="Q1541" s="43"/>
      <c r="R1541" s="43"/>
      <c r="S1541" s="43"/>
      <c r="T1541" s="43"/>
      <c r="U1541" s="43"/>
      <c r="V1541" s="43"/>
    </row>
    <row r="1542" spans="1:22" ht="15.75" customHeight="1" x14ac:dyDescent="0.2">
      <c r="A1542" s="40">
        <v>861</v>
      </c>
      <c r="B1542" s="41" t="s">
        <v>454</v>
      </c>
      <c r="C1542" s="42" t="s">
        <v>1325</v>
      </c>
      <c r="D1542" s="42" t="s">
        <v>1551</v>
      </c>
      <c r="E1542" s="42" t="s">
        <v>302</v>
      </c>
      <c r="F1542" s="42" t="s">
        <v>1657</v>
      </c>
      <c r="G1542" s="42" t="s">
        <v>1207</v>
      </c>
      <c r="H1542" s="43"/>
      <c r="I1542" s="43"/>
      <c r="J1542" s="43"/>
      <c r="K1542" s="43"/>
      <c r="L1542" s="43"/>
      <c r="M1542" s="43"/>
      <c r="N1542" s="43"/>
      <c r="O1542" s="43"/>
      <c r="P1542" s="43"/>
      <c r="Q1542" s="43"/>
      <c r="R1542" s="43"/>
      <c r="S1542" s="43"/>
      <c r="T1542" s="43"/>
      <c r="U1542" s="43"/>
      <c r="V1542" s="43"/>
    </row>
    <row r="1543" spans="1:22" ht="15.75" customHeight="1" x14ac:dyDescent="0.2">
      <c r="A1543" s="40">
        <v>867</v>
      </c>
      <c r="B1543" s="41" t="s">
        <v>454</v>
      </c>
      <c r="C1543" s="42" t="s">
        <v>1663</v>
      </c>
      <c r="D1543" s="42" t="s">
        <v>75</v>
      </c>
      <c r="E1543" s="42" t="s">
        <v>273</v>
      </c>
      <c r="F1543" s="42" t="s">
        <v>1657</v>
      </c>
      <c r="G1543" s="42" t="s">
        <v>1207</v>
      </c>
      <c r="H1543" s="43"/>
      <c r="I1543" s="43"/>
      <c r="J1543" s="43"/>
      <c r="K1543" s="43"/>
      <c r="L1543" s="43"/>
      <c r="M1543" s="43"/>
      <c r="N1543" s="43"/>
      <c r="O1543" s="43"/>
      <c r="P1543" s="43"/>
      <c r="Q1543" s="43"/>
      <c r="R1543" s="43"/>
      <c r="S1543" s="43"/>
      <c r="T1543" s="43"/>
      <c r="U1543" s="43"/>
      <c r="V1543" s="43"/>
    </row>
    <row r="1544" spans="1:22" ht="15.75" customHeight="1" x14ac:dyDescent="0.2">
      <c r="A1544" s="40">
        <v>875</v>
      </c>
      <c r="B1544" s="41" t="s">
        <v>634</v>
      </c>
      <c r="C1544" s="42" t="s">
        <v>1664</v>
      </c>
      <c r="D1544" s="42" t="s">
        <v>697</v>
      </c>
      <c r="E1544" s="42" t="s">
        <v>571</v>
      </c>
      <c r="F1544" s="42" t="s">
        <v>1657</v>
      </c>
      <c r="G1544" s="42" t="s">
        <v>1207</v>
      </c>
      <c r="H1544" s="43"/>
      <c r="I1544" s="43"/>
      <c r="J1544" s="43"/>
      <c r="K1544" s="43"/>
      <c r="L1544" s="43"/>
      <c r="M1544" s="43"/>
      <c r="N1544" s="43"/>
      <c r="O1544" s="43"/>
      <c r="P1544" s="43"/>
      <c r="Q1544" s="43"/>
      <c r="R1544" s="43"/>
      <c r="S1544" s="43"/>
      <c r="T1544" s="43"/>
      <c r="U1544" s="43"/>
      <c r="V1544" s="43"/>
    </row>
    <row r="1545" spans="1:22" ht="15.75" customHeight="1" x14ac:dyDescent="0.2">
      <c r="A1545" s="40">
        <v>883</v>
      </c>
      <c r="B1545" s="41" t="s">
        <v>634</v>
      </c>
      <c r="C1545" s="42" t="s">
        <v>1665</v>
      </c>
      <c r="D1545" s="42" t="s">
        <v>992</v>
      </c>
      <c r="E1545" s="42" t="s">
        <v>87</v>
      </c>
      <c r="F1545" s="42" t="s">
        <v>1657</v>
      </c>
      <c r="G1545" s="42" t="s">
        <v>1207</v>
      </c>
      <c r="H1545" s="43"/>
      <c r="I1545" s="43"/>
      <c r="J1545" s="43"/>
      <c r="K1545" s="43"/>
      <c r="L1545" s="43"/>
      <c r="M1545" s="43"/>
      <c r="N1545" s="43"/>
      <c r="O1545" s="43"/>
      <c r="P1545" s="43"/>
      <c r="Q1545" s="43"/>
      <c r="R1545" s="43"/>
      <c r="S1545" s="43"/>
      <c r="T1545" s="43"/>
      <c r="U1545" s="43"/>
      <c r="V1545" s="43"/>
    </row>
    <row r="1546" spans="1:22" ht="15.75" customHeight="1" x14ac:dyDescent="0.2">
      <c r="A1546" s="40">
        <v>899</v>
      </c>
      <c r="B1546" s="41" t="s">
        <v>694</v>
      </c>
      <c r="C1546" s="42" t="s">
        <v>1666</v>
      </c>
      <c r="D1546" s="42" t="s">
        <v>75</v>
      </c>
      <c r="E1546" s="42" t="s">
        <v>65</v>
      </c>
      <c r="F1546" s="42" t="s">
        <v>1657</v>
      </c>
      <c r="G1546" s="42" t="s">
        <v>1207</v>
      </c>
      <c r="H1546" s="43"/>
      <c r="I1546" s="43"/>
      <c r="J1546" s="43"/>
      <c r="K1546" s="43"/>
      <c r="L1546" s="43"/>
      <c r="M1546" s="43"/>
      <c r="N1546" s="43"/>
      <c r="O1546" s="43"/>
      <c r="P1546" s="43"/>
      <c r="Q1546" s="43"/>
      <c r="R1546" s="43"/>
      <c r="S1546" s="43"/>
      <c r="T1546" s="43"/>
      <c r="U1546" s="43"/>
      <c r="V1546" s="43"/>
    </row>
    <row r="1547" spans="1:22" ht="15.75" customHeight="1" x14ac:dyDescent="0.2">
      <c r="A1547" s="40">
        <v>901</v>
      </c>
      <c r="B1547" s="41" t="s">
        <v>694</v>
      </c>
      <c r="C1547" s="42" t="s">
        <v>1667</v>
      </c>
      <c r="D1547" s="42" t="s">
        <v>325</v>
      </c>
      <c r="E1547" s="42" t="s">
        <v>306</v>
      </c>
      <c r="F1547" s="42" t="s">
        <v>1657</v>
      </c>
      <c r="G1547" s="42" t="s">
        <v>1207</v>
      </c>
      <c r="H1547" s="43"/>
      <c r="I1547" s="43"/>
      <c r="J1547" s="43"/>
      <c r="K1547" s="43"/>
      <c r="L1547" s="43"/>
      <c r="M1547" s="43"/>
      <c r="N1547" s="43"/>
      <c r="O1547" s="43"/>
      <c r="P1547" s="43"/>
      <c r="Q1547" s="43"/>
      <c r="R1547" s="43"/>
      <c r="S1547" s="43"/>
      <c r="T1547" s="43"/>
      <c r="U1547" s="43"/>
      <c r="V1547" s="43"/>
    </row>
    <row r="1548" spans="1:22" ht="15.75" customHeight="1" x14ac:dyDescent="0.2">
      <c r="A1548" s="40">
        <v>931</v>
      </c>
      <c r="B1548" s="41" t="s">
        <v>709</v>
      </c>
      <c r="C1548" s="42" t="s">
        <v>1668</v>
      </c>
      <c r="D1548" s="42" t="s">
        <v>1418</v>
      </c>
      <c r="E1548" s="42" t="s">
        <v>918</v>
      </c>
      <c r="F1548" s="42" t="s">
        <v>1657</v>
      </c>
      <c r="G1548" s="42" t="s">
        <v>1207</v>
      </c>
      <c r="H1548" s="43"/>
      <c r="I1548" s="43"/>
      <c r="J1548" s="43"/>
      <c r="K1548" s="43"/>
      <c r="L1548" s="43"/>
      <c r="M1548" s="43"/>
      <c r="N1548" s="43"/>
      <c r="O1548" s="43"/>
      <c r="P1548" s="43"/>
      <c r="Q1548" s="43"/>
      <c r="R1548" s="43"/>
      <c r="S1548" s="43"/>
      <c r="T1548" s="43"/>
      <c r="U1548" s="43"/>
      <c r="V1548" s="43"/>
    </row>
    <row r="1549" spans="1:22" ht="15.75" customHeight="1" x14ac:dyDescent="0.2">
      <c r="A1549" s="40">
        <v>933</v>
      </c>
      <c r="B1549" s="41" t="s">
        <v>709</v>
      </c>
      <c r="C1549" s="42" t="s">
        <v>1544</v>
      </c>
      <c r="D1549" s="42" t="s">
        <v>51</v>
      </c>
      <c r="E1549" s="42" t="s">
        <v>393</v>
      </c>
      <c r="F1549" s="42" t="s">
        <v>1657</v>
      </c>
      <c r="G1549" s="42" t="s">
        <v>1207</v>
      </c>
      <c r="H1549" s="43"/>
      <c r="I1549" s="43"/>
      <c r="J1549" s="43"/>
      <c r="K1549" s="43"/>
      <c r="L1549" s="43"/>
      <c r="M1549" s="43"/>
      <c r="N1549" s="43"/>
      <c r="O1549" s="43"/>
      <c r="P1549" s="43"/>
      <c r="Q1549" s="43"/>
      <c r="R1549" s="43"/>
      <c r="S1549" s="43"/>
      <c r="T1549" s="43"/>
      <c r="U1549" s="43"/>
      <c r="V1549" s="43"/>
    </row>
    <row r="1550" spans="1:22" ht="15.75" customHeight="1" x14ac:dyDescent="0.2">
      <c r="A1550" s="40">
        <v>957</v>
      </c>
      <c r="B1550" s="41" t="s">
        <v>698</v>
      </c>
      <c r="C1550" s="42" t="s">
        <v>1669</v>
      </c>
      <c r="D1550" s="42" t="s">
        <v>1615</v>
      </c>
      <c r="E1550" s="42" t="s">
        <v>1670</v>
      </c>
      <c r="F1550" s="42" t="s">
        <v>1657</v>
      </c>
      <c r="G1550" s="42" t="s">
        <v>1207</v>
      </c>
      <c r="H1550" s="43"/>
      <c r="I1550" s="43"/>
      <c r="J1550" s="43"/>
      <c r="K1550" s="43"/>
      <c r="L1550" s="43"/>
      <c r="M1550" s="43"/>
      <c r="N1550" s="43"/>
      <c r="O1550" s="43"/>
      <c r="P1550" s="43"/>
      <c r="Q1550" s="43"/>
      <c r="R1550" s="43"/>
      <c r="S1550" s="43"/>
      <c r="T1550" s="43"/>
      <c r="U1550" s="43"/>
      <c r="V1550" s="43"/>
    </row>
    <row r="1551" spans="1:22" ht="15.75" customHeight="1" x14ac:dyDescent="0.2">
      <c r="A1551" s="40">
        <v>965</v>
      </c>
      <c r="B1551" s="41" t="s">
        <v>698</v>
      </c>
      <c r="C1551" s="42" t="s">
        <v>1671</v>
      </c>
      <c r="D1551" s="42" t="s">
        <v>984</v>
      </c>
      <c r="E1551" s="42" t="s">
        <v>251</v>
      </c>
      <c r="F1551" s="42" t="s">
        <v>1657</v>
      </c>
      <c r="G1551" s="42" t="s">
        <v>1207</v>
      </c>
      <c r="H1551" s="43"/>
      <c r="I1551" s="43"/>
      <c r="J1551" s="43"/>
      <c r="K1551" s="43"/>
      <c r="L1551" s="43"/>
      <c r="M1551" s="43"/>
      <c r="N1551" s="43"/>
      <c r="O1551" s="43"/>
      <c r="P1551" s="43"/>
      <c r="Q1551" s="43"/>
      <c r="R1551" s="43"/>
      <c r="S1551" s="43"/>
      <c r="T1551" s="43"/>
      <c r="U1551" s="43"/>
      <c r="V1551" s="43"/>
    </row>
    <row r="1552" spans="1:22" ht="15.75" customHeight="1" x14ac:dyDescent="0.2">
      <c r="A1552" s="40">
        <v>981</v>
      </c>
      <c r="B1552" s="41" t="s">
        <v>624</v>
      </c>
      <c r="C1552" s="42" t="s">
        <v>1672</v>
      </c>
      <c r="D1552" s="42" t="s">
        <v>605</v>
      </c>
      <c r="E1552" s="42" t="s">
        <v>690</v>
      </c>
      <c r="F1552" s="42" t="s">
        <v>1657</v>
      </c>
      <c r="G1552" s="42" t="s">
        <v>1207</v>
      </c>
      <c r="H1552" s="43"/>
      <c r="I1552" s="43"/>
      <c r="J1552" s="43"/>
      <c r="K1552" s="43"/>
      <c r="L1552" s="43"/>
      <c r="M1552" s="43"/>
      <c r="N1552" s="43"/>
      <c r="O1552" s="43"/>
      <c r="P1552" s="43"/>
      <c r="Q1552" s="43"/>
      <c r="R1552" s="43"/>
      <c r="S1552" s="43"/>
      <c r="T1552" s="43"/>
      <c r="U1552" s="43"/>
      <c r="V1552" s="43"/>
    </row>
    <row r="1553" spans="1:22" ht="15.75" customHeight="1" x14ac:dyDescent="0.2">
      <c r="A1553" s="40">
        <v>1005</v>
      </c>
      <c r="B1553" s="41" t="s">
        <v>1076</v>
      </c>
      <c r="C1553" s="42" t="s">
        <v>1673</v>
      </c>
      <c r="D1553" s="42" t="s">
        <v>124</v>
      </c>
      <c r="E1553" s="42" t="s">
        <v>310</v>
      </c>
      <c r="F1553" s="42" t="s">
        <v>1657</v>
      </c>
      <c r="G1553" s="42" t="s">
        <v>1207</v>
      </c>
      <c r="H1553" s="43"/>
      <c r="I1553" s="43"/>
      <c r="J1553" s="43"/>
      <c r="K1553" s="43"/>
      <c r="L1553" s="43"/>
      <c r="M1553" s="43"/>
      <c r="N1553" s="43"/>
      <c r="O1553" s="43"/>
      <c r="P1553" s="43"/>
      <c r="Q1553" s="43"/>
      <c r="R1553" s="43"/>
      <c r="S1553" s="43"/>
      <c r="T1553" s="43"/>
      <c r="U1553" s="43"/>
      <c r="V1553" s="43"/>
    </row>
    <row r="1554" spans="1:22" ht="15.75" customHeight="1" x14ac:dyDescent="0.2">
      <c r="A1554" s="40">
        <v>1033</v>
      </c>
      <c r="B1554" s="41" t="s">
        <v>464</v>
      </c>
      <c r="C1554" s="42" t="s">
        <v>1674</v>
      </c>
      <c r="D1554" s="42" t="s">
        <v>1675</v>
      </c>
      <c r="E1554" s="42" t="s">
        <v>918</v>
      </c>
      <c r="F1554" s="42" t="s">
        <v>1657</v>
      </c>
      <c r="G1554" s="42" t="s">
        <v>1207</v>
      </c>
      <c r="H1554" s="43"/>
      <c r="I1554" s="43"/>
      <c r="J1554" s="43"/>
      <c r="K1554" s="43"/>
      <c r="L1554" s="43"/>
      <c r="M1554" s="43"/>
      <c r="N1554" s="43"/>
      <c r="O1554" s="43"/>
      <c r="P1554" s="43"/>
      <c r="Q1554" s="43"/>
      <c r="R1554" s="43"/>
      <c r="S1554" s="43"/>
      <c r="T1554" s="43"/>
      <c r="U1554" s="43"/>
      <c r="V1554" s="43"/>
    </row>
    <row r="1555" spans="1:22" ht="15.75" customHeight="1" x14ac:dyDescent="0.2">
      <c r="A1555" s="40">
        <v>1039</v>
      </c>
      <c r="B1555" s="41" t="s">
        <v>464</v>
      </c>
      <c r="C1555" s="42" t="s">
        <v>1676</v>
      </c>
      <c r="D1555" s="42" t="s">
        <v>949</v>
      </c>
      <c r="E1555" s="42" t="s">
        <v>1677</v>
      </c>
      <c r="F1555" s="42" t="s">
        <v>1657</v>
      </c>
      <c r="G1555" s="42" t="s">
        <v>1207</v>
      </c>
      <c r="H1555" s="43"/>
      <c r="I1555" s="43"/>
      <c r="J1555" s="43"/>
      <c r="K1555" s="43"/>
      <c r="L1555" s="43"/>
      <c r="M1555" s="43"/>
      <c r="N1555" s="43"/>
      <c r="O1555" s="43"/>
      <c r="P1555" s="43"/>
      <c r="Q1555" s="43"/>
      <c r="R1555" s="43"/>
      <c r="S1555" s="43"/>
      <c r="T1555" s="43"/>
      <c r="U1555" s="43"/>
      <c r="V1555" s="43"/>
    </row>
    <row r="1556" spans="1:22" ht="15.75" customHeight="1" x14ac:dyDescent="0.2">
      <c r="A1556" s="40">
        <v>1041</v>
      </c>
      <c r="B1556" s="41" t="s">
        <v>464</v>
      </c>
      <c r="C1556" s="42" t="s">
        <v>1471</v>
      </c>
      <c r="D1556" s="42" t="s">
        <v>186</v>
      </c>
      <c r="E1556" s="42" t="s">
        <v>70</v>
      </c>
      <c r="F1556" s="42" t="s">
        <v>1657</v>
      </c>
      <c r="G1556" s="42" t="s">
        <v>1207</v>
      </c>
      <c r="H1556" s="43"/>
      <c r="I1556" s="43"/>
      <c r="J1556" s="43"/>
      <c r="K1556" s="43"/>
      <c r="L1556" s="43"/>
      <c r="M1556" s="43"/>
      <c r="N1556" s="43"/>
      <c r="O1556" s="43"/>
      <c r="P1556" s="43"/>
      <c r="Q1556" s="43"/>
      <c r="R1556" s="43"/>
      <c r="S1556" s="43"/>
      <c r="T1556" s="43"/>
      <c r="U1556" s="43"/>
      <c r="V1556" s="43"/>
    </row>
    <row r="1557" spans="1:22" ht="15.75" customHeight="1" x14ac:dyDescent="0.2">
      <c r="A1557" s="40">
        <v>1059</v>
      </c>
      <c r="B1557" s="41" t="s">
        <v>458</v>
      </c>
      <c r="C1557" s="42" t="s">
        <v>1678</v>
      </c>
      <c r="D1557" s="42" t="s">
        <v>272</v>
      </c>
      <c r="E1557" s="42" t="s">
        <v>112</v>
      </c>
      <c r="F1557" s="42" t="s">
        <v>1657</v>
      </c>
      <c r="G1557" s="42" t="s">
        <v>1207</v>
      </c>
      <c r="H1557" s="43"/>
      <c r="I1557" s="43"/>
      <c r="J1557" s="43"/>
      <c r="K1557" s="43"/>
      <c r="L1557" s="43"/>
      <c r="M1557" s="43"/>
      <c r="N1557" s="43"/>
      <c r="O1557" s="43"/>
      <c r="P1557" s="43"/>
      <c r="Q1557" s="43"/>
      <c r="R1557" s="43"/>
      <c r="S1557" s="43"/>
      <c r="T1557" s="43"/>
      <c r="U1557" s="43"/>
      <c r="V1557" s="43"/>
    </row>
    <row r="1558" spans="1:22" ht="15.75" customHeight="1" x14ac:dyDescent="0.2">
      <c r="A1558" s="40">
        <v>1083</v>
      </c>
      <c r="B1558" s="41" t="s">
        <v>710</v>
      </c>
      <c r="C1558" s="42" t="s">
        <v>1679</v>
      </c>
      <c r="D1558" s="42" t="s">
        <v>884</v>
      </c>
      <c r="E1558" s="42" t="s">
        <v>129</v>
      </c>
      <c r="F1558" s="42" t="s">
        <v>1657</v>
      </c>
      <c r="G1558" s="42" t="s">
        <v>1207</v>
      </c>
      <c r="H1558" s="43"/>
      <c r="I1558" s="43"/>
      <c r="J1558" s="43"/>
      <c r="K1558" s="43"/>
      <c r="L1558" s="43"/>
      <c r="M1558" s="43"/>
      <c r="N1558" s="43"/>
      <c r="O1558" s="43"/>
      <c r="P1558" s="43"/>
      <c r="Q1558" s="43"/>
      <c r="R1558" s="43"/>
      <c r="S1558" s="43"/>
      <c r="T1558" s="43"/>
      <c r="U1558" s="43"/>
      <c r="V1558" s="43"/>
    </row>
    <row r="1559" spans="1:22" ht="15.75" customHeight="1" x14ac:dyDescent="0.2">
      <c r="A1559" s="40">
        <v>1111</v>
      </c>
      <c r="B1559" s="41" t="s">
        <v>1344</v>
      </c>
      <c r="C1559" s="42" t="s">
        <v>257</v>
      </c>
      <c r="D1559" s="42" t="s">
        <v>104</v>
      </c>
      <c r="E1559" s="42" t="s">
        <v>18</v>
      </c>
      <c r="F1559" s="42" t="s">
        <v>1657</v>
      </c>
      <c r="G1559" s="42" t="s">
        <v>1207</v>
      </c>
      <c r="H1559" s="43"/>
      <c r="I1559" s="43"/>
      <c r="J1559" s="43"/>
      <c r="K1559" s="43"/>
      <c r="L1559" s="43"/>
      <c r="M1559" s="43"/>
      <c r="N1559" s="43"/>
      <c r="O1559" s="43"/>
      <c r="P1559" s="43"/>
      <c r="Q1559" s="43"/>
      <c r="R1559" s="43"/>
      <c r="S1559" s="43"/>
      <c r="T1559" s="43"/>
      <c r="U1559" s="43"/>
      <c r="V1559" s="43"/>
    </row>
    <row r="1560" spans="1:22" ht="15.75" customHeight="1" x14ac:dyDescent="0.2">
      <c r="A1560" s="40">
        <v>1145</v>
      </c>
      <c r="B1560" s="41" t="s">
        <v>433</v>
      </c>
      <c r="C1560" s="42" t="s">
        <v>1680</v>
      </c>
      <c r="D1560" s="42" t="s">
        <v>1681</v>
      </c>
      <c r="E1560" s="42" t="s">
        <v>1682</v>
      </c>
      <c r="F1560" s="42" t="s">
        <v>1657</v>
      </c>
      <c r="G1560" s="42" t="s">
        <v>1207</v>
      </c>
      <c r="H1560" s="43"/>
      <c r="I1560" s="43"/>
      <c r="J1560" s="43"/>
      <c r="K1560" s="43"/>
      <c r="L1560" s="43"/>
      <c r="M1560" s="43"/>
      <c r="N1560" s="43"/>
      <c r="O1560" s="43"/>
      <c r="P1560" s="43"/>
      <c r="Q1560" s="43"/>
      <c r="R1560" s="43"/>
      <c r="S1560" s="43"/>
      <c r="T1560" s="43"/>
      <c r="U1560" s="43"/>
      <c r="V1560" s="43"/>
    </row>
    <row r="1561" spans="1:22" ht="15.75" customHeight="1" x14ac:dyDescent="0.2">
      <c r="A1561" s="40">
        <v>1235</v>
      </c>
      <c r="B1561" s="41" t="s">
        <v>699</v>
      </c>
      <c r="C1561" s="42" t="s">
        <v>1683</v>
      </c>
      <c r="D1561" s="42" t="s">
        <v>1465</v>
      </c>
      <c r="E1561" s="42" t="s">
        <v>1684</v>
      </c>
      <c r="F1561" s="42" t="s">
        <v>1657</v>
      </c>
      <c r="G1561" s="42" t="s">
        <v>1207</v>
      </c>
      <c r="H1561" s="43"/>
      <c r="I1561" s="43"/>
      <c r="J1561" s="43"/>
      <c r="K1561" s="43"/>
      <c r="L1561" s="43"/>
      <c r="M1561" s="43"/>
      <c r="N1561" s="43"/>
      <c r="O1561" s="43"/>
      <c r="P1561" s="43"/>
      <c r="Q1561" s="43"/>
      <c r="R1561" s="43"/>
      <c r="S1561" s="43"/>
      <c r="T1561" s="43"/>
      <c r="U1561" s="43"/>
      <c r="V1561" s="43"/>
    </row>
    <row r="1562" spans="1:22" ht="15.75" customHeight="1" x14ac:dyDescent="0.2">
      <c r="A1562" s="40">
        <v>1311</v>
      </c>
      <c r="B1562" s="41" t="s">
        <v>936</v>
      </c>
      <c r="C1562" s="42" t="s">
        <v>1325</v>
      </c>
      <c r="D1562" s="42" t="s">
        <v>266</v>
      </c>
      <c r="E1562" s="42" t="s">
        <v>302</v>
      </c>
      <c r="F1562" s="42" t="s">
        <v>1657</v>
      </c>
      <c r="G1562" s="42" t="s">
        <v>1207</v>
      </c>
      <c r="H1562" s="43"/>
      <c r="I1562" s="43"/>
      <c r="J1562" s="43"/>
      <c r="K1562" s="43"/>
      <c r="L1562" s="43"/>
      <c r="M1562" s="43"/>
      <c r="N1562" s="43"/>
      <c r="O1562" s="43"/>
      <c r="P1562" s="43"/>
      <c r="Q1562" s="43"/>
      <c r="R1562" s="43"/>
      <c r="S1562" s="43"/>
      <c r="T1562" s="43"/>
      <c r="U1562" s="43"/>
      <c r="V1562" s="43"/>
    </row>
    <row r="1563" spans="1:22" ht="15.75" customHeight="1" x14ac:dyDescent="0.2">
      <c r="A1563" s="40">
        <v>1363</v>
      </c>
      <c r="B1563" s="41" t="s">
        <v>601</v>
      </c>
      <c r="C1563" s="42" t="s">
        <v>545</v>
      </c>
      <c r="D1563" s="42" t="s">
        <v>1685</v>
      </c>
      <c r="E1563" s="42" t="s">
        <v>32</v>
      </c>
      <c r="F1563" s="42" t="s">
        <v>1657</v>
      </c>
      <c r="G1563" s="42" t="s">
        <v>1207</v>
      </c>
      <c r="H1563" s="43"/>
      <c r="I1563" s="43"/>
      <c r="J1563" s="43"/>
      <c r="K1563" s="43"/>
      <c r="L1563" s="43"/>
      <c r="M1563" s="43"/>
      <c r="N1563" s="43"/>
      <c r="O1563" s="43"/>
      <c r="P1563" s="43"/>
      <c r="Q1563" s="43"/>
      <c r="R1563" s="43"/>
      <c r="S1563" s="43"/>
      <c r="T1563" s="43"/>
      <c r="U1563" s="43"/>
      <c r="V1563" s="43"/>
    </row>
    <row r="1564" spans="1:22" ht="15.75" customHeight="1" x14ac:dyDescent="0.2">
      <c r="A1564" s="40">
        <v>1445</v>
      </c>
      <c r="B1564" s="41" t="s">
        <v>261</v>
      </c>
      <c r="C1564" s="42" t="s">
        <v>1686</v>
      </c>
      <c r="D1564" s="42" t="s">
        <v>1687</v>
      </c>
      <c r="E1564" s="42" t="s">
        <v>1688</v>
      </c>
      <c r="F1564" s="42" t="s">
        <v>1657</v>
      </c>
      <c r="G1564" s="42" t="s">
        <v>1207</v>
      </c>
      <c r="H1564" s="43"/>
      <c r="I1564" s="43"/>
      <c r="J1564" s="43"/>
      <c r="K1564" s="43"/>
      <c r="L1564" s="43"/>
      <c r="M1564" s="43"/>
      <c r="N1564" s="43"/>
      <c r="O1564" s="43"/>
      <c r="P1564" s="43"/>
      <c r="Q1564" s="43"/>
      <c r="R1564" s="43"/>
      <c r="S1564" s="43"/>
      <c r="T1564" s="43"/>
      <c r="U1564" s="43"/>
      <c r="V1564" s="43"/>
    </row>
    <row r="1565" spans="1:22" ht="15.75" customHeight="1" x14ac:dyDescent="0.2">
      <c r="A1565" s="40">
        <v>1449</v>
      </c>
      <c r="B1565" s="41" t="s">
        <v>261</v>
      </c>
      <c r="C1565" s="42" t="s">
        <v>1689</v>
      </c>
      <c r="D1565" s="42" t="s">
        <v>491</v>
      </c>
      <c r="E1565" s="42" t="s">
        <v>32</v>
      </c>
      <c r="F1565" s="42" t="s">
        <v>1657</v>
      </c>
      <c r="G1565" s="42" t="s">
        <v>1207</v>
      </c>
      <c r="H1565" s="43"/>
      <c r="I1565" s="43"/>
      <c r="J1565" s="43"/>
      <c r="K1565" s="43"/>
      <c r="L1565" s="43"/>
      <c r="M1565" s="43"/>
      <c r="N1565" s="43"/>
      <c r="O1565" s="43"/>
      <c r="P1565" s="43"/>
      <c r="Q1565" s="43"/>
      <c r="R1565" s="43"/>
      <c r="S1565" s="43"/>
      <c r="T1565" s="43"/>
      <c r="U1565" s="43"/>
      <c r="V1565" s="43"/>
    </row>
    <row r="1566" spans="1:22" ht="15.75" customHeight="1" x14ac:dyDescent="0.2">
      <c r="A1566" s="40">
        <v>1451</v>
      </c>
      <c r="B1566" s="41" t="s">
        <v>261</v>
      </c>
      <c r="C1566" s="42" t="s">
        <v>1690</v>
      </c>
      <c r="D1566" s="42" t="s">
        <v>989</v>
      </c>
      <c r="E1566" s="42" t="s">
        <v>457</v>
      </c>
      <c r="F1566" s="42" t="s">
        <v>1657</v>
      </c>
      <c r="G1566" s="42" t="s">
        <v>1207</v>
      </c>
      <c r="H1566" s="43"/>
      <c r="I1566" s="43"/>
      <c r="J1566" s="43"/>
      <c r="K1566" s="43"/>
      <c r="L1566" s="43"/>
      <c r="M1566" s="43"/>
      <c r="N1566" s="43"/>
      <c r="O1566" s="43"/>
      <c r="P1566" s="43"/>
      <c r="Q1566" s="43"/>
      <c r="R1566" s="43"/>
      <c r="S1566" s="43"/>
      <c r="T1566" s="43"/>
      <c r="U1566" s="43"/>
      <c r="V1566" s="43"/>
    </row>
    <row r="1567" spans="1:22" ht="15.75" customHeight="1" x14ac:dyDescent="0.2">
      <c r="A1567" s="40">
        <v>1477</v>
      </c>
      <c r="B1567" s="41" t="s">
        <v>957</v>
      </c>
      <c r="C1567" s="42" t="s">
        <v>1679</v>
      </c>
      <c r="D1567" s="42" t="s">
        <v>437</v>
      </c>
      <c r="E1567" s="42" t="s">
        <v>129</v>
      </c>
      <c r="F1567" s="42" t="s">
        <v>1657</v>
      </c>
      <c r="G1567" s="42" t="s">
        <v>1207</v>
      </c>
      <c r="H1567" s="43"/>
      <c r="I1567" s="43"/>
      <c r="J1567" s="43"/>
      <c r="K1567" s="43"/>
      <c r="L1567" s="43"/>
      <c r="M1567" s="43"/>
      <c r="N1567" s="43"/>
      <c r="O1567" s="43"/>
      <c r="P1567" s="43"/>
      <c r="Q1567" s="43"/>
      <c r="R1567" s="43"/>
      <c r="S1567" s="43"/>
      <c r="T1567" s="43"/>
      <c r="U1567" s="43"/>
      <c r="V1567" s="43"/>
    </row>
    <row r="1568" spans="1:22" ht="15.75" customHeight="1" x14ac:dyDescent="0.2">
      <c r="A1568" s="40">
        <v>1483</v>
      </c>
      <c r="B1568" s="41" t="s">
        <v>957</v>
      </c>
      <c r="C1568" s="42" t="s">
        <v>1691</v>
      </c>
      <c r="D1568" s="42" t="s">
        <v>1692</v>
      </c>
      <c r="E1568" s="42" t="s">
        <v>1433</v>
      </c>
      <c r="F1568" s="42" t="s">
        <v>1657</v>
      </c>
      <c r="G1568" s="42" t="s">
        <v>1207</v>
      </c>
      <c r="H1568" s="43"/>
      <c r="I1568" s="43"/>
      <c r="J1568" s="43"/>
      <c r="K1568" s="43"/>
      <c r="L1568" s="43"/>
      <c r="M1568" s="43"/>
      <c r="N1568" s="43"/>
      <c r="O1568" s="43"/>
      <c r="P1568" s="43"/>
      <c r="Q1568" s="43"/>
      <c r="R1568" s="43"/>
      <c r="S1568" s="43"/>
      <c r="T1568" s="43"/>
      <c r="U1568" s="43"/>
      <c r="V1568" s="43"/>
    </row>
    <row r="1569" spans="1:22" ht="15.75" customHeight="1" x14ac:dyDescent="0.2">
      <c r="A1569" s="40">
        <v>1485</v>
      </c>
      <c r="B1569" s="41" t="s">
        <v>957</v>
      </c>
      <c r="C1569" s="42" t="s">
        <v>1693</v>
      </c>
      <c r="D1569" s="42" t="s">
        <v>1329</v>
      </c>
      <c r="E1569" s="42" t="s">
        <v>876</v>
      </c>
      <c r="F1569" s="42" t="s">
        <v>1657</v>
      </c>
      <c r="G1569" s="42" t="s">
        <v>1207</v>
      </c>
      <c r="H1569" s="43"/>
      <c r="I1569" s="43"/>
      <c r="J1569" s="43"/>
      <c r="K1569" s="43"/>
      <c r="L1569" s="43"/>
      <c r="M1569" s="43"/>
      <c r="N1569" s="43"/>
      <c r="O1569" s="43"/>
      <c r="P1569" s="43"/>
      <c r="Q1569" s="43"/>
      <c r="R1569" s="43"/>
      <c r="S1569" s="43"/>
      <c r="T1569" s="43"/>
      <c r="U1569" s="43"/>
      <c r="V1569" s="43"/>
    </row>
    <row r="1570" spans="1:22" ht="15.75" customHeight="1" x14ac:dyDescent="0.2">
      <c r="A1570" s="40">
        <v>1591</v>
      </c>
      <c r="B1570" s="41" t="s">
        <v>264</v>
      </c>
      <c r="C1570" s="42" t="s">
        <v>1694</v>
      </c>
      <c r="D1570" s="42" t="s">
        <v>75</v>
      </c>
      <c r="E1570" s="42" t="s">
        <v>65</v>
      </c>
      <c r="F1570" s="42" t="s">
        <v>1657</v>
      </c>
      <c r="G1570" s="42" t="s">
        <v>1207</v>
      </c>
      <c r="H1570" s="43"/>
      <c r="I1570" s="43"/>
      <c r="J1570" s="43"/>
      <c r="K1570" s="43"/>
      <c r="L1570" s="43"/>
      <c r="M1570" s="43"/>
      <c r="N1570" s="43"/>
      <c r="O1570" s="43"/>
      <c r="P1570" s="43"/>
      <c r="Q1570" s="43"/>
      <c r="R1570" s="43"/>
      <c r="S1570" s="43"/>
      <c r="T1570" s="43"/>
      <c r="U1570" s="43"/>
      <c r="V1570" s="43"/>
    </row>
    <row r="1571" spans="1:22" ht="15.75" customHeight="1" x14ac:dyDescent="0.2">
      <c r="A1571" s="40">
        <v>1623</v>
      </c>
      <c r="B1571" s="41" t="s">
        <v>267</v>
      </c>
      <c r="C1571" s="42" t="s">
        <v>1695</v>
      </c>
      <c r="D1571" s="42" t="s">
        <v>1696</v>
      </c>
      <c r="E1571" s="42" t="s">
        <v>1697</v>
      </c>
      <c r="F1571" s="42" t="s">
        <v>1657</v>
      </c>
      <c r="G1571" s="42" t="s">
        <v>1207</v>
      </c>
      <c r="H1571" s="43"/>
      <c r="I1571" s="43"/>
      <c r="J1571" s="43"/>
      <c r="K1571" s="43"/>
      <c r="L1571" s="43"/>
      <c r="M1571" s="43"/>
      <c r="N1571" s="43"/>
      <c r="O1571" s="43"/>
      <c r="P1571" s="43"/>
      <c r="Q1571" s="43"/>
      <c r="R1571" s="43"/>
      <c r="S1571" s="43"/>
      <c r="T1571" s="43"/>
      <c r="U1571" s="43"/>
      <c r="V1571" s="43"/>
    </row>
    <row r="1572" spans="1:22" ht="15.75" customHeight="1" x14ac:dyDescent="0.2">
      <c r="A1572" s="40">
        <v>1627</v>
      </c>
      <c r="B1572" s="41" t="s">
        <v>267</v>
      </c>
      <c r="C1572" s="42" t="s">
        <v>635</v>
      </c>
      <c r="D1572" s="42" t="s">
        <v>339</v>
      </c>
      <c r="E1572" s="42" t="s">
        <v>397</v>
      </c>
      <c r="F1572" s="42" t="s">
        <v>1657</v>
      </c>
      <c r="G1572" s="42" t="s">
        <v>1207</v>
      </c>
      <c r="H1572" s="43"/>
      <c r="I1572" s="43"/>
      <c r="J1572" s="43"/>
      <c r="K1572" s="43"/>
      <c r="L1572" s="43"/>
      <c r="M1572" s="43"/>
      <c r="N1572" s="43"/>
      <c r="O1572" s="43"/>
      <c r="P1572" s="43"/>
      <c r="Q1572" s="43"/>
      <c r="R1572" s="43"/>
      <c r="S1572" s="43"/>
      <c r="T1572" s="43"/>
      <c r="U1572" s="43"/>
      <c r="V1572" s="43"/>
    </row>
    <row r="1573" spans="1:22" ht="15.75" customHeight="1" x14ac:dyDescent="0.2">
      <c r="A1573" s="40">
        <v>1667</v>
      </c>
      <c r="B1573" s="41" t="s">
        <v>435</v>
      </c>
      <c r="C1573" s="42" t="s">
        <v>1698</v>
      </c>
      <c r="D1573" s="42" t="s">
        <v>383</v>
      </c>
      <c r="E1573" s="42" t="s">
        <v>1699</v>
      </c>
      <c r="F1573" s="42" t="s">
        <v>1657</v>
      </c>
      <c r="G1573" s="42" t="s">
        <v>1207</v>
      </c>
      <c r="H1573" s="43"/>
      <c r="I1573" s="43"/>
      <c r="J1573" s="43"/>
      <c r="K1573" s="43"/>
      <c r="L1573" s="43"/>
      <c r="M1573" s="43"/>
      <c r="N1573" s="43"/>
      <c r="O1573" s="43"/>
      <c r="P1573" s="43"/>
      <c r="Q1573" s="43"/>
      <c r="R1573" s="43"/>
      <c r="S1573" s="43"/>
      <c r="T1573" s="43"/>
      <c r="U1573" s="43"/>
      <c r="V1573" s="43"/>
    </row>
    <row r="1574" spans="1:22" ht="15.75" customHeight="1" x14ac:dyDescent="0.2">
      <c r="A1574" s="40">
        <v>1703</v>
      </c>
      <c r="B1574" s="41" t="s">
        <v>1345</v>
      </c>
      <c r="C1574" s="42" t="s">
        <v>1673</v>
      </c>
      <c r="D1574" s="42" t="s">
        <v>124</v>
      </c>
      <c r="E1574" s="42" t="s">
        <v>310</v>
      </c>
      <c r="F1574" s="42" t="s">
        <v>1657</v>
      </c>
      <c r="G1574" s="42" t="s">
        <v>1207</v>
      </c>
      <c r="H1574" s="43"/>
      <c r="I1574" s="43"/>
      <c r="J1574" s="43"/>
      <c r="K1574" s="43"/>
      <c r="L1574" s="43"/>
      <c r="M1574" s="43"/>
      <c r="N1574" s="43"/>
      <c r="O1574" s="43"/>
      <c r="P1574" s="43"/>
      <c r="Q1574" s="43"/>
      <c r="R1574" s="43"/>
      <c r="S1574" s="43"/>
      <c r="T1574" s="43"/>
      <c r="U1574" s="43"/>
      <c r="V1574" s="43"/>
    </row>
    <row r="1575" spans="1:22" ht="15.75" customHeight="1" x14ac:dyDescent="0.2">
      <c r="A1575" s="40">
        <v>1727</v>
      </c>
      <c r="B1575" s="41" t="s">
        <v>465</v>
      </c>
      <c r="C1575" s="42" t="s">
        <v>1674</v>
      </c>
      <c r="D1575" s="42" t="s">
        <v>1675</v>
      </c>
      <c r="E1575" s="42" t="s">
        <v>918</v>
      </c>
      <c r="F1575" s="42" t="s">
        <v>1657</v>
      </c>
      <c r="G1575" s="42" t="s">
        <v>1207</v>
      </c>
      <c r="H1575" s="43"/>
      <c r="I1575" s="43"/>
      <c r="J1575" s="43"/>
      <c r="K1575" s="43"/>
      <c r="L1575" s="43"/>
      <c r="M1575" s="43"/>
      <c r="N1575" s="43"/>
      <c r="O1575" s="43"/>
      <c r="P1575" s="43"/>
      <c r="Q1575" s="43"/>
      <c r="R1575" s="43"/>
      <c r="S1575" s="43"/>
      <c r="T1575" s="43"/>
      <c r="U1575" s="43"/>
      <c r="V1575" s="43"/>
    </row>
    <row r="1576" spans="1:22" ht="15.75" customHeight="1" x14ac:dyDescent="0.2">
      <c r="A1576" s="40">
        <v>1751</v>
      </c>
      <c r="B1576" s="41" t="s">
        <v>459</v>
      </c>
      <c r="C1576" s="42" t="s">
        <v>1678</v>
      </c>
      <c r="D1576" s="42" t="s">
        <v>272</v>
      </c>
      <c r="E1576" s="42" t="s">
        <v>112</v>
      </c>
      <c r="F1576" s="42" t="s">
        <v>1657</v>
      </c>
      <c r="G1576" s="42" t="s">
        <v>1207</v>
      </c>
      <c r="H1576" s="43"/>
      <c r="I1576" s="43"/>
      <c r="J1576" s="43"/>
      <c r="K1576" s="43"/>
      <c r="L1576" s="43"/>
      <c r="M1576" s="43"/>
      <c r="N1576" s="43"/>
      <c r="O1576" s="43"/>
      <c r="P1576" s="43"/>
      <c r="Q1576" s="43"/>
      <c r="R1576" s="43"/>
      <c r="S1576" s="43"/>
      <c r="T1576" s="43"/>
      <c r="U1576" s="43"/>
      <c r="V1576" s="43"/>
    </row>
    <row r="1577" spans="1:22" ht="15.75" customHeight="1" x14ac:dyDescent="0.2">
      <c r="A1577" s="40">
        <v>1759</v>
      </c>
      <c r="B1577" s="41" t="s">
        <v>459</v>
      </c>
      <c r="C1577" s="42" t="s">
        <v>1471</v>
      </c>
      <c r="D1577" s="42" t="s">
        <v>186</v>
      </c>
      <c r="E1577" s="42" t="s">
        <v>70</v>
      </c>
      <c r="F1577" s="42" t="s">
        <v>1657</v>
      </c>
      <c r="G1577" s="42" t="s">
        <v>1207</v>
      </c>
      <c r="H1577" s="43"/>
      <c r="I1577" s="43"/>
      <c r="J1577" s="43"/>
      <c r="K1577" s="43"/>
      <c r="L1577" s="43"/>
      <c r="M1577" s="43"/>
      <c r="N1577" s="43"/>
      <c r="O1577" s="43"/>
      <c r="P1577" s="43"/>
      <c r="Q1577" s="43"/>
      <c r="R1577" s="43"/>
      <c r="S1577" s="43"/>
      <c r="T1577" s="43"/>
      <c r="U1577" s="43"/>
      <c r="V1577" s="43"/>
    </row>
    <row r="1578" spans="1:22" ht="15.75" customHeight="1" x14ac:dyDescent="0.2">
      <c r="A1578" s="40">
        <v>1767</v>
      </c>
      <c r="B1578" s="41" t="s">
        <v>442</v>
      </c>
      <c r="C1578" s="42" t="s">
        <v>1679</v>
      </c>
      <c r="D1578" s="42" t="s">
        <v>884</v>
      </c>
      <c r="E1578" s="42" t="s">
        <v>129</v>
      </c>
      <c r="F1578" s="42" t="s">
        <v>1657</v>
      </c>
      <c r="G1578" s="42" t="s">
        <v>1207</v>
      </c>
      <c r="H1578" s="43"/>
      <c r="I1578" s="43"/>
      <c r="J1578" s="43"/>
      <c r="K1578" s="43"/>
      <c r="L1578" s="43"/>
      <c r="M1578" s="43"/>
      <c r="N1578" s="43"/>
      <c r="O1578" s="43"/>
      <c r="P1578" s="43"/>
      <c r="Q1578" s="43"/>
      <c r="R1578" s="43"/>
      <c r="S1578" s="43"/>
      <c r="T1578" s="43"/>
      <c r="U1578" s="43"/>
      <c r="V1578" s="43"/>
    </row>
    <row r="1579" spans="1:22" ht="15.75" customHeight="1" x14ac:dyDescent="0.2">
      <c r="A1579" s="40">
        <v>1895</v>
      </c>
      <c r="B1579" s="41" t="s">
        <v>277</v>
      </c>
      <c r="C1579" s="42" t="s">
        <v>1686</v>
      </c>
      <c r="D1579" s="42" t="s">
        <v>1687</v>
      </c>
      <c r="E1579" s="42" t="s">
        <v>1688</v>
      </c>
      <c r="F1579" s="42" t="s">
        <v>1657</v>
      </c>
      <c r="G1579" s="42" t="s">
        <v>1207</v>
      </c>
      <c r="H1579" s="43"/>
      <c r="I1579" s="43"/>
      <c r="J1579" s="43"/>
      <c r="K1579" s="43"/>
      <c r="L1579" s="43"/>
      <c r="M1579" s="43"/>
      <c r="N1579" s="43"/>
      <c r="O1579" s="43"/>
      <c r="P1579" s="43"/>
      <c r="Q1579" s="43"/>
      <c r="R1579" s="43"/>
      <c r="S1579" s="43"/>
      <c r="T1579" s="43"/>
      <c r="U1579" s="43"/>
      <c r="V1579" s="43"/>
    </row>
    <row r="1580" spans="1:22" ht="15.75" customHeight="1" x14ac:dyDescent="0.2">
      <c r="A1580" s="40">
        <v>1899</v>
      </c>
      <c r="B1580" s="41" t="s">
        <v>277</v>
      </c>
      <c r="C1580" s="42" t="s">
        <v>1690</v>
      </c>
      <c r="D1580" s="42" t="s">
        <v>989</v>
      </c>
      <c r="E1580" s="42" t="s">
        <v>457</v>
      </c>
      <c r="F1580" s="42" t="s">
        <v>1657</v>
      </c>
      <c r="G1580" s="42" t="s">
        <v>1207</v>
      </c>
      <c r="H1580" s="43"/>
      <c r="I1580" s="43"/>
      <c r="J1580" s="43"/>
      <c r="K1580" s="43"/>
      <c r="L1580" s="43"/>
      <c r="M1580" s="43"/>
      <c r="N1580" s="43"/>
      <c r="O1580" s="43"/>
      <c r="P1580" s="43"/>
      <c r="Q1580" s="43"/>
      <c r="R1580" s="43"/>
      <c r="S1580" s="43"/>
      <c r="T1580" s="43"/>
      <c r="U1580" s="43"/>
      <c r="V1580" s="43"/>
    </row>
    <row r="1581" spans="1:22" ht="15.75" customHeight="1" x14ac:dyDescent="0.2">
      <c r="A1581" s="40">
        <v>1919</v>
      </c>
      <c r="B1581" s="41" t="s">
        <v>278</v>
      </c>
      <c r="C1581" s="42" t="s">
        <v>1679</v>
      </c>
      <c r="D1581" s="42" t="s">
        <v>437</v>
      </c>
      <c r="E1581" s="42" t="s">
        <v>129</v>
      </c>
      <c r="F1581" s="42" t="s">
        <v>1657</v>
      </c>
      <c r="G1581" s="42" t="s">
        <v>1207</v>
      </c>
      <c r="H1581" s="43"/>
      <c r="I1581" s="43"/>
      <c r="J1581" s="43"/>
      <c r="K1581" s="43"/>
      <c r="L1581" s="43"/>
      <c r="M1581" s="43"/>
      <c r="N1581" s="43"/>
      <c r="O1581" s="43"/>
      <c r="P1581" s="43"/>
      <c r="Q1581" s="43"/>
      <c r="R1581" s="43"/>
      <c r="S1581" s="43"/>
      <c r="T1581" s="43"/>
      <c r="U1581" s="43"/>
      <c r="V1581" s="43"/>
    </row>
    <row r="1582" spans="1:22" ht="15.75" customHeight="1" x14ac:dyDescent="0.2">
      <c r="A1582" s="40">
        <v>1923</v>
      </c>
      <c r="B1582" s="41" t="s">
        <v>278</v>
      </c>
      <c r="C1582" s="42" t="s">
        <v>1695</v>
      </c>
      <c r="D1582" s="42" t="s">
        <v>1696</v>
      </c>
      <c r="E1582" s="42" t="s">
        <v>1697</v>
      </c>
      <c r="F1582" s="42" t="s">
        <v>1657</v>
      </c>
      <c r="G1582" s="42" t="s">
        <v>1207</v>
      </c>
      <c r="H1582" s="43"/>
      <c r="I1582" s="43"/>
      <c r="J1582" s="43"/>
      <c r="K1582" s="43"/>
      <c r="L1582" s="43"/>
      <c r="M1582" s="43"/>
      <c r="N1582" s="43"/>
      <c r="O1582" s="43"/>
      <c r="P1582" s="43"/>
      <c r="Q1582" s="43"/>
      <c r="R1582" s="43"/>
      <c r="S1582" s="43"/>
      <c r="T1582" s="43"/>
      <c r="U1582" s="43"/>
      <c r="V1582" s="43"/>
    </row>
    <row r="1583" spans="1:22" ht="15.75" customHeight="1" x14ac:dyDescent="0.2">
      <c r="A1583" s="40">
        <v>1945</v>
      </c>
      <c r="B1583" s="41" t="s">
        <v>278</v>
      </c>
      <c r="C1583" s="42" t="s">
        <v>1698</v>
      </c>
      <c r="D1583" s="42" t="s">
        <v>383</v>
      </c>
      <c r="E1583" s="42" t="s">
        <v>1699</v>
      </c>
      <c r="F1583" s="42" t="s">
        <v>1657</v>
      </c>
      <c r="G1583" s="42" t="s">
        <v>1207</v>
      </c>
      <c r="H1583" s="43"/>
      <c r="I1583" s="43"/>
      <c r="J1583" s="43"/>
      <c r="K1583" s="43"/>
      <c r="L1583" s="43"/>
      <c r="M1583" s="43"/>
      <c r="N1583" s="43"/>
      <c r="O1583" s="43"/>
      <c r="P1583" s="43"/>
      <c r="Q1583" s="43"/>
      <c r="R1583" s="43"/>
      <c r="S1583" s="43"/>
      <c r="T1583" s="43"/>
      <c r="U1583" s="43"/>
      <c r="V1583" s="43"/>
    </row>
    <row r="1584" spans="1:22" ht="15.75" customHeight="1" x14ac:dyDescent="0.2">
      <c r="A1584" s="40">
        <v>1985</v>
      </c>
      <c r="B1584" s="41" t="s">
        <v>652</v>
      </c>
      <c r="C1584" s="42" t="s">
        <v>1666</v>
      </c>
      <c r="D1584" s="42" t="s">
        <v>75</v>
      </c>
      <c r="E1584" s="42" t="s">
        <v>65</v>
      </c>
      <c r="F1584" s="42" t="s">
        <v>1657</v>
      </c>
      <c r="G1584" s="42" t="s">
        <v>1207</v>
      </c>
      <c r="H1584" s="43"/>
      <c r="I1584" s="43"/>
      <c r="J1584" s="43"/>
      <c r="K1584" s="43"/>
      <c r="L1584" s="43"/>
      <c r="M1584" s="43"/>
      <c r="N1584" s="43"/>
      <c r="O1584" s="43"/>
      <c r="P1584" s="43"/>
      <c r="Q1584" s="43"/>
      <c r="R1584" s="43"/>
      <c r="S1584" s="43"/>
      <c r="T1584" s="43"/>
      <c r="U1584" s="43"/>
      <c r="V1584" s="43"/>
    </row>
    <row r="1585" spans="1:22" ht="15.75" customHeight="1" x14ac:dyDescent="0.2">
      <c r="A1585" s="40">
        <v>1987</v>
      </c>
      <c r="B1585" s="41" t="s">
        <v>652</v>
      </c>
      <c r="C1585" s="42" t="s">
        <v>1667</v>
      </c>
      <c r="D1585" s="42" t="s">
        <v>325</v>
      </c>
      <c r="E1585" s="42" t="s">
        <v>306</v>
      </c>
      <c r="F1585" s="42" t="s">
        <v>1657</v>
      </c>
      <c r="G1585" s="42" t="s">
        <v>1207</v>
      </c>
      <c r="H1585" s="43"/>
      <c r="I1585" s="43"/>
      <c r="J1585" s="43"/>
      <c r="K1585" s="43"/>
      <c r="L1585" s="43"/>
      <c r="M1585" s="43"/>
      <c r="N1585" s="43"/>
      <c r="O1585" s="43"/>
      <c r="P1585" s="43"/>
      <c r="Q1585" s="43"/>
      <c r="R1585" s="43"/>
      <c r="S1585" s="43"/>
      <c r="T1585" s="43"/>
      <c r="U1585" s="43"/>
      <c r="V1585" s="43"/>
    </row>
    <row r="1586" spans="1:22" ht="15.75" customHeight="1" x14ac:dyDescent="0.2">
      <c r="A1586" s="40">
        <v>1989</v>
      </c>
      <c r="B1586" s="41" t="s">
        <v>652</v>
      </c>
      <c r="C1586" s="42" t="s">
        <v>1664</v>
      </c>
      <c r="D1586" s="42" t="s">
        <v>697</v>
      </c>
      <c r="E1586" s="42" t="s">
        <v>571</v>
      </c>
      <c r="F1586" s="42" t="s">
        <v>1657</v>
      </c>
      <c r="G1586" s="42" t="s">
        <v>1207</v>
      </c>
      <c r="H1586" s="43"/>
      <c r="I1586" s="43"/>
      <c r="J1586" s="43"/>
      <c r="K1586" s="43"/>
      <c r="L1586" s="43"/>
      <c r="M1586" s="43"/>
      <c r="N1586" s="43"/>
      <c r="O1586" s="43"/>
      <c r="P1586" s="43"/>
      <c r="Q1586" s="43"/>
      <c r="R1586" s="43"/>
      <c r="S1586" s="43"/>
      <c r="T1586" s="43"/>
      <c r="U1586" s="43"/>
      <c r="V1586" s="43"/>
    </row>
    <row r="1587" spans="1:22" ht="15.75" customHeight="1" x14ac:dyDescent="0.2">
      <c r="A1587" s="40">
        <v>1997</v>
      </c>
      <c r="B1587" s="41" t="s">
        <v>652</v>
      </c>
      <c r="C1587" s="42" t="s">
        <v>1663</v>
      </c>
      <c r="D1587" s="42" t="s">
        <v>75</v>
      </c>
      <c r="E1587" s="42" t="s">
        <v>273</v>
      </c>
      <c r="F1587" s="42" t="s">
        <v>1657</v>
      </c>
      <c r="G1587" s="42" t="s">
        <v>1207</v>
      </c>
      <c r="H1587" s="43"/>
      <c r="I1587" s="43"/>
      <c r="J1587" s="43"/>
      <c r="K1587" s="43"/>
      <c r="L1587" s="43"/>
      <c r="M1587" s="43"/>
      <c r="N1587" s="43"/>
      <c r="O1587" s="43"/>
      <c r="P1587" s="43"/>
      <c r="Q1587" s="43"/>
      <c r="R1587" s="43"/>
      <c r="S1587" s="43"/>
      <c r="T1587" s="43"/>
      <c r="U1587" s="43"/>
      <c r="V1587" s="43"/>
    </row>
    <row r="1588" spans="1:22" ht="15.75" customHeight="1" x14ac:dyDescent="0.2">
      <c r="A1588" s="40">
        <v>2013</v>
      </c>
      <c r="B1588" s="41" t="s">
        <v>701</v>
      </c>
      <c r="C1588" s="42" t="s">
        <v>1544</v>
      </c>
      <c r="D1588" s="42" t="s">
        <v>51</v>
      </c>
      <c r="E1588" s="42" t="s">
        <v>393</v>
      </c>
      <c r="F1588" s="42" t="s">
        <v>1657</v>
      </c>
      <c r="G1588" s="42" t="s">
        <v>1207</v>
      </c>
      <c r="H1588" s="43"/>
      <c r="I1588" s="43"/>
      <c r="J1588" s="43"/>
      <c r="K1588" s="43"/>
      <c r="L1588" s="43"/>
      <c r="M1588" s="43"/>
      <c r="N1588" s="43"/>
      <c r="O1588" s="43"/>
      <c r="P1588" s="43"/>
      <c r="Q1588" s="43"/>
      <c r="R1588" s="43"/>
      <c r="S1588" s="43"/>
      <c r="T1588" s="43"/>
      <c r="U1588" s="43"/>
      <c r="V1588" s="43"/>
    </row>
    <row r="1589" spans="1:22" ht="15.75" customHeight="1" x14ac:dyDescent="0.2">
      <c r="A1589" s="40">
        <v>2015</v>
      </c>
      <c r="B1589" s="41" t="s">
        <v>701</v>
      </c>
      <c r="C1589" s="42" t="s">
        <v>1325</v>
      </c>
      <c r="D1589" s="42" t="s">
        <v>1551</v>
      </c>
      <c r="E1589" s="42" t="s">
        <v>302</v>
      </c>
      <c r="F1589" s="42" t="s">
        <v>1657</v>
      </c>
      <c r="G1589" s="42" t="s">
        <v>1207</v>
      </c>
      <c r="H1589" s="43"/>
      <c r="I1589" s="43"/>
      <c r="J1589" s="43"/>
      <c r="K1589" s="43"/>
      <c r="L1589" s="43"/>
      <c r="M1589" s="43"/>
      <c r="N1589" s="43"/>
      <c r="O1589" s="43"/>
      <c r="P1589" s="43"/>
      <c r="Q1589" s="43"/>
      <c r="R1589" s="43"/>
      <c r="S1589" s="43"/>
      <c r="T1589" s="43"/>
      <c r="U1589" s="43"/>
      <c r="V1589" s="43"/>
    </row>
    <row r="1590" spans="1:22" ht="15.75" customHeight="1" x14ac:dyDescent="0.2">
      <c r="A1590" s="40">
        <v>2237</v>
      </c>
      <c r="B1590" s="41" t="s">
        <v>627</v>
      </c>
      <c r="C1590" s="42" t="s">
        <v>1669</v>
      </c>
      <c r="D1590" s="42" t="s">
        <v>1615</v>
      </c>
      <c r="E1590" s="42" t="s">
        <v>1670</v>
      </c>
      <c r="F1590" s="42" t="s">
        <v>1657</v>
      </c>
      <c r="G1590" s="42" t="s">
        <v>1207</v>
      </c>
      <c r="H1590" s="43"/>
      <c r="I1590" s="43"/>
      <c r="J1590" s="43"/>
      <c r="K1590" s="43"/>
      <c r="L1590" s="43"/>
      <c r="M1590" s="43"/>
      <c r="N1590" s="43"/>
      <c r="O1590" s="43"/>
      <c r="P1590" s="43"/>
      <c r="Q1590" s="43"/>
      <c r="R1590" s="43"/>
      <c r="S1590" s="43"/>
      <c r="T1590" s="43"/>
      <c r="U1590" s="43"/>
      <c r="V1590" s="43"/>
    </row>
    <row r="1591" spans="1:22" ht="15.75" customHeight="1" x14ac:dyDescent="0.2">
      <c r="A1591" s="40">
        <v>2239</v>
      </c>
      <c r="B1591" s="41" t="s">
        <v>627</v>
      </c>
      <c r="C1591" s="42" t="s">
        <v>1672</v>
      </c>
      <c r="D1591" s="42" t="s">
        <v>605</v>
      </c>
      <c r="E1591" s="42" t="s">
        <v>690</v>
      </c>
      <c r="F1591" s="42" t="s">
        <v>1657</v>
      </c>
      <c r="G1591" s="42" t="s">
        <v>1207</v>
      </c>
      <c r="H1591" s="43"/>
      <c r="I1591" s="43"/>
      <c r="J1591" s="43"/>
      <c r="K1591" s="43"/>
      <c r="L1591" s="43"/>
      <c r="M1591" s="43"/>
      <c r="N1591" s="43"/>
      <c r="O1591" s="43"/>
      <c r="P1591" s="43"/>
      <c r="Q1591" s="43"/>
      <c r="R1591" s="43"/>
      <c r="S1591" s="43"/>
      <c r="T1591" s="43"/>
      <c r="U1591" s="43"/>
      <c r="V1591" s="43"/>
    </row>
    <row r="1592" spans="1:22" ht="15.75" customHeight="1" x14ac:dyDescent="0.2">
      <c r="A1592" s="40">
        <v>2241</v>
      </c>
      <c r="B1592" s="41" t="s">
        <v>627</v>
      </c>
      <c r="C1592" s="42" t="s">
        <v>1671</v>
      </c>
      <c r="D1592" s="42" t="s">
        <v>984</v>
      </c>
      <c r="E1592" s="42" t="s">
        <v>251</v>
      </c>
      <c r="F1592" s="42" t="s">
        <v>1657</v>
      </c>
      <c r="G1592" s="42" t="s">
        <v>1207</v>
      </c>
      <c r="H1592" s="43"/>
      <c r="I1592" s="43"/>
      <c r="J1592" s="43"/>
      <c r="K1592" s="43"/>
      <c r="L1592" s="43"/>
      <c r="M1592" s="43"/>
      <c r="N1592" s="43"/>
      <c r="O1592" s="43"/>
      <c r="P1592" s="43"/>
      <c r="Q1592" s="43"/>
      <c r="R1592" s="43"/>
      <c r="S1592" s="43"/>
      <c r="T1592" s="43"/>
      <c r="U1592" s="43"/>
      <c r="V1592" s="43"/>
    </row>
    <row r="1593" spans="1:22" ht="15.75" customHeight="1" x14ac:dyDescent="0.2">
      <c r="A1593" s="40">
        <v>2353</v>
      </c>
      <c r="B1593" s="41" t="s">
        <v>1700</v>
      </c>
      <c r="C1593" s="42" t="s">
        <v>1353</v>
      </c>
      <c r="D1593" s="42" t="s">
        <v>86</v>
      </c>
      <c r="E1593" s="42" t="s">
        <v>22</v>
      </c>
      <c r="F1593" s="42" t="s">
        <v>1657</v>
      </c>
      <c r="G1593" s="42" t="s">
        <v>1207</v>
      </c>
      <c r="H1593" s="43"/>
      <c r="I1593" s="43"/>
      <c r="J1593" s="43"/>
      <c r="K1593" s="43"/>
      <c r="L1593" s="43"/>
      <c r="M1593" s="43"/>
      <c r="N1593" s="43"/>
      <c r="O1593" s="43"/>
      <c r="P1593" s="43"/>
      <c r="Q1593" s="43"/>
      <c r="R1593" s="43"/>
      <c r="S1593" s="43"/>
      <c r="T1593" s="43"/>
      <c r="U1593" s="43"/>
      <c r="V1593" s="43"/>
    </row>
    <row r="1594" spans="1:22" ht="15.75" customHeight="1" x14ac:dyDescent="0.2">
      <c r="A1594" s="40">
        <v>2355</v>
      </c>
      <c r="B1594" s="41" t="s">
        <v>1700</v>
      </c>
      <c r="C1594" s="42" t="s">
        <v>1347</v>
      </c>
      <c r="D1594" s="42" t="s">
        <v>58</v>
      </c>
      <c r="E1594" s="42" t="s">
        <v>306</v>
      </c>
      <c r="F1594" s="42" t="s">
        <v>1657</v>
      </c>
      <c r="G1594" s="42" t="s">
        <v>1207</v>
      </c>
      <c r="H1594" s="43"/>
      <c r="I1594" s="43"/>
      <c r="J1594" s="43"/>
      <c r="K1594" s="43"/>
      <c r="L1594" s="43"/>
      <c r="M1594" s="43"/>
      <c r="N1594" s="43"/>
      <c r="O1594" s="43"/>
      <c r="P1594" s="43"/>
      <c r="Q1594" s="43"/>
      <c r="R1594" s="43"/>
      <c r="S1594" s="43"/>
      <c r="T1594" s="43"/>
      <c r="U1594" s="43"/>
      <c r="V1594" s="43"/>
    </row>
    <row r="1595" spans="1:22" ht="15.75" customHeight="1" x14ac:dyDescent="0.2">
      <c r="A1595" s="40">
        <v>2489</v>
      </c>
      <c r="B1595" s="41" t="s">
        <v>444</v>
      </c>
      <c r="C1595" s="42" t="s">
        <v>1701</v>
      </c>
      <c r="D1595" s="42" t="s">
        <v>1702</v>
      </c>
      <c r="E1595" s="42" t="s">
        <v>1431</v>
      </c>
      <c r="F1595" s="42" t="s">
        <v>1657</v>
      </c>
      <c r="G1595" s="42" t="s">
        <v>1207</v>
      </c>
      <c r="H1595" s="43"/>
      <c r="I1595" s="43"/>
      <c r="J1595" s="43"/>
      <c r="K1595" s="43"/>
      <c r="L1595" s="43"/>
      <c r="M1595" s="43"/>
      <c r="N1595" s="43"/>
      <c r="O1595" s="43"/>
      <c r="P1595" s="43"/>
      <c r="Q1595" s="43"/>
      <c r="R1595" s="43"/>
      <c r="S1595" s="43"/>
      <c r="T1595" s="43"/>
      <c r="U1595" s="43"/>
      <c r="V1595" s="43"/>
    </row>
    <row r="1596" spans="1:22" ht="15.75" customHeight="1" x14ac:dyDescent="0.2">
      <c r="A1596" s="40">
        <v>2531</v>
      </c>
      <c r="B1596" s="41" t="s">
        <v>1587</v>
      </c>
      <c r="C1596" s="42" t="s">
        <v>1703</v>
      </c>
      <c r="D1596" s="42" t="s">
        <v>1704</v>
      </c>
      <c r="E1596" s="42" t="s">
        <v>1705</v>
      </c>
      <c r="F1596" s="42" t="s">
        <v>1657</v>
      </c>
      <c r="G1596" s="42" t="s">
        <v>1207</v>
      </c>
      <c r="H1596" s="43"/>
      <c r="I1596" s="43"/>
      <c r="J1596" s="43"/>
      <c r="K1596" s="43"/>
      <c r="L1596" s="43"/>
      <c r="M1596" s="43"/>
      <c r="N1596" s="43"/>
      <c r="O1596" s="43"/>
      <c r="P1596" s="43"/>
      <c r="Q1596" s="43"/>
      <c r="R1596" s="43"/>
      <c r="S1596" s="43"/>
      <c r="T1596" s="43"/>
      <c r="U1596" s="43"/>
      <c r="V1596" s="43"/>
    </row>
    <row r="1597" spans="1:22" ht="15.75" customHeight="1" x14ac:dyDescent="0.2">
      <c r="A1597" s="40">
        <v>2533</v>
      </c>
      <c r="B1597" s="41" t="s">
        <v>1587</v>
      </c>
      <c r="C1597" s="42" t="s">
        <v>1706</v>
      </c>
      <c r="D1597" s="42" t="s">
        <v>471</v>
      </c>
      <c r="E1597" s="42" t="s">
        <v>1707</v>
      </c>
      <c r="F1597" s="42" t="s">
        <v>1657</v>
      </c>
      <c r="G1597" s="42" t="s">
        <v>1207</v>
      </c>
      <c r="H1597" s="43"/>
      <c r="I1597" s="43"/>
      <c r="J1597" s="43"/>
      <c r="K1597" s="43"/>
      <c r="L1597" s="43"/>
      <c r="M1597" s="43"/>
      <c r="N1597" s="43"/>
      <c r="O1597" s="43"/>
      <c r="P1597" s="43"/>
      <c r="Q1597" s="43"/>
      <c r="R1597" s="43"/>
      <c r="S1597" s="43"/>
      <c r="T1597" s="43"/>
      <c r="U1597" s="43"/>
      <c r="V1597" s="43"/>
    </row>
    <row r="1598" spans="1:22" ht="15.75" customHeight="1" x14ac:dyDescent="0.2">
      <c r="A1598" s="40">
        <v>2543</v>
      </c>
      <c r="B1598" s="41" t="s">
        <v>1247</v>
      </c>
      <c r="C1598" s="42" t="s">
        <v>57</v>
      </c>
      <c r="D1598" s="42" t="s">
        <v>437</v>
      </c>
      <c r="E1598" s="42" t="s">
        <v>650</v>
      </c>
      <c r="F1598" s="42" t="s">
        <v>1657</v>
      </c>
      <c r="G1598" s="42" t="s">
        <v>1207</v>
      </c>
      <c r="H1598" s="43"/>
      <c r="I1598" s="43"/>
      <c r="J1598" s="43"/>
      <c r="K1598" s="43"/>
      <c r="L1598" s="43"/>
      <c r="M1598" s="43"/>
      <c r="N1598" s="43"/>
      <c r="O1598" s="43"/>
      <c r="P1598" s="43"/>
      <c r="Q1598" s="43"/>
      <c r="R1598" s="43"/>
      <c r="S1598" s="43"/>
      <c r="T1598" s="43"/>
      <c r="U1598" s="43"/>
      <c r="V1598" s="43"/>
    </row>
    <row r="1599" spans="1:22" ht="15.75" customHeight="1" x14ac:dyDescent="0.2">
      <c r="A1599" s="40">
        <v>2555</v>
      </c>
      <c r="B1599" s="41" t="s">
        <v>1247</v>
      </c>
      <c r="C1599" s="42" t="s">
        <v>1708</v>
      </c>
      <c r="D1599" s="42" t="s">
        <v>124</v>
      </c>
      <c r="E1599" s="42" t="s">
        <v>1259</v>
      </c>
      <c r="F1599" s="42" t="s">
        <v>1657</v>
      </c>
      <c r="G1599" s="42" t="s">
        <v>1207</v>
      </c>
      <c r="H1599" s="43"/>
      <c r="I1599" s="43"/>
      <c r="J1599" s="43"/>
      <c r="K1599" s="43"/>
      <c r="L1599" s="43"/>
      <c r="M1599" s="43"/>
      <c r="N1599" s="43"/>
      <c r="O1599" s="43"/>
      <c r="P1599" s="43"/>
      <c r="Q1599" s="43"/>
      <c r="R1599" s="43"/>
      <c r="S1599" s="43"/>
      <c r="T1599" s="43"/>
      <c r="U1599" s="43"/>
      <c r="V1599" s="43"/>
    </row>
    <row r="1600" spans="1:22" ht="15.75" customHeight="1" x14ac:dyDescent="0.2">
      <c r="A1600" s="40">
        <v>2743</v>
      </c>
      <c r="B1600" s="41" t="s">
        <v>944</v>
      </c>
      <c r="C1600" s="42" t="s">
        <v>1709</v>
      </c>
      <c r="D1600" s="42" t="s">
        <v>1439</v>
      </c>
      <c r="E1600" s="42" t="s">
        <v>1710</v>
      </c>
      <c r="F1600" s="42" t="s">
        <v>1657</v>
      </c>
      <c r="G1600" s="42" t="s">
        <v>1207</v>
      </c>
      <c r="H1600" s="43"/>
      <c r="I1600" s="43"/>
      <c r="J1600" s="43"/>
      <c r="K1600" s="43"/>
      <c r="L1600" s="43"/>
      <c r="M1600" s="43"/>
      <c r="N1600" s="43"/>
      <c r="O1600" s="43"/>
      <c r="P1600" s="43"/>
      <c r="Q1600" s="43"/>
      <c r="R1600" s="43"/>
      <c r="S1600" s="43"/>
      <c r="T1600" s="43"/>
      <c r="U1600" s="43"/>
      <c r="V1600" s="43"/>
    </row>
    <row r="1601" spans="1:22" ht="15.75" customHeight="1" x14ac:dyDescent="0.2">
      <c r="A1601" s="40">
        <v>2779</v>
      </c>
      <c r="B1601" s="41" t="s">
        <v>288</v>
      </c>
      <c r="C1601" s="42" t="s">
        <v>1694</v>
      </c>
      <c r="D1601" s="42" t="s">
        <v>75</v>
      </c>
      <c r="E1601" s="42" t="s">
        <v>65</v>
      </c>
      <c r="F1601" s="42" t="s">
        <v>1657</v>
      </c>
      <c r="G1601" s="42" t="s">
        <v>1207</v>
      </c>
      <c r="H1601" s="43"/>
      <c r="I1601" s="43"/>
      <c r="J1601" s="43"/>
      <c r="K1601" s="43"/>
      <c r="L1601" s="43"/>
      <c r="M1601" s="43"/>
      <c r="N1601" s="43"/>
      <c r="O1601" s="43"/>
      <c r="P1601" s="43"/>
      <c r="Q1601" s="43"/>
      <c r="R1601" s="43"/>
      <c r="S1601" s="43"/>
      <c r="T1601" s="43"/>
      <c r="U1601" s="43"/>
      <c r="V1601" s="43"/>
    </row>
    <row r="1602" spans="1:22" ht="15.75" customHeight="1" x14ac:dyDescent="0.2">
      <c r="A1602" s="40">
        <v>2781</v>
      </c>
      <c r="B1602" s="41" t="s">
        <v>288</v>
      </c>
      <c r="C1602" s="42" t="s">
        <v>635</v>
      </c>
      <c r="D1602" s="42" t="s">
        <v>339</v>
      </c>
      <c r="E1602" s="42" t="s">
        <v>397</v>
      </c>
      <c r="F1602" s="42" t="s">
        <v>1657</v>
      </c>
      <c r="G1602" s="42" t="s">
        <v>1207</v>
      </c>
      <c r="H1602" s="43"/>
      <c r="I1602" s="43"/>
      <c r="J1602" s="43"/>
      <c r="K1602" s="43"/>
      <c r="L1602" s="43"/>
      <c r="M1602" s="43"/>
      <c r="N1602" s="43"/>
      <c r="O1602" s="43"/>
      <c r="P1602" s="43"/>
      <c r="Q1602" s="43"/>
      <c r="R1602" s="43"/>
      <c r="S1602" s="43"/>
      <c r="T1602" s="43"/>
      <c r="U1602" s="43"/>
      <c r="V1602" s="43"/>
    </row>
    <row r="1603" spans="1:22" ht="15.75" customHeight="1" x14ac:dyDescent="0.2">
      <c r="A1603" s="40">
        <v>2901</v>
      </c>
      <c r="B1603" s="41" t="s">
        <v>1133</v>
      </c>
      <c r="C1603" s="42" t="s">
        <v>870</v>
      </c>
      <c r="D1603" s="42" t="s">
        <v>441</v>
      </c>
      <c r="E1603" s="42" t="s">
        <v>87</v>
      </c>
      <c r="F1603" s="42" t="s">
        <v>1657</v>
      </c>
      <c r="G1603" s="42" t="s">
        <v>1207</v>
      </c>
      <c r="H1603" s="43"/>
      <c r="I1603" s="43"/>
      <c r="J1603" s="43"/>
      <c r="K1603" s="43"/>
      <c r="L1603" s="43"/>
      <c r="M1603" s="43"/>
      <c r="N1603" s="43"/>
      <c r="O1603" s="43"/>
      <c r="P1603" s="43"/>
      <c r="Q1603" s="43"/>
      <c r="R1603" s="43"/>
      <c r="S1603" s="43"/>
      <c r="T1603" s="43"/>
      <c r="U1603" s="43"/>
      <c r="V1603" s="43"/>
    </row>
    <row r="1604" spans="1:22" ht="15.75" customHeight="1" x14ac:dyDescent="0.2">
      <c r="A1604" s="40">
        <v>2947</v>
      </c>
      <c r="B1604" s="41" t="s">
        <v>1270</v>
      </c>
      <c r="C1604" s="42" t="s">
        <v>1711</v>
      </c>
      <c r="D1604" s="42" t="s">
        <v>1366</v>
      </c>
      <c r="E1604" s="42" t="s">
        <v>1712</v>
      </c>
      <c r="F1604" s="42" t="s">
        <v>1657</v>
      </c>
      <c r="G1604" s="42" t="s">
        <v>1207</v>
      </c>
      <c r="H1604" s="43"/>
      <c r="I1604" s="43"/>
      <c r="J1604" s="43"/>
      <c r="K1604" s="43"/>
      <c r="L1604" s="43"/>
      <c r="M1604" s="43"/>
      <c r="N1604" s="43"/>
      <c r="O1604" s="43"/>
      <c r="P1604" s="43"/>
      <c r="Q1604" s="43"/>
      <c r="R1604" s="43"/>
      <c r="S1604" s="43"/>
      <c r="T1604" s="43"/>
      <c r="U1604" s="43"/>
      <c r="V1604" s="43"/>
    </row>
    <row r="1605" spans="1:22" ht="15.75" customHeight="1" x14ac:dyDescent="0.2">
      <c r="A1605" s="40">
        <v>2951</v>
      </c>
      <c r="B1605" s="41" t="s">
        <v>1270</v>
      </c>
      <c r="C1605" s="42" t="s">
        <v>1713</v>
      </c>
      <c r="D1605" s="42" t="s">
        <v>272</v>
      </c>
      <c r="E1605" s="42" t="s">
        <v>457</v>
      </c>
      <c r="F1605" s="42" t="s">
        <v>1657</v>
      </c>
      <c r="G1605" s="42" t="s">
        <v>1207</v>
      </c>
      <c r="H1605" s="43"/>
      <c r="I1605" s="43"/>
      <c r="J1605" s="43"/>
      <c r="K1605" s="43"/>
      <c r="L1605" s="43"/>
      <c r="M1605" s="43"/>
      <c r="N1605" s="43"/>
      <c r="O1605" s="43"/>
      <c r="P1605" s="43"/>
      <c r="Q1605" s="43"/>
      <c r="R1605" s="43"/>
      <c r="S1605" s="43"/>
      <c r="T1605" s="43"/>
      <c r="U1605" s="43"/>
      <c r="V1605" s="43"/>
    </row>
    <row r="1606" spans="1:22" ht="15.75" customHeight="1" x14ac:dyDescent="0.2">
      <c r="A1606" s="40">
        <v>2961</v>
      </c>
      <c r="B1606" s="41" t="s">
        <v>1138</v>
      </c>
      <c r="C1606" s="42" t="s">
        <v>1714</v>
      </c>
      <c r="D1606" s="42" t="s">
        <v>1261</v>
      </c>
      <c r="E1606" s="42" t="s">
        <v>1715</v>
      </c>
      <c r="F1606" s="42" t="s">
        <v>1657</v>
      </c>
      <c r="G1606" s="42" t="s">
        <v>1207</v>
      </c>
      <c r="H1606" s="43"/>
      <c r="I1606" s="43"/>
      <c r="J1606" s="43"/>
      <c r="K1606" s="43"/>
      <c r="L1606" s="43"/>
      <c r="M1606" s="43"/>
      <c r="N1606" s="43"/>
      <c r="O1606" s="43"/>
      <c r="P1606" s="43"/>
      <c r="Q1606" s="43"/>
      <c r="R1606" s="43"/>
      <c r="S1606" s="43"/>
      <c r="T1606" s="43"/>
      <c r="U1606" s="43"/>
      <c r="V1606" s="43"/>
    </row>
    <row r="1607" spans="1:22" ht="15.75" customHeight="1" x14ac:dyDescent="0.2">
      <c r="A1607" s="40">
        <v>2969</v>
      </c>
      <c r="B1607" s="41" t="s">
        <v>1138</v>
      </c>
      <c r="C1607" s="42" t="s">
        <v>1665</v>
      </c>
      <c r="D1607" s="42" t="s">
        <v>183</v>
      </c>
      <c r="E1607" s="42" t="s">
        <v>87</v>
      </c>
      <c r="F1607" s="42" t="s">
        <v>1657</v>
      </c>
      <c r="G1607" s="42" t="s">
        <v>1207</v>
      </c>
      <c r="H1607" s="43"/>
      <c r="I1607" s="43"/>
      <c r="J1607" s="43"/>
      <c r="K1607" s="43"/>
      <c r="L1607" s="43"/>
      <c r="M1607" s="43"/>
      <c r="N1607" s="43"/>
      <c r="O1607" s="43"/>
      <c r="P1607" s="43"/>
      <c r="Q1607" s="43"/>
      <c r="R1607" s="43"/>
      <c r="S1607" s="43"/>
      <c r="T1607" s="43"/>
      <c r="U1607" s="43"/>
      <c r="V1607" s="43"/>
    </row>
    <row r="1608" spans="1:22" ht="15.75" customHeight="1" x14ac:dyDescent="0.2">
      <c r="A1608" s="40">
        <v>2971</v>
      </c>
      <c r="B1608" s="41" t="s">
        <v>1138</v>
      </c>
      <c r="C1608" s="42" t="s">
        <v>1432</v>
      </c>
      <c r="D1608" s="42" t="s">
        <v>128</v>
      </c>
      <c r="E1608" s="42" t="s">
        <v>1431</v>
      </c>
      <c r="F1608" s="42" t="s">
        <v>1657</v>
      </c>
      <c r="G1608" s="42" t="s">
        <v>1207</v>
      </c>
      <c r="H1608" s="43"/>
      <c r="I1608" s="43"/>
      <c r="J1608" s="43"/>
      <c r="K1608" s="43"/>
      <c r="L1608" s="43"/>
      <c r="M1608" s="43"/>
      <c r="N1608" s="43"/>
      <c r="O1608" s="43"/>
      <c r="P1608" s="43"/>
      <c r="Q1608" s="43"/>
      <c r="R1608" s="43"/>
      <c r="S1608" s="43"/>
      <c r="T1608" s="43"/>
      <c r="U1608" s="43"/>
      <c r="V1608" s="43"/>
    </row>
    <row r="1609" spans="1:22" ht="15.75" customHeight="1" x14ac:dyDescent="0.2">
      <c r="A1609" s="40"/>
      <c r="B1609" s="45" t="s">
        <v>118</v>
      </c>
      <c r="C1609" s="46" t="s">
        <v>1658</v>
      </c>
      <c r="D1609" s="46" t="s">
        <v>1716</v>
      </c>
      <c r="E1609" s="46" t="s">
        <v>1717</v>
      </c>
      <c r="F1609" s="46" t="s">
        <v>1657</v>
      </c>
      <c r="G1609" s="46" t="s">
        <v>1207</v>
      </c>
    </row>
    <row r="1610" spans="1:22" ht="15.75" customHeight="1" x14ac:dyDescent="0.2">
      <c r="A1610" s="40"/>
      <c r="B1610" s="45" t="s">
        <v>300</v>
      </c>
      <c r="C1610" s="46" t="s">
        <v>1718</v>
      </c>
      <c r="D1610" s="46" t="s">
        <v>1222</v>
      </c>
      <c r="E1610" s="46" t="s">
        <v>302</v>
      </c>
      <c r="F1610" s="46" t="s">
        <v>1657</v>
      </c>
      <c r="G1610" s="46" t="s">
        <v>1207</v>
      </c>
    </row>
    <row r="1611" spans="1:22" ht="15.75" customHeight="1" x14ac:dyDescent="0.2">
      <c r="A1611" s="40"/>
      <c r="B1611" s="45" t="s">
        <v>102</v>
      </c>
      <c r="C1611" s="46" t="s">
        <v>1718</v>
      </c>
      <c r="D1611" s="46" t="s">
        <v>1222</v>
      </c>
      <c r="E1611" s="46" t="s">
        <v>302</v>
      </c>
      <c r="F1611" s="46" t="s">
        <v>1657</v>
      </c>
      <c r="G1611" s="46" t="s">
        <v>1207</v>
      </c>
    </row>
    <row r="1612" spans="1:22" ht="15.75" customHeight="1" x14ac:dyDescent="0.2">
      <c r="A1612" s="40"/>
      <c r="B1612" s="45" t="s">
        <v>102</v>
      </c>
      <c r="C1612" s="46" t="s">
        <v>1719</v>
      </c>
      <c r="D1612" s="46" t="s">
        <v>353</v>
      </c>
      <c r="E1612" s="46" t="s">
        <v>1200</v>
      </c>
      <c r="F1612" s="46" t="s">
        <v>1657</v>
      </c>
      <c r="G1612" s="46" t="s">
        <v>1207</v>
      </c>
    </row>
    <row r="1613" spans="1:22" ht="15.75" customHeight="1" x14ac:dyDescent="0.2">
      <c r="A1613" s="40"/>
      <c r="B1613" s="45" t="s">
        <v>232</v>
      </c>
      <c r="C1613" s="46" t="s">
        <v>1719</v>
      </c>
      <c r="D1613" s="46" t="s">
        <v>353</v>
      </c>
      <c r="E1613" s="46" t="s">
        <v>1200</v>
      </c>
      <c r="F1613" s="46" t="s">
        <v>1657</v>
      </c>
      <c r="G1613" s="46" t="s">
        <v>1207</v>
      </c>
    </row>
    <row r="1614" spans="1:22" ht="15.75" customHeight="1" x14ac:dyDescent="0.2">
      <c r="A1614" s="40"/>
      <c r="B1614" s="45" t="s">
        <v>102</v>
      </c>
      <c r="C1614" s="46" t="s">
        <v>659</v>
      </c>
      <c r="D1614" s="46" t="s">
        <v>437</v>
      </c>
      <c r="E1614" s="46" t="s">
        <v>32</v>
      </c>
      <c r="F1614" s="46" t="s">
        <v>1657</v>
      </c>
      <c r="G1614" s="46" t="s">
        <v>1207</v>
      </c>
    </row>
    <row r="1615" spans="1:22" ht="15.75" customHeight="1" x14ac:dyDescent="0.2">
      <c r="A1615" s="40"/>
      <c r="B1615" s="45" t="s">
        <v>315</v>
      </c>
      <c r="C1615" s="46" t="s">
        <v>1720</v>
      </c>
      <c r="D1615" s="46" t="s">
        <v>1627</v>
      </c>
      <c r="E1615" s="46" t="s">
        <v>70</v>
      </c>
      <c r="F1615" s="46" t="s">
        <v>1657</v>
      </c>
      <c r="G1615" s="46" t="s">
        <v>1207</v>
      </c>
    </row>
    <row r="1616" spans="1:22" ht="15.75" customHeight="1" x14ac:dyDescent="0.2">
      <c r="A1616" s="40"/>
      <c r="B1616" s="45" t="s">
        <v>323</v>
      </c>
      <c r="C1616" s="46" t="s">
        <v>1720</v>
      </c>
      <c r="D1616" s="46" t="s">
        <v>1627</v>
      </c>
      <c r="E1616" s="46" t="s">
        <v>70</v>
      </c>
      <c r="F1616" s="46" t="s">
        <v>1657</v>
      </c>
      <c r="G1616" s="46" t="s">
        <v>1207</v>
      </c>
    </row>
    <row r="1617" spans="1:22" ht="15.75" customHeight="1" x14ac:dyDescent="0.2">
      <c r="A1617" s="40"/>
      <c r="B1617" s="45" t="s">
        <v>126</v>
      </c>
      <c r="C1617" s="46" t="s">
        <v>1721</v>
      </c>
      <c r="D1617" s="46" t="s">
        <v>1722</v>
      </c>
      <c r="E1617" s="46" t="s">
        <v>251</v>
      </c>
      <c r="F1617" s="46" t="s">
        <v>1657</v>
      </c>
      <c r="G1617" s="46" t="s">
        <v>1207</v>
      </c>
    </row>
    <row r="1618" spans="1:22" ht="15.75" customHeight="1" x14ac:dyDescent="0.2">
      <c r="A1618" s="40"/>
      <c r="B1618" s="45" t="s">
        <v>303</v>
      </c>
      <c r="C1618" s="46" t="s">
        <v>1723</v>
      </c>
      <c r="D1618" s="46" t="s">
        <v>1724</v>
      </c>
      <c r="E1618" s="46" t="s">
        <v>129</v>
      </c>
      <c r="F1618" s="46" t="s">
        <v>1657</v>
      </c>
      <c r="G1618" s="46" t="s">
        <v>1207</v>
      </c>
    </row>
    <row r="1619" spans="1:22" ht="15.75" customHeight="1" x14ac:dyDescent="0.2">
      <c r="A1619" s="40"/>
      <c r="B1619" s="45" t="s">
        <v>315</v>
      </c>
      <c r="C1619" s="46" t="s">
        <v>1725</v>
      </c>
      <c r="D1619" s="46" t="s">
        <v>350</v>
      </c>
      <c r="E1619" s="46" t="s">
        <v>1445</v>
      </c>
      <c r="F1619" s="46" t="s">
        <v>1657</v>
      </c>
      <c r="G1619" s="46" t="s">
        <v>1207</v>
      </c>
    </row>
    <row r="1620" spans="1:22" ht="15.75" customHeight="1" x14ac:dyDescent="0.2">
      <c r="A1620" s="40"/>
      <c r="B1620" s="45" t="s">
        <v>114</v>
      </c>
      <c r="C1620" s="46" t="s">
        <v>1325</v>
      </c>
      <c r="D1620" s="46" t="s">
        <v>124</v>
      </c>
      <c r="E1620" s="46" t="s">
        <v>1726</v>
      </c>
      <c r="F1620" s="46" t="s">
        <v>1657</v>
      </c>
      <c r="G1620" s="46" t="s">
        <v>1207</v>
      </c>
    </row>
    <row r="1621" spans="1:22" ht="15.75" customHeight="1" x14ac:dyDescent="0.2">
      <c r="A1621" s="40"/>
      <c r="B1621" s="45" t="s">
        <v>126</v>
      </c>
      <c r="C1621" s="46" t="s">
        <v>1546</v>
      </c>
      <c r="D1621" s="46" t="s">
        <v>1329</v>
      </c>
      <c r="E1621" s="46" t="s">
        <v>1330</v>
      </c>
      <c r="F1621" s="46" t="s">
        <v>1657</v>
      </c>
      <c r="G1621" s="46" t="s">
        <v>1207</v>
      </c>
    </row>
    <row r="1622" spans="1:22" ht="15.75" customHeight="1" x14ac:dyDescent="0.2">
      <c r="A1622" s="40"/>
      <c r="B1622" s="45" t="s">
        <v>131</v>
      </c>
      <c r="C1622" s="46" t="s">
        <v>1546</v>
      </c>
      <c r="D1622" s="46" t="s">
        <v>1329</v>
      </c>
      <c r="E1622" s="46" t="s">
        <v>1330</v>
      </c>
      <c r="F1622" s="46" t="s">
        <v>1657</v>
      </c>
      <c r="G1622" s="46" t="s">
        <v>1207</v>
      </c>
    </row>
    <row r="1623" spans="1:22" ht="15.75" customHeight="1" x14ac:dyDescent="0.2">
      <c r="A1623" s="40"/>
      <c r="B1623" s="45" t="s">
        <v>102</v>
      </c>
      <c r="C1623" s="46" t="s">
        <v>1727</v>
      </c>
      <c r="D1623" s="46" t="s">
        <v>901</v>
      </c>
      <c r="E1623" s="46" t="s">
        <v>1728</v>
      </c>
      <c r="F1623" s="46" t="s">
        <v>1729</v>
      </c>
      <c r="G1623" s="46" t="s">
        <v>1207</v>
      </c>
      <c r="H1623" s="43"/>
      <c r="I1623" s="43"/>
      <c r="J1623" s="43"/>
      <c r="K1623" s="43"/>
      <c r="L1623" s="43"/>
      <c r="M1623" s="43"/>
      <c r="N1623" s="43"/>
      <c r="O1623" s="43"/>
      <c r="P1623" s="43"/>
      <c r="Q1623" s="43"/>
      <c r="R1623" s="43"/>
      <c r="S1623" s="43"/>
      <c r="T1623" s="43"/>
      <c r="U1623" s="43"/>
      <c r="V1623" s="43"/>
    </row>
    <row r="1624" spans="1:22" ht="15.75" customHeight="1" x14ac:dyDescent="0.2">
      <c r="A1624" s="40"/>
      <c r="B1624" s="45" t="s">
        <v>315</v>
      </c>
      <c r="C1624" s="46" t="s">
        <v>1727</v>
      </c>
      <c r="D1624" s="46" t="s">
        <v>917</v>
      </c>
      <c r="E1624" s="46" t="s">
        <v>1728</v>
      </c>
      <c r="F1624" s="46" t="s">
        <v>1729</v>
      </c>
      <c r="G1624" s="46" t="s">
        <v>1207</v>
      </c>
      <c r="H1624" s="43"/>
      <c r="I1624" s="43"/>
      <c r="J1624" s="43"/>
      <c r="K1624" s="43"/>
      <c r="L1624" s="43"/>
      <c r="M1624" s="43"/>
      <c r="N1624" s="43"/>
      <c r="O1624" s="43"/>
      <c r="P1624" s="43"/>
      <c r="Q1624" s="43"/>
      <c r="R1624" s="43"/>
      <c r="S1624" s="43"/>
      <c r="T1624" s="43"/>
      <c r="U1624" s="43"/>
      <c r="V1624" s="43"/>
    </row>
    <row r="1625" spans="1:22" ht="15.75" customHeight="1" x14ac:dyDescent="0.2">
      <c r="A1625" s="40"/>
      <c r="B1625" s="45" t="s">
        <v>323</v>
      </c>
      <c r="C1625" s="46" t="s">
        <v>1730</v>
      </c>
      <c r="D1625" s="46" t="s">
        <v>139</v>
      </c>
      <c r="E1625" s="46" t="s">
        <v>306</v>
      </c>
      <c r="F1625" s="46" t="s">
        <v>1729</v>
      </c>
      <c r="G1625" s="46" t="s">
        <v>1207</v>
      </c>
      <c r="H1625" s="43"/>
      <c r="I1625" s="43"/>
      <c r="J1625" s="43"/>
      <c r="K1625" s="43"/>
      <c r="L1625" s="43"/>
      <c r="M1625" s="43"/>
      <c r="N1625" s="43"/>
      <c r="O1625" s="43"/>
      <c r="P1625" s="43"/>
      <c r="Q1625" s="43"/>
      <c r="R1625" s="43"/>
      <c r="S1625" s="43"/>
      <c r="T1625" s="43"/>
      <c r="U1625" s="43"/>
      <c r="V1625" s="43"/>
    </row>
    <row r="1626" spans="1:22" ht="15.75" customHeight="1" x14ac:dyDescent="0.2">
      <c r="A1626" s="40"/>
      <c r="B1626" s="45" t="s">
        <v>297</v>
      </c>
      <c r="C1626" s="46" t="s">
        <v>1730</v>
      </c>
      <c r="D1626" s="46" t="s">
        <v>139</v>
      </c>
      <c r="E1626" s="46" t="s">
        <v>306</v>
      </c>
      <c r="F1626" s="46" t="s">
        <v>1729</v>
      </c>
      <c r="G1626" s="46" t="s">
        <v>1207</v>
      </c>
      <c r="H1626" s="43"/>
      <c r="I1626" s="43"/>
      <c r="J1626" s="43"/>
      <c r="K1626" s="43"/>
      <c r="L1626" s="43"/>
      <c r="M1626" s="43"/>
      <c r="N1626" s="43"/>
      <c r="O1626" s="43"/>
      <c r="P1626" s="43"/>
      <c r="Q1626" s="43"/>
      <c r="R1626" s="43"/>
      <c r="S1626" s="43"/>
      <c r="T1626" s="43"/>
      <c r="U1626" s="43"/>
      <c r="V1626" s="43"/>
    </row>
    <row r="1627" spans="1:22" ht="15.75" customHeight="1" x14ac:dyDescent="0.2">
      <c r="A1627" s="40">
        <v>205</v>
      </c>
      <c r="B1627" s="41" t="s">
        <v>1008</v>
      </c>
      <c r="C1627" s="42" t="s">
        <v>1336</v>
      </c>
      <c r="D1627" s="42" t="s">
        <v>1731</v>
      </c>
      <c r="E1627" s="42" t="s">
        <v>79</v>
      </c>
      <c r="F1627" s="42" t="s">
        <v>1729</v>
      </c>
      <c r="G1627" s="42" t="s">
        <v>1207</v>
      </c>
      <c r="H1627" s="43"/>
      <c r="I1627" s="43"/>
      <c r="J1627" s="43"/>
      <c r="K1627" s="43"/>
      <c r="L1627" s="43"/>
      <c r="M1627" s="43"/>
      <c r="N1627" s="43"/>
      <c r="O1627" s="43"/>
      <c r="P1627" s="43"/>
      <c r="Q1627" s="43"/>
      <c r="R1627" s="43"/>
      <c r="S1627" s="43"/>
      <c r="T1627" s="43"/>
      <c r="U1627" s="43"/>
      <c r="V1627" s="43"/>
    </row>
    <row r="1628" spans="1:22" ht="15.75" customHeight="1" x14ac:dyDescent="0.2">
      <c r="A1628" s="40"/>
      <c r="B1628" s="45" t="s">
        <v>122</v>
      </c>
      <c r="C1628" s="46" t="s">
        <v>1336</v>
      </c>
      <c r="D1628" s="46" t="s">
        <v>266</v>
      </c>
      <c r="E1628" s="46" t="s">
        <v>1330</v>
      </c>
      <c r="F1628" s="46" t="s">
        <v>1729</v>
      </c>
      <c r="G1628" s="46" t="s">
        <v>1207</v>
      </c>
      <c r="H1628" s="43"/>
      <c r="I1628" s="43"/>
      <c r="J1628" s="43"/>
      <c r="K1628" s="43"/>
      <c r="L1628" s="43"/>
      <c r="M1628" s="43"/>
      <c r="N1628" s="43"/>
      <c r="O1628" s="43"/>
      <c r="P1628" s="43"/>
      <c r="Q1628" s="43"/>
      <c r="R1628" s="43"/>
      <c r="S1628" s="43"/>
      <c r="T1628" s="43"/>
      <c r="U1628" s="43"/>
      <c r="V1628" s="43"/>
    </row>
    <row r="1629" spans="1:22" ht="15.75" customHeight="1" x14ac:dyDescent="0.2">
      <c r="A1629" s="40">
        <v>363</v>
      </c>
      <c r="B1629" s="41" t="s">
        <v>246</v>
      </c>
      <c r="C1629" s="42" t="s">
        <v>1732</v>
      </c>
      <c r="D1629" s="42" t="s">
        <v>1461</v>
      </c>
      <c r="E1629" s="42" t="s">
        <v>876</v>
      </c>
      <c r="F1629" s="42" t="s">
        <v>1729</v>
      </c>
      <c r="G1629" s="42" t="s">
        <v>1207</v>
      </c>
      <c r="H1629" s="43"/>
      <c r="I1629" s="43"/>
      <c r="J1629" s="43"/>
      <c r="K1629" s="43"/>
      <c r="L1629" s="43"/>
      <c r="M1629" s="43"/>
      <c r="N1629" s="43"/>
      <c r="O1629" s="43"/>
      <c r="P1629" s="43"/>
      <c r="Q1629" s="43"/>
      <c r="R1629" s="43"/>
      <c r="S1629" s="43"/>
      <c r="T1629" s="43"/>
      <c r="U1629" s="43"/>
      <c r="V1629" s="43"/>
    </row>
    <row r="1630" spans="1:22" ht="15.75" customHeight="1" x14ac:dyDescent="0.2">
      <c r="A1630" s="40">
        <v>409</v>
      </c>
      <c r="B1630" s="41" t="s">
        <v>1299</v>
      </c>
      <c r="C1630" s="42" t="s">
        <v>1732</v>
      </c>
      <c r="D1630" s="42" t="s">
        <v>1461</v>
      </c>
      <c r="E1630" s="42" t="s">
        <v>876</v>
      </c>
      <c r="F1630" s="42" t="s">
        <v>1729</v>
      </c>
      <c r="G1630" s="42" t="s">
        <v>1207</v>
      </c>
      <c r="H1630" s="43"/>
      <c r="I1630" s="43"/>
      <c r="J1630" s="43"/>
      <c r="K1630" s="43"/>
      <c r="L1630" s="43"/>
      <c r="M1630" s="43"/>
      <c r="N1630" s="43"/>
      <c r="O1630" s="43"/>
      <c r="P1630" s="43"/>
      <c r="Q1630" s="43"/>
      <c r="R1630" s="43"/>
      <c r="S1630" s="43"/>
      <c r="T1630" s="43"/>
      <c r="U1630" s="43"/>
      <c r="V1630" s="43"/>
    </row>
    <row r="1631" spans="1:22" ht="15.75" customHeight="1" x14ac:dyDescent="0.2">
      <c r="A1631" s="40">
        <v>1673</v>
      </c>
      <c r="B1631" s="41" t="s">
        <v>270</v>
      </c>
      <c r="C1631" s="42" t="s">
        <v>1732</v>
      </c>
      <c r="D1631" s="42" t="s">
        <v>1733</v>
      </c>
      <c r="E1631" s="42" t="s">
        <v>876</v>
      </c>
      <c r="F1631" s="42" t="s">
        <v>1729</v>
      </c>
      <c r="G1631" s="42" t="s">
        <v>1207</v>
      </c>
      <c r="H1631" s="43"/>
      <c r="I1631" s="43"/>
      <c r="J1631" s="43"/>
      <c r="K1631" s="43"/>
      <c r="L1631" s="43"/>
      <c r="M1631" s="43"/>
      <c r="N1631" s="43"/>
      <c r="O1631" s="43"/>
      <c r="P1631" s="43"/>
      <c r="Q1631" s="43"/>
      <c r="R1631" s="43"/>
      <c r="S1631" s="43"/>
      <c r="T1631" s="43"/>
      <c r="U1631" s="43"/>
      <c r="V1631" s="43"/>
    </row>
    <row r="1632" spans="1:22" ht="15.75" customHeight="1" x14ac:dyDescent="0.2">
      <c r="A1632" s="40">
        <v>1925</v>
      </c>
      <c r="B1632" s="41" t="s">
        <v>278</v>
      </c>
      <c r="C1632" s="42" t="s">
        <v>1732</v>
      </c>
      <c r="D1632" s="42" t="s">
        <v>1733</v>
      </c>
      <c r="E1632" s="42" t="s">
        <v>876</v>
      </c>
      <c r="F1632" s="42" t="s">
        <v>1729</v>
      </c>
      <c r="G1632" s="42" t="s">
        <v>1207</v>
      </c>
      <c r="H1632" s="43"/>
      <c r="I1632" s="43"/>
      <c r="J1632" s="43"/>
      <c r="K1632" s="43"/>
      <c r="L1632" s="43"/>
      <c r="M1632" s="43"/>
      <c r="N1632" s="43"/>
      <c r="O1632" s="43"/>
      <c r="P1632" s="43"/>
      <c r="Q1632" s="43"/>
      <c r="R1632" s="43"/>
      <c r="S1632" s="43"/>
      <c r="T1632" s="43"/>
      <c r="U1632" s="43"/>
      <c r="V1632" s="43"/>
    </row>
    <row r="1633" spans="1:22" ht="15.75" customHeight="1" x14ac:dyDescent="0.2">
      <c r="A1633" s="40">
        <v>2185</v>
      </c>
      <c r="B1633" s="41" t="s">
        <v>282</v>
      </c>
      <c r="C1633" s="42" t="s">
        <v>1732</v>
      </c>
      <c r="D1633" s="42" t="s">
        <v>1733</v>
      </c>
      <c r="E1633" s="42" t="s">
        <v>876</v>
      </c>
      <c r="F1633" s="42" t="s">
        <v>1729</v>
      </c>
      <c r="G1633" s="42" t="s">
        <v>1207</v>
      </c>
      <c r="H1633" s="43"/>
      <c r="I1633" s="43"/>
      <c r="J1633" s="43"/>
      <c r="K1633" s="43"/>
      <c r="L1633" s="43"/>
      <c r="M1633" s="43"/>
      <c r="N1633" s="43"/>
      <c r="O1633" s="43"/>
      <c r="P1633" s="43"/>
      <c r="Q1633" s="43"/>
      <c r="R1633" s="43"/>
      <c r="S1633" s="43"/>
      <c r="T1633" s="43"/>
      <c r="U1633" s="43"/>
      <c r="V1633" s="43"/>
    </row>
    <row r="1634" spans="1:22" ht="15.75" customHeight="1" x14ac:dyDescent="0.2">
      <c r="A1634" s="40">
        <v>2741</v>
      </c>
      <c r="B1634" s="41" t="s">
        <v>944</v>
      </c>
      <c r="C1634" s="42" t="s">
        <v>1732</v>
      </c>
      <c r="D1634" s="42" t="s">
        <v>1734</v>
      </c>
      <c r="E1634" s="42" t="s">
        <v>876</v>
      </c>
      <c r="F1634" s="42" t="s">
        <v>1729</v>
      </c>
      <c r="G1634" s="42" t="s">
        <v>1207</v>
      </c>
      <c r="H1634" s="43"/>
      <c r="I1634" s="43"/>
      <c r="J1634" s="43"/>
      <c r="K1634" s="43"/>
      <c r="L1634" s="43"/>
      <c r="M1634" s="43"/>
      <c r="N1634" s="43"/>
      <c r="O1634" s="43"/>
      <c r="P1634" s="43"/>
      <c r="Q1634" s="43"/>
      <c r="R1634" s="43"/>
      <c r="S1634" s="43"/>
      <c r="T1634" s="43"/>
      <c r="U1634" s="43"/>
      <c r="V1634" s="43"/>
    </row>
    <row r="1635" spans="1:22" ht="15.75" customHeight="1" x14ac:dyDescent="0.2">
      <c r="A1635" s="40">
        <v>2839</v>
      </c>
      <c r="B1635" s="41" t="s">
        <v>654</v>
      </c>
      <c r="C1635" s="42" t="s">
        <v>1732</v>
      </c>
      <c r="D1635" s="42" t="s">
        <v>1734</v>
      </c>
      <c r="E1635" s="42" t="s">
        <v>876</v>
      </c>
      <c r="F1635" s="42" t="s">
        <v>1729</v>
      </c>
      <c r="G1635" s="42" t="s">
        <v>1207</v>
      </c>
      <c r="H1635" s="43"/>
      <c r="I1635" s="43"/>
      <c r="J1635" s="43"/>
      <c r="K1635" s="43"/>
      <c r="L1635" s="43"/>
      <c r="M1635" s="43"/>
      <c r="N1635" s="43"/>
      <c r="O1635" s="43"/>
      <c r="P1635" s="43"/>
      <c r="Q1635" s="43"/>
      <c r="R1635" s="43"/>
      <c r="S1635" s="43"/>
      <c r="T1635" s="43"/>
      <c r="U1635" s="43"/>
      <c r="V1635" s="43"/>
    </row>
    <row r="1636" spans="1:22" ht="15.75" customHeight="1" x14ac:dyDescent="0.2">
      <c r="A1636" s="40">
        <v>1011</v>
      </c>
      <c r="B1636" s="41" t="s">
        <v>1076</v>
      </c>
      <c r="C1636" s="42" t="s">
        <v>191</v>
      </c>
      <c r="D1636" s="42" t="s">
        <v>1237</v>
      </c>
      <c r="E1636" s="42" t="s">
        <v>1223</v>
      </c>
      <c r="F1636" s="42" t="s">
        <v>1729</v>
      </c>
      <c r="G1636" s="42" t="s">
        <v>1207</v>
      </c>
      <c r="H1636" s="43"/>
      <c r="I1636" s="43"/>
      <c r="J1636" s="43"/>
      <c r="K1636" s="43"/>
      <c r="L1636" s="43"/>
      <c r="M1636" s="43"/>
      <c r="N1636" s="43"/>
      <c r="O1636" s="43"/>
      <c r="P1636" s="43"/>
      <c r="Q1636" s="43"/>
      <c r="R1636" s="43"/>
      <c r="S1636" s="43"/>
      <c r="T1636" s="43"/>
      <c r="U1636" s="43"/>
      <c r="V1636" s="43"/>
    </row>
    <row r="1637" spans="1:22" ht="15.75" customHeight="1" x14ac:dyDescent="0.2">
      <c r="A1637" s="40">
        <v>1711</v>
      </c>
      <c r="B1637" s="41" t="s">
        <v>1345</v>
      </c>
      <c r="C1637" s="42" t="s">
        <v>191</v>
      </c>
      <c r="D1637" s="42" t="s">
        <v>1237</v>
      </c>
      <c r="E1637" s="42" t="s">
        <v>1223</v>
      </c>
      <c r="F1637" s="42" t="s">
        <v>1729</v>
      </c>
      <c r="G1637" s="42" t="s">
        <v>1207</v>
      </c>
      <c r="H1637" s="43"/>
      <c r="I1637" s="43"/>
      <c r="J1637" s="43"/>
      <c r="K1637" s="43"/>
      <c r="L1637" s="43"/>
      <c r="M1637" s="43"/>
      <c r="N1637" s="43"/>
      <c r="O1637" s="43"/>
      <c r="P1637" s="43"/>
      <c r="Q1637" s="43"/>
      <c r="R1637" s="43"/>
      <c r="S1637" s="43"/>
      <c r="T1637" s="43"/>
      <c r="U1637" s="43"/>
      <c r="V1637" s="43"/>
    </row>
    <row r="1638" spans="1:22" ht="15.75" customHeight="1" x14ac:dyDescent="0.2">
      <c r="A1638" s="40">
        <v>1305</v>
      </c>
      <c r="B1638" s="41" t="s">
        <v>936</v>
      </c>
      <c r="C1638" s="42" t="s">
        <v>417</v>
      </c>
      <c r="D1638" s="42" t="s">
        <v>516</v>
      </c>
      <c r="E1638" s="42" t="s">
        <v>306</v>
      </c>
      <c r="F1638" s="42" t="s">
        <v>1729</v>
      </c>
      <c r="G1638" s="42" t="s">
        <v>1207</v>
      </c>
      <c r="H1638" s="43"/>
      <c r="I1638" s="43"/>
      <c r="J1638" s="43"/>
      <c r="K1638" s="43"/>
      <c r="L1638" s="43"/>
      <c r="M1638" s="43"/>
      <c r="N1638" s="43"/>
      <c r="O1638" s="43"/>
      <c r="P1638" s="43"/>
      <c r="Q1638" s="43"/>
      <c r="R1638" s="43"/>
      <c r="S1638" s="43"/>
      <c r="T1638" s="43"/>
      <c r="U1638" s="43"/>
      <c r="V1638" s="43"/>
    </row>
    <row r="1639" spans="1:22" ht="15.75" customHeight="1" x14ac:dyDescent="0.2">
      <c r="A1639" s="40">
        <v>1775</v>
      </c>
      <c r="B1639" s="41" t="s">
        <v>442</v>
      </c>
      <c r="C1639" s="42" t="s">
        <v>417</v>
      </c>
      <c r="D1639" s="42" t="s">
        <v>516</v>
      </c>
      <c r="E1639" s="42" t="s">
        <v>306</v>
      </c>
      <c r="F1639" s="42" t="s">
        <v>1729</v>
      </c>
      <c r="G1639" s="42" t="s">
        <v>1207</v>
      </c>
      <c r="H1639" s="43"/>
      <c r="I1639" s="43"/>
      <c r="J1639" s="43"/>
      <c r="K1639" s="43"/>
      <c r="L1639" s="43"/>
      <c r="M1639" s="43"/>
      <c r="N1639" s="43"/>
      <c r="O1639" s="43"/>
      <c r="P1639" s="43"/>
      <c r="Q1639" s="43"/>
      <c r="R1639" s="43"/>
      <c r="S1639" s="43"/>
      <c r="T1639" s="43"/>
      <c r="U1639" s="43"/>
      <c r="V1639" s="43"/>
    </row>
    <row r="1640" spans="1:22" ht="15.75" customHeight="1" x14ac:dyDescent="0.2">
      <c r="A1640" s="40">
        <v>1009</v>
      </c>
      <c r="B1640" s="41" t="s">
        <v>1076</v>
      </c>
      <c r="C1640" s="42" t="s">
        <v>1735</v>
      </c>
      <c r="D1640" s="42" t="s">
        <v>124</v>
      </c>
      <c r="E1640" s="42" t="s">
        <v>40</v>
      </c>
      <c r="F1640" s="42" t="s">
        <v>1729</v>
      </c>
      <c r="G1640" s="42" t="s">
        <v>1207</v>
      </c>
      <c r="H1640" s="43"/>
      <c r="I1640" s="43"/>
      <c r="J1640" s="43"/>
      <c r="K1640" s="43"/>
      <c r="L1640" s="43"/>
      <c r="M1640" s="43"/>
      <c r="N1640" s="43"/>
      <c r="O1640" s="43"/>
      <c r="P1640" s="43"/>
      <c r="Q1640" s="43"/>
      <c r="R1640" s="43"/>
      <c r="S1640" s="43"/>
      <c r="T1640" s="43"/>
      <c r="U1640" s="43"/>
      <c r="V1640" s="43"/>
    </row>
    <row r="1641" spans="1:22" ht="15.75" customHeight="1" x14ac:dyDescent="0.2">
      <c r="A1641" s="40">
        <v>1709</v>
      </c>
      <c r="B1641" s="41" t="s">
        <v>1345</v>
      </c>
      <c r="C1641" s="42" t="s">
        <v>1735</v>
      </c>
      <c r="D1641" s="42" t="s">
        <v>124</v>
      </c>
      <c r="E1641" s="42" t="s">
        <v>40</v>
      </c>
      <c r="F1641" s="42" t="s">
        <v>1729</v>
      </c>
      <c r="G1641" s="42" t="s">
        <v>1207</v>
      </c>
      <c r="H1641" s="43"/>
      <c r="I1641" s="43"/>
      <c r="J1641" s="43"/>
      <c r="K1641" s="43"/>
      <c r="L1641" s="43"/>
      <c r="M1641" s="43"/>
      <c r="N1641" s="43"/>
      <c r="O1641" s="43"/>
      <c r="P1641" s="43"/>
      <c r="Q1641" s="43"/>
      <c r="R1641" s="43"/>
      <c r="S1641" s="43"/>
      <c r="T1641" s="43"/>
      <c r="U1641" s="43"/>
      <c r="V1641" s="43"/>
    </row>
    <row r="1642" spans="1:22" ht="15.75" customHeight="1" x14ac:dyDescent="0.2">
      <c r="A1642" s="40">
        <v>1407</v>
      </c>
      <c r="B1642" s="41" t="s">
        <v>386</v>
      </c>
      <c r="C1642" s="42" t="s">
        <v>1736</v>
      </c>
      <c r="D1642" s="42" t="s">
        <v>1254</v>
      </c>
      <c r="E1642" s="42" t="s">
        <v>1737</v>
      </c>
      <c r="F1642" s="42" t="s">
        <v>1729</v>
      </c>
      <c r="G1642" s="42" t="s">
        <v>1207</v>
      </c>
      <c r="H1642" s="43"/>
      <c r="I1642" s="43"/>
      <c r="J1642" s="43"/>
      <c r="K1642" s="43"/>
      <c r="L1642" s="43"/>
      <c r="M1642" s="43"/>
      <c r="N1642" s="43"/>
      <c r="O1642" s="43"/>
      <c r="P1642" s="43"/>
      <c r="Q1642" s="43"/>
      <c r="R1642" s="43"/>
      <c r="S1642" s="43"/>
      <c r="T1642" s="43"/>
      <c r="U1642" s="43"/>
      <c r="V1642" s="43"/>
    </row>
    <row r="1643" spans="1:22" ht="15.75" customHeight="1" x14ac:dyDescent="0.2">
      <c r="A1643" s="40">
        <v>1007</v>
      </c>
      <c r="B1643" s="41" t="s">
        <v>1076</v>
      </c>
      <c r="C1643" s="42" t="s">
        <v>1738</v>
      </c>
      <c r="D1643" s="42" t="s">
        <v>28</v>
      </c>
      <c r="E1643" s="42" t="s">
        <v>302</v>
      </c>
      <c r="F1643" s="42" t="s">
        <v>1729</v>
      </c>
      <c r="G1643" s="42" t="s">
        <v>1207</v>
      </c>
      <c r="H1643" s="43"/>
      <c r="I1643" s="43"/>
      <c r="J1643" s="43"/>
      <c r="K1643" s="43"/>
      <c r="L1643" s="43"/>
      <c r="M1643" s="43"/>
      <c r="N1643" s="43"/>
      <c r="O1643" s="43"/>
      <c r="P1643" s="43"/>
      <c r="Q1643" s="43"/>
      <c r="R1643" s="43"/>
      <c r="S1643" s="43"/>
      <c r="T1643" s="43"/>
      <c r="U1643" s="43"/>
      <c r="V1643" s="43"/>
    </row>
    <row r="1644" spans="1:22" ht="15.75" customHeight="1" x14ac:dyDescent="0.2">
      <c r="A1644" s="40">
        <v>1707</v>
      </c>
      <c r="B1644" s="41" t="s">
        <v>1345</v>
      </c>
      <c r="C1644" s="42" t="s">
        <v>1738</v>
      </c>
      <c r="D1644" s="42" t="s">
        <v>28</v>
      </c>
      <c r="E1644" s="42" t="s">
        <v>302</v>
      </c>
      <c r="F1644" s="42" t="s">
        <v>1729</v>
      </c>
      <c r="G1644" s="42" t="s">
        <v>1207</v>
      </c>
      <c r="H1644" s="43"/>
      <c r="I1644" s="43"/>
      <c r="J1644" s="43"/>
      <c r="K1644" s="43"/>
      <c r="L1644" s="43"/>
      <c r="M1644" s="43"/>
      <c r="N1644" s="43"/>
      <c r="O1644" s="43"/>
      <c r="P1644" s="43"/>
      <c r="Q1644" s="43"/>
      <c r="R1644" s="43"/>
      <c r="S1644" s="43"/>
      <c r="T1644" s="43"/>
      <c r="U1644" s="43"/>
      <c r="V1644" s="43"/>
    </row>
    <row r="1645" spans="1:22" ht="15.75" customHeight="1" x14ac:dyDescent="0.2">
      <c r="A1645" s="40"/>
      <c r="B1645" s="45" t="s">
        <v>121</v>
      </c>
      <c r="C1645" s="46" t="s">
        <v>1087</v>
      </c>
      <c r="D1645" s="46" t="s">
        <v>388</v>
      </c>
      <c r="E1645" s="46" t="s">
        <v>1739</v>
      </c>
      <c r="F1645" s="46" t="s">
        <v>1729</v>
      </c>
      <c r="G1645" s="46" t="s">
        <v>1207</v>
      </c>
      <c r="H1645" s="43"/>
      <c r="I1645" s="43"/>
      <c r="J1645" s="43"/>
      <c r="K1645" s="43"/>
      <c r="L1645" s="43"/>
      <c r="M1645" s="43"/>
      <c r="N1645" s="43"/>
      <c r="O1645" s="43"/>
      <c r="P1645" s="43"/>
      <c r="Q1645" s="43"/>
      <c r="R1645" s="43"/>
      <c r="S1645" s="43"/>
      <c r="T1645" s="43"/>
      <c r="U1645" s="43"/>
      <c r="V1645" s="43"/>
    </row>
    <row r="1646" spans="1:22" ht="15.75" customHeight="1" x14ac:dyDescent="0.2">
      <c r="A1646" s="40"/>
      <c r="B1646" s="45" t="s">
        <v>315</v>
      </c>
      <c r="C1646" s="46" t="s">
        <v>1087</v>
      </c>
      <c r="D1646" s="46" t="s">
        <v>388</v>
      </c>
      <c r="E1646" s="46" t="s">
        <v>1739</v>
      </c>
      <c r="F1646" s="46" t="s">
        <v>1729</v>
      </c>
      <c r="G1646" s="46" t="s">
        <v>1207</v>
      </c>
      <c r="H1646" s="43"/>
      <c r="I1646" s="43"/>
      <c r="J1646" s="43"/>
      <c r="K1646" s="43"/>
      <c r="L1646" s="43"/>
      <c r="M1646" s="43"/>
      <c r="N1646" s="43"/>
      <c r="O1646" s="43"/>
      <c r="P1646" s="43"/>
      <c r="Q1646" s="43"/>
      <c r="R1646" s="43"/>
      <c r="S1646" s="43"/>
      <c r="T1646" s="43"/>
      <c r="U1646" s="43"/>
      <c r="V1646" s="43"/>
    </row>
    <row r="1647" spans="1:22" ht="15.75" customHeight="1" x14ac:dyDescent="0.2">
      <c r="A1647" s="40">
        <v>1037</v>
      </c>
      <c r="B1647" s="41" t="s">
        <v>464</v>
      </c>
      <c r="C1647" s="42" t="s">
        <v>1740</v>
      </c>
      <c r="D1647" s="42" t="s">
        <v>973</v>
      </c>
      <c r="E1647" s="42" t="s">
        <v>393</v>
      </c>
      <c r="F1647" s="42" t="s">
        <v>1729</v>
      </c>
      <c r="G1647" s="42" t="s">
        <v>1207</v>
      </c>
      <c r="H1647" s="43"/>
      <c r="I1647" s="43"/>
      <c r="J1647" s="43"/>
      <c r="K1647" s="43"/>
      <c r="L1647" s="43"/>
      <c r="M1647" s="43"/>
      <c r="N1647" s="43"/>
      <c r="O1647" s="43"/>
      <c r="P1647" s="43"/>
      <c r="Q1647" s="43"/>
      <c r="R1647" s="43"/>
      <c r="S1647" s="43"/>
      <c r="T1647" s="43"/>
      <c r="U1647" s="43"/>
      <c r="V1647" s="43"/>
    </row>
    <row r="1648" spans="1:22" ht="15.75" customHeight="1" x14ac:dyDescent="0.2">
      <c r="A1648" s="40">
        <v>2061</v>
      </c>
      <c r="B1648" s="41" t="s">
        <v>653</v>
      </c>
      <c r="C1648" s="42" t="s">
        <v>1740</v>
      </c>
      <c r="D1648" s="42" t="s">
        <v>973</v>
      </c>
      <c r="E1648" s="42" t="s">
        <v>393</v>
      </c>
      <c r="F1648" s="42" t="s">
        <v>1729</v>
      </c>
      <c r="G1648" s="42" t="s">
        <v>1207</v>
      </c>
      <c r="H1648" s="43"/>
      <c r="I1648" s="43"/>
      <c r="J1648" s="43"/>
      <c r="K1648" s="43"/>
      <c r="L1648" s="43"/>
      <c r="M1648" s="43"/>
      <c r="N1648" s="43"/>
      <c r="O1648" s="43"/>
      <c r="P1648" s="43"/>
      <c r="Q1648" s="43"/>
      <c r="R1648" s="43"/>
      <c r="S1648" s="43"/>
      <c r="T1648" s="43"/>
      <c r="U1648" s="43"/>
      <c r="V1648" s="43"/>
    </row>
    <row r="1649" spans="1:22" ht="15.75" customHeight="1" x14ac:dyDescent="0.2">
      <c r="A1649" s="40"/>
      <c r="B1649" s="45" t="s">
        <v>118</v>
      </c>
      <c r="C1649" s="46" t="s">
        <v>1741</v>
      </c>
      <c r="D1649" s="46" t="s">
        <v>529</v>
      </c>
      <c r="E1649" s="46" t="s">
        <v>259</v>
      </c>
      <c r="F1649" s="46" t="s">
        <v>1729</v>
      </c>
      <c r="G1649" s="46" t="s">
        <v>1207</v>
      </c>
      <c r="H1649" s="43"/>
      <c r="I1649" s="43"/>
      <c r="J1649" s="43"/>
      <c r="K1649" s="43"/>
      <c r="L1649" s="43"/>
      <c r="M1649" s="43"/>
      <c r="N1649" s="43"/>
      <c r="O1649" s="43"/>
      <c r="P1649" s="43"/>
      <c r="Q1649" s="43"/>
      <c r="R1649" s="43"/>
      <c r="S1649" s="43"/>
      <c r="T1649" s="43"/>
      <c r="U1649" s="43"/>
      <c r="V1649" s="43"/>
    </row>
    <row r="1650" spans="1:22" ht="15.75" customHeight="1" x14ac:dyDescent="0.2">
      <c r="A1650" s="40"/>
      <c r="B1650" s="45" t="s">
        <v>121</v>
      </c>
      <c r="C1650" s="46" t="s">
        <v>1741</v>
      </c>
      <c r="D1650" s="46" t="s">
        <v>529</v>
      </c>
      <c r="E1650" s="46" t="s">
        <v>259</v>
      </c>
      <c r="F1650" s="46" t="s">
        <v>1729</v>
      </c>
      <c r="G1650" s="46" t="s">
        <v>1207</v>
      </c>
      <c r="H1650" s="43"/>
      <c r="I1650" s="43"/>
      <c r="J1650" s="43"/>
      <c r="K1650" s="43"/>
      <c r="L1650" s="43"/>
      <c r="M1650" s="43"/>
      <c r="N1650" s="43"/>
      <c r="O1650" s="43"/>
      <c r="P1650" s="43"/>
      <c r="Q1650" s="43"/>
      <c r="R1650" s="43"/>
      <c r="S1650" s="43"/>
      <c r="T1650" s="43"/>
      <c r="U1650" s="43"/>
      <c r="V1650" s="43"/>
    </row>
    <row r="1651" spans="1:22" ht="15.75" customHeight="1" x14ac:dyDescent="0.2">
      <c r="A1651" s="40"/>
      <c r="B1651" s="45" t="s">
        <v>296</v>
      </c>
      <c r="C1651" s="46" t="s">
        <v>1742</v>
      </c>
      <c r="D1651" s="46" t="s">
        <v>456</v>
      </c>
      <c r="E1651" s="46" t="s">
        <v>87</v>
      </c>
      <c r="F1651" s="46" t="s">
        <v>1729</v>
      </c>
      <c r="G1651" s="46" t="s">
        <v>1207</v>
      </c>
      <c r="H1651" s="43"/>
      <c r="I1651" s="43"/>
      <c r="J1651" s="43"/>
      <c r="K1651" s="43"/>
      <c r="L1651" s="43"/>
      <c r="M1651" s="43"/>
      <c r="N1651" s="43"/>
      <c r="O1651" s="43"/>
      <c r="P1651" s="43"/>
      <c r="Q1651" s="43"/>
      <c r="R1651" s="43"/>
      <c r="S1651" s="43"/>
      <c r="T1651" s="43"/>
      <c r="U1651" s="43"/>
      <c r="V1651" s="43"/>
    </row>
    <row r="1652" spans="1:22" ht="15.75" customHeight="1" x14ac:dyDescent="0.2">
      <c r="A1652" s="40"/>
      <c r="B1652" s="45" t="s">
        <v>238</v>
      </c>
      <c r="C1652" s="46" t="s">
        <v>1742</v>
      </c>
      <c r="D1652" s="46" t="s">
        <v>456</v>
      </c>
      <c r="E1652" s="46" t="s">
        <v>87</v>
      </c>
      <c r="F1652" s="46" t="s">
        <v>1729</v>
      </c>
      <c r="G1652" s="46" t="s">
        <v>1207</v>
      </c>
      <c r="H1652" s="43"/>
      <c r="I1652" s="43"/>
      <c r="J1652" s="43"/>
      <c r="K1652" s="43"/>
      <c r="L1652" s="43"/>
      <c r="M1652" s="43"/>
      <c r="N1652" s="43"/>
      <c r="O1652" s="43"/>
      <c r="P1652" s="43"/>
      <c r="Q1652" s="43"/>
      <c r="R1652" s="43"/>
      <c r="S1652" s="43"/>
      <c r="T1652" s="43"/>
      <c r="U1652" s="43"/>
      <c r="V1652" s="43"/>
    </row>
    <row r="1653" spans="1:22" ht="15.75" customHeight="1" x14ac:dyDescent="0.2">
      <c r="A1653" s="40">
        <v>1675</v>
      </c>
      <c r="B1653" s="41" t="s">
        <v>270</v>
      </c>
      <c r="C1653" s="42" t="s">
        <v>1743</v>
      </c>
      <c r="D1653" s="42" t="s">
        <v>1070</v>
      </c>
      <c r="E1653" s="42" t="s">
        <v>1217</v>
      </c>
      <c r="F1653" s="42" t="s">
        <v>1729</v>
      </c>
      <c r="G1653" s="42" t="s">
        <v>1207</v>
      </c>
      <c r="H1653" s="43"/>
      <c r="I1653" s="43"/>
      <c r="J1653" s="43"/>
      <c r="K1653" s="43"/>
      <c r="L1653" s="43"/>
      <c r="M1653" s="43"/>
      <c r="N1653" s="43"/>
      <c r="O1653" s="43"/>
      <c r="P1653" s="43"/>
      <c r="Q1653" s="43"/>
      <c r="R1653" s="43"/>
      <c r="S1653" s="43"/>
      <c r="T1653" s="43"/>
      <c r="U1653" s="43"/>
      <c r="V1653" s="43"/>
    </row>
    <row r="1654" spans="1:22" ht="15.75" customHeight="1" x14ac:dyDescent="0.2">
      <c r="A1654" s="40">
        <v>2189</v>
      </c>
      <c r="B1654" s="41" t="s">
        <v>282</v>
      </c>
      <c r="C1654" s="42" t="s">
        <v>1743</v>
      </c>
      <c r="D1654" s="42" t="s">
        <v>1070</v>
      </c>
      <c r="E1654" s="42" t="s">
        <v>1217</v>
      </c>
      <c r="F1654" s="42" t="s">
        <v>1729</v>
      </c>
      <c r="G1654" s="42" t="s">
        <v>1207</v>
      </c>
      <c r="H1654" s="43"/>
      <c r="I1654" s="43"/>
      <c r="J1654" s="43"/>
      <c r="K1654" s="43"/>
      <c r="L1654" s="43"/>
      <c r="M1654" s="43"/>
      <c r="N1654" s="43"/>
      <c r="O1654" s="43"/>
      <c r="P1654" s="43"/>
      <c r="Q1654" s="43"/>
      <c r="R1654" s="43"/>
      <c r="S1654" s="43"/>
      <c r="T1654" s="43"/>
      <c r="U1654" s="43"/>
      <c r="V1654" s="43"/>
    </row>
    <row r="1655" spans="1:22" ht="15.75" customHeight="1" x14ac:dyDescent="0.2">
      <c r="A1655" s="40">
        <v>213</v>
      </c>
      <c r="B1655" s="41" t="s">
        <v>1636</v>
      </c>
      <c r="C1655" s="42" t="s">
        <v>1063</v>
      </c>
      <c r="D1655" s="42" t="s">
        <v>86</v>
      </c>
      <c r="E1655" s="42" t="s">
        <v>876</v>
      </c>
      <c r="F1655" s="42" t="s">
        <v>1729</v>
      </c>
      <c r="G1655" s="42" t="s">
        <v>1207</v>
      </c>
      <c r="H1655" s="43"/>
      <c r="I1655" s="43"/>
      <c r="J1655" s="43"/>
      <c r="K1655" s="43"/>
      <c r="L1655" s="43"/>
      <c r="M1655" s="43"/>
      <c r="N1655" s="43"/>
      <c r="O1655" s="43"/>
      <c r="P1655" s="43"/>
      <c r="Q1655" s="43"/>
      <c r="R1655" s="43"/>
      <c r="S1655" s="43"/>
      <c r="T1655" s="43"/>
      <c r="U1655" s="43"/>
      <c r="V1655" s="43"/>
    </row>
    <row r="1656" spans="1:22" ht="15.75" customHeight="1" x14ac:dyDescent="0.2">
      <c r="A1656" s="40"/>
      <c r="B1656" s="45" t="s">
        <v>307</v>
      </c>
      <c r="C1656" s="46" t="s">
        <v>1063</v>
      </c>
      <c r="D1656" s="46" t="s">
        <v>78</v>
      </c>
      <c r="E1656" s="46" t="s">
        <v>876</v>
      </c>
      <c r="F1656" s="46" t="s">
        <v>1729</v>
      </c>
      <c r="G1656" s="46" t="s">
        <v>1207</v>
      </c>
      <c r="H1656" s="43"/>
      <c r="I1656" s="43"/>
      <c r="J1656" s="43"/>
      <c r="K1656" s="43"/>
      <c r="L1656" s="43"/>
      <c r="M1656" s="43"/>
      <c r="N1656" s="43"/>
      <c r="O1656" s="43"/>
      <c r="P1656" s="43"/>
      <c r="Q1656" s="43"/>
      <c r="R1656" s="43"/>
      <c r="S1656" s="43"/>
      <c r="T1656" s="43"/>
      <c r="U1656" s="43"/>
      <c r="V1656" s="43"/>
    </row>
    <row r="1657" spans="1:22" ht="15.75" customHeight="1" x14ac:dyDescent="0.2">
      <c r="A1657" s="40"/>
      <c r="B1657" s="45" t="s">
        <v>311</v>
      </c>
      <c r="C1657" s="46" t="s">
        <v>1063</v>
      </c>
      <c r="D1657" s="46" t="s">
        <v>78</v>
      </c>
      <c r="E1657" s="46" t="s">
        <v>876</v>
      </c>
      <c r="F1657" s="46" t="s">
        <v>1729</v>
      </c>
      <c r="G1657" s="46" t="s">
        <v>1207</v>
      </c>
      <c r="H1657" s="43"/>
      <c r="I1657" s="43"/>
      <c r="J1657" s="43"/>
      <c r="K1657" s="43"/>
      <c r="L1657" s="43"/>
      <c r="M1657" s="43"/>
      <c r="N1657" s="43"/>
      <c r="O1657" s="43"/>
      <c r="P1657" s="43"/>
      <c r="Q1657" s="43"/>
      <c r="R1657" s="43"/>
      <c r="S1657" s="43"/>
      <c r="T1657" s="43"/>
      <c r="U1657" s="43"/>
      <c r="V1657" s="43"/>
    </row>
    <row r="1658" spans="1:22" ht="15.75" customHeight="1" x14ac:dyDescent="0.2">
      <c r="A1658" s="40"/>
      <c r="B1658" s="45" t="s">
        <v>109</v>
      </c>
      <c r="C1658" s="46" t="s">
        <v>1745</v>
      </c>
      <c r="D1658" s="46" t="s">
        <v>58</v>
      </c>
      <c r="E1658" s="46" t="s">
        <v>112</v>
      </c>
      <c r="F1658" s="46" t="s">
        <v>1729</v>
      </c>
      <c r="G1658" s="46" t="s">
        <v>1207</v>
      </c>
    </row>
    <row r="1659" spans="1:22" ht="15.75" customHeight="1" x14ac:dyDescent="0.2">
      <c r="A1659" s="40"/>
      <c r="B1659" s="45" t="s">
        <v>109</v>
      </c>
      <c r="C1659" s="46" t="s">
        <v>423</v>
      </c>
      <c r="D1659" s="46" t="s">
        <v>75</v>
      </c>
      <c r="E1659" s="46" t="s">
        <v>79</v>
      </c>
      <c r="F1659" s="46" t="s">
        <v>1729</v>
      </c>
      <c r="G1659" s="46" t="s">
        <v>1207</v>
      </c>
    </row>
    <row r="1660" spans="1:22" ht="15.75" customHeight="1" x14ac:dyDescent="0.2">
      <c r="A1660" s="40"/>
      <c r="B1660" s="45" t="s">
        <v>108</v>
      </c>
      <c r="C1660" s="46" t="s">
        <v>423</v>
      </c>
      <c r="D1660" s="46" t="s">
        <v>75</v>
      </c>
      <c r="E1660" s="46" t="s">
        <v>79</v>
      </c>
      <c r="F1660" s="46" t="s">
        <v>1729</v>
      </c>
      <c r="G1660" s="46" t="s">
        <v>1207</v>
      </c>
    </row>
    <row r="1661" spans="1:22" ht="15.75" customHeight="1" x14ac:dyDescent="0.2">
      <c r="A1661" s="40">
        <v>1439</v>
      </c>
      <c r="B1661" s="41" t="s">
        <v>261</v>
      </c>
      <c r="C1661" s="42" t="s">
        <v>1746</v>
      </c>
      <c r="D1661" s="42" t="s">
        <v>21</v>
      </c>
      <c r="E1661" s="42" t="s">
        <v>79</v>
      </c>
      <c r="F1661" s="42" t="s">
        <v>1729</v>
      </c>
      <c r="G1661" s="42" t="s">
        <v>1207</v>
      </c>
      <c r="H1661" s="43"/>
      <c r="I1661" s="43"/>
      <c r="J1661" s="43"/>
      <c r="K1661" s="43"/>
      <c r="L1661" s="43"/>
      <c r="M1661" s="43"/>
      <c r="N1661" s="43"/>
      <c r="O1661" s="43"/>
      <c r="P1661" s="43"/>
      <c r="Q1661" s="43"/>
      <c r="R1661" s="43"/>
      <c r="S1661" s="43"/>
      <c r="T1661" s="43"/>
      <c r="U1661" s="43"/>
      <c r="V1661" s="43"/>
    </row>
    <row r="1662" spans="1:22" ht="15.75" customHeight="1" x14ac:dyDescent="0.2">
      <c r="A1662" s="40">
        <v>2139</v>
      </c>
      <c r="B1662" s="41" t="s">
        <v>281</v>
      </c>
      <c r="C1662" s="42" t="s">
        <v>1746</v>
      </c>
      <c r="D1662" s="42" t="s">
        <v>21</v>
      </c>
      <c r="E1662" s="42" t="s">
        <v>79</v>
      </c>
      <c r="F1662" s="42" t="s">
        <v>1729</v>
      </c>
      <c r="G1662" s="42" t="s">
        <v>1207</v>
      </c>
      <c r="H1662" s="43"/>
      <c r="I1662" s="43"/>
      <c r="J1662" s="43"/>
      <c r="K1662" s="43"/>
      <c r="L1662" s="43"/>
      <c r="M1662" s="43"/>
      <c r="N1662" s="43"/>
      <c r="O1662" s="43"/>
      <c r="P1662" s="43"/>
      <c r="Q1662" s="43"/>
      <c r="R1662" s="43"/>
      <c r="S1662" s="43"/>
      <c r="T1662" s="43"/>
      <c r="U1662" s="43"/>
      <c r="V1662" s="43"/>
    </row>
    <row r="1663" spans="1:22" ht="15.75" customHeight="1" x14ac:dyDescent="0.2">
      <c r="A1663" s="40">
        <v>1415</v>
      </c>
      <c r="B1663" s="41" t="s">
        <v>386</v>
      </c>
      <c r="C1663" s="42" t="s">
        <v>1747</v>
      </c>
      <c r="D1663" s="42" t="s">
        <v>339</v>
      </c>
      <c r="E1663" s="42" t="s">
        <v>32</v>
      </c>
      <c r="F1663" s="42" t="s">
        <v>1729</v>
      </c>
      <c r="G1663" s="42" t="s">
        <v>1207</v>
      </c>
      <c r="H1663" s="43"/>
      <c r="I1663" s="43"/>
      <c r="J1663" s="43"/>
      <c r="K1663" s="43"/>
      <c r="L1663" s="43"/>
      <c r="M1663" s="43"/>
      <c r="N1663" s="43"/>
      <c r="O1663" s="43"/>
      <c r="P1663" s="43"/>
      <c r="Q1663" s="43"/>
      <c r="R1663" s="43"/>
      <c r="S1663" s="43"/>
      <c r="T1663" s="43"/>
      <c r="U1663" s="43"/>
      <c r="V1663" s="43"/>
    </row>
    <row r="1664" spans="1:22" ht="15.75" customHeight="1" x14ac:dyDescent="0.2">
      <c r="A1664" s="40"/>
      <c r="B1664" s="45" t="s">
        <v>307</v>
      </c>
      <c r="C1664" s="46" t="s">
        <v>1747</v>
      </c>
      <c r="D1664" s="46" t="s">
        <v>75</v>
      </c>
      <c r="E1664" s="46" t="s">
        <v>32</v>
      </c>
      <c r="F1664" s="46" t="s">
        <v>1729</v>
      </c>
      <c r="G1664" s="46" t="s">
        <v>1207</v>
      </c>
    </row>
    <row r="1665" spans="1:22" ht="15.75" customHeight="1" x14ac:dyDescent="0.2">
      <c r="A1665" s="40"/>
      <c r="B1665" s="45" t="s">
        <v>311</v>
      </c>
      <c r="C1665" s="46" t="s">
        <v>1747</v>
      </c>
      <c r="D1665" s="46" t="s">
        <v>75</v>
      </c>
      <c r="E1665" s="46" t="s">
        <v>32</v>
      </c>
      <c r="F1665" s="46" t="s">
        <v>1729</v>
      </c>
      <c r="G1665" s="46" t="s">
        <v>1207</v>
      </c>
    </row>
    <row r="1666" spans="1:22" ht="15.75" customHeight="1" x14ac:dyDescent="0.2">
      <c r="A1666" s="40"/>
      <c r="B1666" s="45" t="s">
        <v>131</v>
      </c>
      <c r="C1666" s="46" t="s">
        <v>1706</v>
      </c>
      <c r="D1666" s="46" t="s">
        <v>1748</v>
      </c>
      <c r="E1666" s="46" t="s">
        <v>1749</v>
      </c>
      <c r="F1666" s="46" t="s">
        <v>1729</v>
      </c>
      <c r="G1666" s="46" t="s">
        <v>1207</v>
      </c>
    </row>
    <row r="1667" spans="1:22" ht="15.75" customHeight="1" x14ac:dyDescent="0.2">
      <c r="A1667" s="40"/>
      <c r="B1667" s="45" t="s">
        <v>118</v>
      </c>
      <c r="C1667" s="46" t="s">
        <v>1706</v>
      </c>
      <c r="D1667" s="46" t="s">
        <v>1748</v>
      </c>
      <c r="E1667" s="46" t="s">
        <v>1749</v>
      </c>
      <c r="F1667" s="46" t="s">
        <v>1729</v>
      </c>
      <c r="G1667" s="46" t="s">
        <v>1207</v>
      </c>
    </row>
    <row r="1668" spans="1:22" ht="15.75" customHeight="1" x14ac:dyDescent="0.2">
      <c r="A1668" s="40">
        <v>1233</v>
      </c>
      <c r="B1668" s="41" t="s">
        <v>699</v>
      </c>
      <c r="C1668" s="42" t="s">
        <v>1216</v>
      </c>
      <c r="D1668" s="42" t="s">
        <v>28</v>
      </c>
      <c r="E1668" s="42" t="s">
        <v>1750</v>
      </c>
      <c r="F1668" s="42" t="s">
        <v>1729</v>
      </c>
      <c r="G1668" s="42" t="s">
        <v>1207</v>
      </c>
      <c r="H1668" s="43"/>
      <c r="I1668" s="43"/>
      <c r="J1668" s="43"/>
      <c r="K1668" s="43"/>
      <c r="L1668" s="43"/>
      <c r="M1668" s="43"/>
      <c r="N1668" s="43"/>
      <c r="O1668" s="43"/>
      <c r="P1668" s="43"/>
      <c r="Q1668" s="43"/>
      <c r="R1668" s="43"/>
      <c r="S1668" s="43"/>
      <c r="T1668" s="43"/>
      <c r="U1668" s="43"/>
      <c r="V1668" s="43"/>
    </row>
    <row r="1669" spans="1:22" ht="15.75" customHeight="1" x14ac:dyDescent="0.2">
      <c r="A1669" s="40">
        <v>2919</v>
      </c>
      <c r="B1669" s="41" t="s">
        <v>722</v>
      </c>
      <c r="C1669" s="42" t="s">
        <v>1216</v>
      </c>
      <c r="D1669" s="42" t="s">
        <v>28</v>
      </c>
      <c r="E1669" s="42" t="s">
        <v>1750</v>
      </c>
      <c r="F1669" s="42" t="s">
        <v>1729</v>
      </c>
      <c r="G1669" s="42" t="s">
        <v>1207</v>
      </c>
      <c r="H1669" s="43"/>
      <c r="I1669" s="43"/>
      <c r="J1669" s="43"/>
      <c r="K1669" s="43"/>
      <c r="L1669" s="43"/>
      <c r="M1669" s="43"/>
      <c r="N1669" s="43"/>
      <c r="O1669" s="43"/>
      <c r="P1669" s="43"/>
      <c r="Q1669" s="43"/>
      <c r="R1669" s="43"/>
      <c r="S1669" s="43"/>
      <c r="T1669" s="43"/>
      <c r="U1669" s="43"/>
      <c r="V1669" s="43"/>
    </row>
    <row r="1670" spans="1:22" ht="15.75" customHeight="1" x14ac:dyDescent="0.2">
      <c r="A1670" s="40">
        <v>1625</v>
      </c>
      <c r="B1670" s="41" t="s">
        <v>267</v>
      </c>
      <c r="C1670" s="42" t="s">
        <v>1751</v>
      </c>
      <c r="D1670" s="42" t="s">
        <v>949</v>
      </c>
      <c r="E1670" s="42" t="s">
        <v>876</v>
      </c>
      <c r="F1670" s="42" t="s">
        <v>1729</v>
      </c>
      <c r="G1670" s="42" t="s">
        <v>1207</v>
      </c>
      <c r="H1670" s="43"/>
      <c r="I1670" s="43"/>
      <c r="J1670" s="43"/>
      <c r="K1670" s="43"/>
      <c r="L1670" s="43"/>
      <c r="M1670" s="43"/>
      <c r="N1670" s="43"/>
      <c r="O1670" s="43"/>
      <c r="P1670" s="43"/>
      <c r="Q1670" s="43"/>
      <c r="R1670" s="43"/>
      <c r="S1670" s="43"/>
      <c r="T1670" s="43"/>
      <c r="U1670" s="43"/>
      <c r="V1670" s="43"/>
    </row>
    <row r="1671" spans="1:22" ht="15.75" customHeight="1" x14ac:dyDescent="0.2">
      <c r="A1671" s="40">
        <v>2183</v>
      </c>
      <c r="B1671" s="41" t="s">
        <v>282</v>
      </c>
      <c r="C1671" s="42" t="s">
        <v>1751</v>
      </c>
      <c r="D1671" s="42" t="s">
        <v>949</v>
      </c>
      <c r="E1671" s="42" t="s">
        <v>876</v>
      </c>
      <c r="F1671" s="42" t="s">
        <v>1729</v>
      </c>
      <c r="G1671" s="42" t="s">
        <v>1207</v>
      </c>
      <c r="H1671" s="43"/>
      <c r="I1671" s="43"/>
      <c r="J1671" s="43"/>
      <c r="K1671" s="43"/>
      <c r="L1671" s="43"/>
      <c r="M1671" s="43"/>
      <c r="N1671" s="43"/>
      <c r="O1671" s="43"/>
      <c r="P1671" s="43"/>
      <c r="Q1671" s="43"/>
      <c r="R1671" s="43"/>
      <c r="S1671" s="43"/>
      <c r="T1671" s="43"/>
      <c r="U1671" s="43"/>
      <c r="V1671" s="43"/>
    </row>
    <row r="1672" spans="1:22" ht="15.75" customHeight="1" x14ac:dyDescent="0.2">
      <c r="A1672" s="40"/>
      <c r="B1672" s="45" t="s">
        <v>102</v>
      </c>
      <c r="C1672" s="46" t="s">
        <v>1752</v>
      </c>
      <c r="D1672" s="46" t="s">
        <v>574</v>
      </c>
      <c r="E1672" s="46" t="s">
        <v>612</v>
      </c>
      <c r="F1672" s="46" t="s">
        <v>1729</v>
      </c>
      <c r="G1672" s="46" t="s">
        <v>1207</v>
      </c>
    </row>
    <row r="1673" spans="1:22" ht="15.75" customHeight="1" x14ac:dyDescent="0.2">
      <c r="A1673" s="40"/>
      <c r="B1673" s="45" t="s">
        <v>232</v>
      </c>
      <c r="C1673" s="46" t="s">
        <v>1752</v>
      </c>
      <c r="D1673" s="46" t="s">
        <v>574</v>
      </c>
      <c r="E1673" s="46" t="s">
        <v>612</v>
      </c>
      <c r="F1673" s="46" t="s">
        <v>1729</v>
      </c>
      <c r="G1673" s="46" t="s">
        <v>1207</v>
      </c>
    </row>
    <row r="1674" spans="1:22" ht="15.75" customHeight="1" x14ac:dyDescent="0.2">
      <c r="A1674" s="40"/>
      <c r="B1674" s="45" t="s">
        <v>315</v>
      </c>
      <c r="C1674" s="46" t="s">
        <v>1753</v>
      </c>
      <c r="D1674" s="46" t="s">
        <v>370</v>
      </c>
      <c r="E1674" s="46" t="s">
        <v>1754</v>
      </c>
      <c r="F1674" s="46" t="s">
        <v>1729</v>
      </c>
      <c r="G1674" s="46" t="s">
        <v>1207</v>
      </c>
    </row>
    <row r="1675" spans="1:22" ht="15.75" customHeight="1" x14ac:dyDescent="0.2">
      <c r="A1675" s="40"/>
      <c r="B1675" s="45" t="s">
        <v>316</v>
      </c>
      <c r="C1675" s="46" t="s">
        <v>1753</v>
      </c>
      <c r="D1675" s="46" t="s">
        <v>370</v>
      </c>
      <c r="E1675" s="46" t="s">
        <v>1754</v>
      </c>
      <c r="F1675" s="51" t="s">
        <v>1729</v>
      </c>
      <c r="G1675" s="46" t="s">
        <v>1207</v>
      </c>
    </row>
    <row r="1676" spans="1:22" ht="15.75" customHeight="1" x14ac:dyDescent="0.2">
      <c r="A1676" s="55">
        <v>1229</v>
      </c>
      <c r="B1676" s="56" t="s">
        <v>699</v>
      </c>
      <c r="C1676" s="57" t="s">
        <v>1755</v>
      </c>
      <c r="D1676" s="57" t="s">
        <v>1687</v>
      </c>
      <c r="E1676" s="57" t="s">
        <v>1217</v>
      </c>
      <c r="F1676" s="57" t="s">
        <v>1729</v>
      </c>
      <c r="G1676" s="57" t="s">
        <v>1207</v>
      </c>
      <c r="H1676" s="58"/>
      <c r="I1676" s="58"/>
      <c r="J1676" s="58"/>
      <c r="K1676" s="58"/>
      <c r="L1676" s="58"/>
      <c r="M1676" s="58"/>
      <c r="N1676" s="58"/>
      <c r="O1676" s="58"/>
      <c r="P1676" s="58"/>
      <c r="Q1676" s="58"/>
      <c r="R1676" s="58"/>
      <c r="S1676" s="58"/>
      <c r="T1676" s="58"/>
      <c r="U1676" s="58"/>
      <c r="V1676" s="58"/>
    </row>
    <row r="1677" spans="1:22" ht="15.75" customHeight="1" x14ac:dyDescent="0.2">
      <c r="A1677" s="55">
        <v>1729</v>
      </c>
      <c r="B1677" s="56" t="s">
        <v>465</v>
      </c>
      <c r="C1677" s="57" t="s">
        <v>1755</v>
      </c>
      <c r="D1677" s="57" t="s">
        <v>1687</v>
      </c>
      <c r="E1677" s="57" t="s">
        <v>1217</v>
      </c>
      <c r="F1677" s="57" t="s">
        <v>1729</v>
      </c>
      <c r="G1677" s="57" t="s">
        <v>1207</v>
      </c>
      <c r="H1677" s="58"/>
      <c r="I1677" s="58"/>
      <c r="J1677" s="58"/>
      <c r="K1677" s="58"/>
      <c r="L1677" s="58"/>
      <c r="M1677" s="58"/>
      <c r="N1677" s="58"/>
      <c r="O1677" s="58"/>
      <c r="P1677" s="58"/>
      <c r="Q1677" s="58"/>
      <c r="R1677" s="58"/>
      <c r="S1677" s="58"/>
      <c r="T1677" s="58"/>
      <c r="U1677" s="58"/>
      <c r="V1677" s="58"/>
    </row>
    <row r="1678" spans="1:22" ht="15.75" customHeight="1" x14ac:dyDescent="0.2">
      <c r="A1678" s="40">
        <v>1325</v>
      </c>
      <c r="B1678" s="41" t="s">
        <v>260</v>
      </c>
      <c r="C1678" s="42" t="s">
        <v>1756</v>
      </c>
      <c r="D1678" s="42" t="s">
        <v>1300</v>
      </c>
      <c r="E1678" s="42" t="s">
        <v>1757</v>
      </c>
      <c r="F1678" s="42" t="s">
        <v>1729</v>
      </c>
      <c r="G1678" s="42" t="s">
        <v>1207</v>
      </c>
      <c r="H1678" s="43"/>
      <c r="I1678" s="43"/>
      <c r="J1678" s="43"/>
      <c r="K1678" s="43"/>
      <c r="L1678" s="43"/>
      <c r="M1678" s="43"/>
      <c r="N1678" s="43"/>
      <c r="O1678" s="43"/>
      <c r="P1678" s="43"/>
      <c r="Q1678" s="43"/>
      <c r="R1678" s="43"/>
      <c r="S1678" s="43"/>
      <c r="T1678" s="43"/>
      <c r="U1678" s="43"/>
      <c r="V1678" s="43"/>
    </row>
    <row r="1679" spans="1:22" ht="15.75" customHeight="1" x14ac:dyDescent="0.2">
      <c r="A1679" s="40">
        <v>2103</v>
      </c>
      <c r="B1679" s="41" t="s">
        <v>280</v>
      </c>
      <c r="C1679" s="42" t="s">
        <v>1756</v>
      </c>
      <c r="D1679" s="42" t="s">
        <v>1300</v>
      </c>
      <c r="E1679" s="42" t="s">
        <v>1757</v>
      </c>
      <c r="F1679" s="42" t="s">
        <v>1729</v>
      </c>
      <c r="G1679" s="42" t="s">
        <v>1207</v>
      </c>
      <c r="H1679" s="43"/>
      <c r="I1679" s="43"/>
      <c r="J1679" s="43"/>
      <c r="K1679" s="43"/>
      <c r="L1679" s="43"/>
      <c r="M1679" s="43"/>
      <c r="N1679" s="43"/>
      <c r="O1679" s="43"/>
      <c r="P1679" s="43"/>
      <c r="Q1679" s="43"/>
      <c r="R1679" s="43"/>
      <c r="S1679" s="43"/>
      <c r="T1679" s="43"/>
      <c r="U1679" s="43"/>
      <c r="V1679" s="43"/>
    </row>
    <row r="1680" spans="1:22" ht="15.75" customHeight="1" x14ac:dyDescent="0.2">
      <c r="A1680" s="40">
        <v>1479</v>
      </c>
      <c r="B1680" s="41" t="s">
        <v>957</v>
      </c>
      <c r="C1680" s="42" t="s">
        <v>1758</v>
      </c>
      <c r="D1680" s="42" t="s">
        <v>1627</v>
      </c>
      <c r="E1680" s="42" t="s">
        <v>1759</v>
      </c>
      <c r="F1680" s="42" t="s">
        <v>1729</v>
      </c>
      <c r="G1680" s="42" t="s">
        <v>1207</v>
      </c>
      <c r="H1680" s="43"/>
      <c r="I1680" s="43"/>
      <c r="J1680" s="43"/>
      <c r="K1680" s="43"/>
      <c r="L1680" s="43"/>
      <c r="M1680" s="43"/>
      <c r="N1680" s="43"/>
      <c r="O1680" s="43"/>
      <c r="P1680" s="43"/>
      <c r="Q1680" s="43"/>
      <c r="R1680" s="43"/>
      <c r="S1680" s="43"/>
      <c r="T1680" s="43"/>
      <c r="U1680" s="43"/>
      <c r="V1680" s="43"/>
    </row>
    <row r="1681" spans="1:22" ht="15.75" customHeight="1" x14ac:dyDescent="0.2">
      <c r="A1681" s="40">
        <v>1937</v>
      </c>
      <c r="B1681" s="41" t="s">
        <v>278</v>
      </c>
      <c r="C1681" s="42" t="s">
        <v>1758</v>
      </c>
      <c r="D1681" s="42" t="s">
        <v>1627</v>
      </c>
      <c r="E1681" s="42" t="s">
        <v>1759</v>
      </c>
      <c r="F1681" s="42" t="s">
        <v>1729</v>
      </c>
      <c r="G1681" s="42" t="s">
        <v>1207</v>
      </c>
      <c r="H1681" s="43"/>
      <c r="I1681" s="43"/>
      <c r="J1681" s="43"/>
      <c r="K1681" s="43"/>
      <c r="L1681" s="43"/>
      <c r="M1681" s="43"/>
      <c r="N1681" s="43"/>
      <c r="O1681" s="43"/>
      <c r="P1681" s="43"/>
      <c r="Q1681" s="43"/>
      <c r="R1681" s="43"/>
      <c r="S1681" s="43"/>
      <c r="T1681" s="43"/>
      <c r="U1681" s="43"/>
      <c r="V1681" s="43"/>
    </row>
    <row r="1682" spans="1:22" ht="15.75" customHeight="1" x14ac:dyDescent="0.2">
      <c r="A1682" s="40">
        <v>1307</v>
      </c>
      <c r="B1682" s="41" t="s">
        <v>936</v>
      </c>
      <c r="C1682" s="42" t="s">
        <v>1760</v>
      </c>
      <c r="D1682" s="42" t="s">
        <v>1283</v>
      </c>
      <c r="E1682" s="42" t="s">
        <v>1367</v>
      </c>
      <c r="F1682" s="42" t="s">
        <v>1729</v>
      </c>
      <c r="G1682" s="42" t="s">
        <v>1207</v>
      </c>
      <c r="H1682" s="43"/>
      <c r="I1682" s="43"/>
      <c r="J1682" s="43"/>
      <c r="K1682" s="43"/>
      <c r="L1682" s="43"/>
      <c r="M1682" s="43"/>
      <c r="N1682" s="43"/>
      <c r="O1682" s="43"/>
      <c r="P1682" s="43"/>
      <c r="Q1682" s="43"/>
      <c r="R1682" s="43"/>
      <c r="S1682" s="43"/>
      <c r="T1682" s="43"/>
      <c r="U1682" s="43"/>
      <c r="V1682" s="43"/>
    </row>
    <row r="1683" spans="1:22" ht="15.75" customHeight="1" x14ac:dyDescent="0.2">
      <c r="A1683" s="40">
        <v>1779</v>
      </c>
      <c r="B1683" s="41" t="s">
        <v>442</v>
      </c>
      <c r="C1683" s="42" t="s">
        <v>1760</v>
      </c>
      <c r="D1683" s="42" t="s">
        <v>1283</v>
      </c>
      <c r="E1683" s="42" t="s">
        <v>1367</v>
      </c>
      <c r="F1683" s="42" t="s">
        <v>1729</v>
      </c>
      <c r="G1683" s="42" t="s">
        <v>1207</v>
      </c>
      <c r="H1683" s="43"/>
      <c r="I1683" s="43"/>
      <c r="J1683" s="43"/>
      <c r="K1683" s="43"/>
      <c r="L1683" s="43"/>
      <c r="M1683" s="43"/>
      <c r="N1683" s="43"/>
      <c r="O1683" s="43"/>
      <c r="P1683" s="43"/>
      <c r="Q1683" s="43"/>
      <c r="R1683" s="43"/>
      <c r="S1683" s="43"/>
      <c r="T1683" s="43"/>
      <c r="U1683" s="43"/>
      <c r="V1683" s="43"/>
    </row>
    <row r="1684" spans="1:22" ht="15.75" customHeight="1" x14ac:dyDescent="0.2">
      <c r="A1684" s="40">
        <v>1361</v>
      </c>
      <c r="B1684" s="41" t="s">
        <v>601</v>
      </c>
      <c r="C1684" s="42" t="s">
        <v>1761</v>
      </c>
      <c r="D1684" s="42" t="s">
        <v>643</v>
      </c>
      <c r="E1684" s="42" t="s">
        <v>424</v>
      </c>
      <c r="F1684" s="42" t="s">
        <v>1729</v>
      </c>
      <c r="G1684" s="42" t="s">
        <v>1207</v>
      </c>
      <c r="H1684" s="43"/>
      <c r="I1684" s="43"/>
      <c r="J1684" s="43"/>
      <c r="K1684" s="43"/>
      <c r="L1684" s="43"/>
      <c r="M1684" s="43"/>
      <c r="N1684" s="43"/>
      <c r="O1684" s="43"/>
      <c r="P1684" s="43"/>
      <c r="Q1684" s="43"/>
      <c r="R1684" s="43"/>
      <c r="S1684" s="43"/>
      <c r="T1684" s="43"/>
      <c r="U1684" s="43"/>
      <c r="V1684" s="43"/>
    </row>
    <row r="1685" spans="1:22" ht="15.75" customHeight="1" x14ac:dyDescent="0.2">
      <c r="A1685" s="40">
        <v>1851</v>
      </c>
      <c r="B1685" s="41" t="s">
        <v>604</v>
      </c>
      <c r="C1685" s="42" t="s">
        <v>1761</v>
      </c>
      <c r="D1685" s="42" t="s">
        <v>643</v>
      </c>
      <c r="E1685" s="42" t="s">
        <v>424</v>
      </c>
      <c r="F1685" s="42" t="s">
        <v>1729</v>
      </c>
      <c r="G1685" s="42" t="s">
        <v>1207</v>
      </c>
      <c r="H1685" s="43"/>
      <c r="I1685" s="43"/>
      <c r="J1685" s="43"/>
      <c r="K1685" s="43"/>
      <c r="L1685" s="43"/>
      <c r="M1685" s="43"/>
      <c r="N1685" s="43"/>
      <c r="O1685" s="43"/>
      <c r="P1685" s="43"/>
      <c r="Q1685" s="43"/>
      <c r="R1685" s="43"/>
      <c r="S1685" s="43"/>
      <c r="T1685" s="43"/>
      <c r="U1685" s="43"/>
      <c r="V1685" s="43"/>
    </row>
    <row r="1686" spans="1:22" ht="15.75" customHeight="1" x14ac:dyDescent="0.2">
      <c r="A1686" s="40"/>
      <c r="B1686" s="45" t="s">
        <v>122</v>
      </c>
      <c r="C1686" s="46" t="s">
        <v>1762</v>
      </c>
      <c r="D1686" s="46" t="s">
        <v>949</v>
      </c>
      <c r="E1686" s="46" t="s">
        <v>1763</v>
      </c>
      <c r="F1686" s="46" t="s">
        <v>1729</v>
      </c>
      <c r="G1686" s="46" t="s">
        <v>1207</v>
      </c>
    </row>
    <row r="1687" spans="1:22" ht="15.75" customHeight="1" x14ac:dyDescent="0.2">
      <c r="A1687" s="40"/>
      <c r="B1687" s="45" t="s">
        <v>126</v>
      </c>
      <c r="C1687" s="46" t="s">
        <v>1762</v>
      </c>
      <c r="D1687" s="46" t="s">
        <v>949</v>
      </c>
      <c r="E1687" s="46" t="s">
        <v>1763</v>
      </c>
      <c r="F1687" s="46" t="s">
        <v>1729</v>
      </c>
      <c r="G1687" s="46" t="s">
        <v>1207</v>
      </c>
    </row>
    <row r="1688" spans="1:22" ht="15.75" customHeight="1" x14ac:dyDescent="0.2">
      <c r="A1688" s="40"/>
      <c r="B1688" s="45" t="s">
        <v>122</v>
      </c>
      <c r="C1688" s="46" t="s">
        <v>1764</v>
      </c>
      <c r="D1688" s="46" t="s">
        <v>39</v>
      </c>
      <c r="E1688" s="46" t="s">
        <v>413</v>
      </c>
      <c r="F1688" s="46" t="s">
        <v>1729</v>
      </c>
      <c r="G1688" s="46" t="s">
        <v>1207</v>
      </c>
    </row>
    <row r="1689" spans="1:22" ht="15.75" customHeight="1" x14ac:dyDescent="0.2">
      <c r="A1689" s="40">
        <v>467</v>
      </c>
      <c r="B1689" s="41" t="s">
        <v>1018</v>
      </c>
      <c r="C1689" s="42" t="s">
        <v>1765</v>
      </c>
      <c r="D1689" s="42" t="s">
        <v>1766</v>
      </c>
      <c r="E1689" s="42" t="s">
        <v>1767</v>
      </c>
      <c r="F1689" s="42" t="s">
        <v>1768</v>
      </c>
      <c r="G1689" s="42" t="s">
        <v>1207</v>
      </c>
      <c r="H1689" s="43"/>
      <c r="I1689" s="43"/>
      <c r="J1689" s="43"/>
      <c r="K1689" s="43"/>
      <c r="L1689" s="43"/>
      <c r="M1689" s="43"/>
      <c r="N1689" s="43"/>
      <c r="O1689" s="43"/>
      <c r="P1689" s="43"/>
      <c r="Q1689" s="43"/>
      <c r="R1689" s="43"/>
      <c r="S1689" s="43"/>
      <c r="T1689" s="43"/>
      <c r="U1689" s="43"/>
      <c r="V1689" s="43"/>
    </row>
    <row r="1690" spans="1:22" ht="15.75" customHeight="1" x14ac:dyDescent="0.2">
      <c r="A1690" s="40">
        <v>515</v>
      </c>
      <c r="B1690" s="41" t="s">
        <v>509</v>
      </c>
      <c r="C1690" s="42" t="s">
        <v>1769</v>
      </c>
      <c r="D1690" s="42" t="s">
        <v>581</v>
      </c>
      <c r="E1690" s="42" t="s">
        <v>389</v>
      </c>
      <c r="F1690" s="42" t="s">
        <v>1768</v>
      </c>
      <c r="G1690" s="42" t="s">
        <v>1207</v>
      </c>
      <c r="H1690" s="43"/>
      <c r="I1690" s="43"/>
      <c r="J1690" s="43"/>
      <c r="K1690" s="43"/>
      <c r="L1690" s="43"/>
      <c r="M1690" s="43"/>
      <c r="N1690" s="43"/>
      <c r="O1690" s="43"/>
      <c r="P1690" s="43"/>
      <c r="Q1690" s="43"/>
      <c r="R1690" s="43"/>
      <c r="S1690" s="43"/>
      <c r="T1690" s="43"/>
      <c r="U1690" s="43"/>
      <c r="V1690" s="43"/>
    </row>
    <row r="1691" spans="1:22" ht="15.75" customHeight="1" x14ac:dyDescent="0.2">
      <c r="A1691" s="40">
        <v>571</v>
      </c>
      <c r="B1691" s="41" t="s">
        <v>368</v>
      </c>
      <c r="C1691" s="42" t="s">
        <v>1770</v>
      </c>
      <c r="D1691" s="42" t="s">
        <v>1410</v>
      </c>
      <c r="E1691" s="42" t="s">
        <v>251</v>
      </c>
      <c r="F1691" s="42" t="s">
        <v>1768</v>
      </c>
      <c r="G1691" s="42" t="s">
        <v>1207</v>
      </c>
      <c r="H1691" s="43"/>
      <c r="I1691" s="43"/>
      <c r="J1691" s="43"/>
      <c r="K1691" s="43"/>
      <c r="L1691" s="43"/>
      <c r="M1691" s="43"/>
      <c r="N1691" s="43"/>
      <c r="O1691" s="43"/>
      <c r="P1691" s="43"/>
      <c r="Q1691" s="43"/>
      <c r="R1691" s="43"/>
      <c r="S1691" s="43"/>
      <c r="T1691" s="43"/>
      <c r="U1691" s="43"/>
      <c r="V1691" s="43"/>
    </row>
    <row r="1692" spans="1:22" ht="15.75" customHeight="1" x14ac:dyDescent="0.2">
      <c r="A1692" s="40">
        <v>669</v>
      </c>
      <c r="B1692" s="41" t="s">
        <v>252</v>
      </c>
      <c r="C1692" s="42" t="s">
        <v>1398</v>
      </c>
      <c r="D1692" s="42" t="s">
        <v>656</v>
      </c>
      <c r="E1692" s="42" t="s">
        <v>645</v>
      </c>
      <c r="F1692" s="42" t="s">
        <v>1768</v>
      </c>
      <c r="G1692" s="42" t="s">
        <v>1207</v>
      </c>
      <c r="H1692" s="43"/>
      <c r="I1692" s="43"/>
      <c r="J1692" s="43"/>
      <c r="K1692" s="43"/>
      <c r="L1692" s="43"/>
      <c r="M1692" s="43"/>
      <c r="N1692" s="43"/>
      <c r="O1692" s="43"/>
      <c r="P1692" s="43"/>
      <c r="Q1692" s="43"/>
      <c r="R1692" s="43"/>
      <c r="S1692" s="43"/>
      <c r="T1692" s="43"/>
      <c r="U1692" s="43"/>
      <c r="V1692" s="43"/>
    </row>
    <row r="1693" spans="1:22" ht="15.75" customHeight="1" x14ac:dyDescent="0.2">
      <c r="A1693" s="40">
        <v>1175</v>
      </c>
      <c r="B1693" s="41" t="s">
        <v>256</v>
      </c>
      <c r="C1693" s="42" t="s">
        <v>1769</v>
      </c>
      <c r="D1693" s="42" t="s">
        <v>581</v>
      </c>
      <c r="E1693" s="42" t="s">
        <v>389</v>
      </c>
      <c r="F1693" s="42" t="s">
        <v>1768</v>
      </c>
      <c r="G1693" s="42" t="s">
        <v>1207</v>
      </c>
      <c r="H1693" s="43"/>
      <c r="I1693" s="43"/>
      <c r="J1693" s="43"/>
      <c r="K1693" s="43"/>
      <c r="L1693" s="43"/>
      <c r="M1693" s="43"/>
      <c r="N1693" s="43"/>
      <c r="O1693" s="43"/>
      <c r="P1693" s="43"/>
      <c r="Q1693" s="43"/>
      <c r="R1693" s="43"/>
      <c r="S1693" s="43"/>
      <c r="T1693" s="43"/>
      <c r="U1693" s="43"/>
      <c r="V1693" s="43"/>
    </row>
    <row r="1694" spans="1:22" ht="15.75" customHeight="1" x14ac:dyDescent="0.2">
      <c r="A1694" s="40">
        <v>2691</v>
      </c>
      <c r="B1694" s="41" t="s">
        <v>1098</v>
      </c>
      <c r="C1694" s="42" t="s">
        <v>1771</v>
      </c>
      <c r="D1694" s="42" t="s">
        <v>28</v>
      </c>
      <c r="E1694" s="42" t="s">
        <v>1367</v>
      </c>
      <c r="F1694" s="42" t="s">
        <v>1768</v>
      </c>
      <c r="G1694" s="42" t="s">
        <v>1207</v>
      </c>
      <c r="H1694" s="43"/>
      <c r="I1694" s="43"/>
      <c r="J1694" s="43"/>
      <c r="K1694" s="43"/>
      <c r="L1694" s="43"/>
      <c r="M1694" s="43"/>
      <c r="N1694" s="43"/>
      <c r="O1694" s="43"/>
      <c r="P1694" s="43"/>
      <c r="Q1694" s="43"/>
      <c r="R1694" s="43"/>
      <c r="S1694" s="43"/>
      <c r="T1694" s="43"/>
      <c r="U1694" s="43"/>
      <c r="V1694" s="43"/>
    </row>
    <row r="1695" spans="1:22" ht="15.75" customHeight="1" x14ac:dyDescent="0.2">
      <c r="A1695" s="40"/>
      <c r="B1695" s="45" t="s">
        <v>94</v>
      </c>
      <c r="C1695" s="46" t="s">
        <v>1765</v>
      </c>
      <c r="D1695" s="46" t="s">
        <v>388</v>
      </c>
      <c r="E1695" s="46" t="s">
        <v>1772</v>
      </c>
      <c r="F1695" s="46" t="s">
        <v>1768</v>
      </c>
      <c r="G1695" s="46" t="s">
        <v>1207</v>
      </c>
      <c r="H1695" s="43"/>
      <c r="I1695" s="43"/>
      <c r="J1695" s="43"/>
      <c r="K1695" s="43"/>
      <c r="L1695" s="43"/>
      <c r="M1695" s="43"/>
      <c r="N1695" s="43"/>
      <c r="O1695" s="43"/>
      <c r="P1695" s="43"/>
      <c r="Q1695" s="43"/>
      <c r="R1695" s="43"/>
      <c r="S1695" s="43"/>
      <c r="T1695" s="43"/>
      <c r="U1695" s="43"/>
      <c r="V1695" s="43"/>
    </row>
    <row r="1696" spans="1:22" ht="15.75" customHeight="1" x14ac:dyDescent="0.2">
      <c r="A1696" s="40"/>
      <c r="B1696" s="45" t="s">
        <v>728</v>
      </c>
      <c r="C1696" s="46" t="s">
        <v>1765</v>
      </c>
      <c r="D1696" s="46" t="s">
        <v>388</v>
      </c>
      <c r="E1696" s="46" t="s">
        <v>1772</v>
      </c>
      <c r="F1696" s="46" t="s">
        <v>1768</v>
      </c>
      <c r="G1696" s="46" t="s">
        <v>1207</v>
      </c>
      <c r="H1696" s="43"/>
      <c r="I1696" s="43"/>
      <c r="J1696" s="43"/>
      <c r="K1696" s="43"/>
      <c r="L1696" s="43"/>
      <c r="M1696" s="43"/>
      <c r="N1696" s="43"/>
      <c r="O1696" s="43"/>
      <c r="P1696" s="43"/>
      <c r="Q1696" s="43"/>
      <c r="R1696" s="43"/>
      <c r="S1696" s="43"/>
      <c r="T1696" s="43"/>
      <c r="U1696" s="43"/>
      <c r="V1696" s="43"/>
    </row>
    <row r="1697" spans="1:22" ht="15.75" customHeight="1" x14ac:dyDescent="0.2">
      <c r="A1697" s="40"/>
      <c r="B1697" s="45" t="s">
        <v>88</v>
      </c>
      <c r="C1697" s="46" t="s">
        <v>1444</v>
      </c>
      <c r="D1697" s="46" t="s">
        <v>484</v>
      </c>
      <c r="E1697" s="46" t="s">
        <v>18</v>
      </c>
      <c r="F1697" s="46" t="s">
        <v>1773</v>
      </c>
      <c r="G1697" s="46" t="s">
        <v>1207</v>
      </c>
    </row>
    <row r="1698" spans="1:22" ht="15.75" customHeight="1" x14ac:dyDescent="0.2">
      <c r="A1698" s="40">
        <v>103</v>
      </c>
      <c r="B1698" s="41" t="s">
        <v>1262</v>
      </c>
      <c r="C1698" s="42" t="s">
        <v>1774</v>
      </c>
      <c r="D1698" s="42" t="s">
        <v>139</v>
      </c>
      <c r="E1698" s="42" t="s">
        <v>273</v>
      </c>
      <c r="F1698" s="42" t="s">
        <v>1775</v>
      </c>
      <c r="G1698" s="42" t="s">
        <v>1207</v>
      </c>
      <c r="H1698" s="43"/>
      <c r="I1698" s="43"/>
      <c r="J1698" s="43"/>
      <c r="K1698" s="43"/>
      <c r="L1698" s="43"/>
      <c r="M1698" s="43"/>
      <c r="N1698" s="43"/>
      <c r="O1698" s="43"/>
      <c r="P1698" s="43"/>
      <c r="Q1698" s="43"/>
      <c r="R1698" s="43"/>
      <c r="S1698" s="43"/>
      <c r="T1698" s="43"/>
      <c r="U1698" s="43"/>
      <c r="V1698" s="43"/>
    </row>
    <row r="1699" spans="1:22" ht="15.75" customHeight="1" x14ac:dyDescent="0.2">
      <c r="A1699" s="40">
        <v>171</v>
      </c>
      <c r="B1699" s="41" t="s">
        <v>549</v>
      </c>
      <c r="C1699" s="42" t="s">
        <v>1639</v>
      </c>
      <c r="D1699" s="42" t="s">
        <v>1734</v>
      </c>
      <c r="E1699" s="42" t="s">
        <v>1376</v>
      </c>
      <c r="F1699" s="42" t="s">
        <v>1775</v>
      </c>
      <c r="G1699" s="42" t="s">
        <v>1207</v>
      </c>
      <c r="H1699" s="43"/>
      <c r="I1699" s="43"/>
      <c r="J1699" s="43"/>
      <c r="K1699" s="43"/>
      <c r="L1699" s="43"/>
      <c r="M1699" s="43"/>
      <c r="N1699" s="43"/>
      <c r="O1699" s="43"/>
      <c r="P1699" s="43"/>
      <c r="Q1699" s="43"/>
      <c r="R1699" s="43"/>
      <c r="S1699" s="43"/>
      <c r="T1699" s="43"/>
      <c r="U1699" s="43"/>
      <c r="V1699" s="43"/>
    </row>
    <row r="1700" spans="1:22" ht="15.75" customHeight="1" x14ac:dyDescent="0.2">
      <c r="A1700" s="40">
        <v>191</v>
      </c>
      <c r="B1700" s="41" t="s">
        <v>549</v>
      </c>
      <c r="C1700" s="42" t="s">
        <v>870</v>
      </c>
      <c r="D1700" s="42" t="s">
        <v>557</v>
      </c>
      <c r="E1700" s="42" t="s">
        <v>650</v>
      </c>
      <c r="F1700" s="42" t="s">
        <v>1775</v>
      </c>
      <c r="G1700" s="42" t="s">
        <v>1207</v>
      </c>
      <c r="H1700" s="43"/>
      <c r="I1700" s="43"/>
      <c r="J1700" s="43"/>
      <c r="K1700" s="43"/>
      <c r="L1700" s="43"/>
      <c r="M1700" s="43"/>
      <c r="N1700" s="43"/>
      <c r="O1700" s="43"/>
      <c r="P1700" s="43"/>
      <c r="Q1700" s="43"/>
      <c r="R1700" s="43"/>
      <c r="S1700" s="43"/>
      <c r="T1700" s="43"/>
      <c r="U1700" s="43"/>
      <c r="V1700" s="43"/>
    </row>
    <row r="1701" spans="1:22" ht="15.75" customHeight="1" x14ac:dyDescent="0.2">
      <c r="A1701" s="40">
        <v>217</v>
      </c>
      <c r="B1701" s="41" t="s">
        <v>946</v>
      </c>
      <c r="C1701" s="42" t="s">
        <v>1639</v>
      </c>
      <c r="D1701" s="42" t="s">
        <v>1734</v>
      </c>
      <c r="E1701" s="42" t="s">
        <v>1376</v>
      </c>
      <c r="F1701" s="42" t="s">
        <v>1775</v>
      </c>
      <c r="G1701" s="42" t="s">
        <v>1207</v>
      </c>
      <c r="H1701" s="43"/>
      <c r="I1701" s="43"/>
      <c r="J1701" s="43"/>
      <c r="K1701" s="43"/>
      <c r="L1701" s="43"/>
      <c r="M1701" s="43"/>
      <c r="N1701" s="43"/>
      <c r="O1701" s="43"/>
      <c r="P1701" s="43"/>
      <c r="Q1701" s="43"/>
      <c r="R1701" s="43"/>
      <c r="S1701" s="43"/>
      <c r="T1701" s="43"/>
      <c r="U1701" s="43"/>
      <c r="V1701" s="43"/>
    </row>
    <row r="1702" spans="1:22" ht="15.75" customHeight="1" x14ac:dyDescent="0.2">
      <c r="A1702" s="40">
        <v>299</v>
      </c>
      <c r="B1702" s="41" t="s">
        <v>552</v>
      </c>
      <c r="C1702" s="42" t="s">
        <v>1639</v>
      </c>
      <c r="D1702" s="42" t="s">
        <v>1734</v>
      </c>
      <c r="E1702" s="42" t="s">
        <v>1376</v>
      </c>
      <c r="F1702" s="42" t="s">
        <v>1775</v>
      </c>
      <c r="G1702" s="42" t="s">
        <v>1207</v>
      </c>
      <c r="H1702" s="43"/>
      <c r="I1702" s="43"/>
      <c r="J1702" s="43"/>
      <c r="K1702" s="43"/>
      <c r="L1702" s="43"/>
      <c r="M1702" s="43"/>
      <c r="N1702" s="43"/>
      <c r="O1702" s="43"/>
      <c r="P1702" s="43"/>
      <c r="Q1702" s="43"/>
      <c r="R1702" s="43"/>
      <c r="S1702" s="43"/>
      <c r="T1702" s="43"/>
      <c r="U1702" s="43"/>
      <c r="V1702" s="43"/>
    </row>
    <row r="1703" spans="1:22" ht="15.75" customHeight="1" x14ac:dyDescent="0.2">
      <c r="A1703" s="40">
        <v>351</v>
      </c>
      <c r="B1703" s="41" t="s">
        <v>1162</v>
      </c>
      <c r="C1703" s="42" t="s">
        <v>1314</v>
      </c>
      <c r="D1703" s="42" t="s">
        <v>325</v>
      </c>
      <c r="E1703" s="42" t="s">
        <v>1490</v>
      </c>
      <c r="F1703" s="42" t="s">
        <v>1775</v>
      </c>
      <c r="G1703" s="42" t="s">
        <v>1207</v>
      </c>
      <c r="H1703" s="43"/>
      <c r="I1703" s="43"/>
      <c r="J1703" s="43"/>
      <c r="K1703" s="43"/>
      <c r="L1703" s="43"/>
      <c r="M1703" s="43"/>
      <c r="N1703" s="43"/>
      <c r="O1703" s="43"/>
      <c r="P1703" s="43"/>
      <c r="Q1703" s="43"/>
      <c r="R1703" s="43"/>
      <c r="S1703" s="43"/>
      <c r="T1703" s="43"/>
      <c r="U1703" s="43"/>
      <c r="V1703" s="43"/>
    </row>
    <row r="1704" spans="1:22" ht="15.75" customHeight="1" x14ac:dyDescent="0.2">
      <c r="A1704" s="40">
        <v>429</v>
      </c>
      <c r="B1704" s="41" t="s">
        <v>672</v>
      </c>
      <c r="C1704" s="42" t="s">
        <v>1776</v>
      </c>
      <c r="D1704" s="42" t="s">
        <v>474</v>
      </c>
      <c r="E1704" s="42" t="s">
        <v>575</v>
      </c>
      <c r="F1704" s="42" t="s">
        <v>1775</v>
      </c>
      <c r="G1704" s="42" t="s">
        <v>1207</v>
      </c>
      <c r="H1704" s="43"/>
      <c r="I1704" s="43"/>
      <c r="J1704" s="43"/>
      <c r="K1704" s="43"/>
      <c r="L1704" s="43"/>
      <c r="M1704" s="43"/>
      <c r="N1704" s="43"/>
      <c r="O1704" s="43"/>
      <c r="P1704" s="43"/>
      <c r="Q1704" s="43"/>
      <c r="R1704" s="43"/>
      <c r="S1704" s="43"/>
      <c r="T1704" s="43"/>
      <c r="U1704" s="43"/>
      <c r="V1704" s="43"/>
    </row>
    <row r="1705" spans="1:22" ht="15.75" customHeight="1" x14ac:dyDescent="0.2">
      <c r="A1705" s="40">
        <v>469</v>
      </c>
      <c r="B1705" s="41" t="s">
        <v>1018</v>
      </c>
      <c r="C1705" s="42" t="s">
        <v>1777</v>
      </c>
      <c r="D1705" s="42" t="s">
        <v>1778</v>
      </c>
      <c r="E1705" s="42" t="s">
        <v>251</v>
      </c>
      <c r="F1705" s="42" t="s">
        <v>1775</v>
      </c>
      <c r="G1705" s="42" t="s">
        <v>1207</v>
      </c>
      <c r="H1705" s="43"/>
      <c r="I1705" s="43"/>
      <c r="J1705" s="43"/>
      <c r="K1705" s="43"/>
      <c r="L1705" s="43"/>
      <c r="M1705" s="43"/>
      <c r="N1705" s="43"/>
      <c r="O1705" s="43"/>
      <c r="P1705" s="43"/>
      <c r="Q1705" s="43"/>
      <c r="R1705" s="43"/>
      <c r="S1705" s="43"/>
      <c r="T1705" s="43"/>
      <c r="U1705" s="43"/>
      <c r="V1705" s="43"/>
    </row>
    <row r="1706" spans="1:22" ht="15.75" customHeight="1" x14ac:dyDescent="0.2">
      <c r="A1706" s="40">
        <v>471</v>
      </c>
      <c r="B1706" s="41" t="s">
        <v>1018</v>
      </c>
      <c r="C1706" s="42" t="s">
        <v>1779</v>
      </c>
      <c r="D1706" s="42" t="s">
        <v>1780</v>
      </c>
      <c r="E1706" s="42" t="s">
        <v>1499</v>
      </c>
      <c r="F1706" s="42" t="s">
        <v>1775</v>
      </c>
      <c r="G1706" s="42" t="s">
        <v>1207</v>
      </c>
      <c r="H1706" s="43"/>
      <c r="I1706" s="43"/>
      <c r="J1706" s="43"/>
      <c r="K1706" s="43"/>
      <c r="L1706" s="43"/>
      <c r="M1706" s="43"/>
      <c r="N1706" s="43"/>
      <c r="O1706" s="43"/>
      <c r="P1706" s="43"/>
      <c r="Q1706" s="43"/>
      <c r="R1706" s="43"/>
      <c r="S1706" s="43"/>
      <c r="T1706" s="43"/>
      <c r="U1706" s="43"/>
      <c r="V1706" s="43"/>
    </row>
    <row r="1707" spans="1:22" ht="15.75" customHeight="1" x14ac:dyDescent="0.2">
      <c r="A1707" s="40">
        <v>573</v>
      </c>
      <c r="B1707" s="41" t="s">
        <v>368</v>
      </c>
      <c r="C1707" s="42" t="s">
        <v>1781</v>
      </c>
      <c r="D1707" s="42" t="s">
        <v>1782</v>
      </c>
      <c r="E1707" s="42" t="s">
        <v>134</v>
      </c>
      <c r="F1707" s="42" t="s">
        <v>1775</v>
      </c>
      <c r="G1707" s="42" t="s">
        <v>1207</v>
      </c>
      <c r="H1707" s="43"/>
      <c r="I1707" s="43"/>
      <c r="J1707" s="43"/>
      <c r="K1707" s="43"/>
      <c r="L1707" s="43"/>
      <c r="M1707" s="43"/>
      <c r="N1707" s="43"/>
      <c r="O1707" s="43"/>
      <c r="P1707" s="43"/>
      <c r="Q1707" s="43"/>
      <c r="R1707" s="43"/>
      <c r="S1707" s="43"/>
      <c r="T1707" s="43"/>
      <c r="U1707" s="43"/>
      <c r="V1707" s="43"/>
    </row>
    <row r="1708" spans="1:22" ht="15.75" customHeight="1" x14ac:dyDescent="0.2">
      <c r="A1708" s="40">
        <v>2817</v>
      </c>
      <c r="B1708" s="41" t="s">
        <v>1348</v>
      </c>
      <c r="C1708" s="42" t="s">
        <v>1776</v>
      </c>
      <c r="D1708" s="42" t="s">
        <v>474</v>
      </c>
      <c r="E1708" s="42" t="s">
        <v>575</v>
      </c>
      <c r="F1708" s="42" t="s">
        <v>1775</v>
      </c>
      <c r="G1708" s="42" t="s">
        <v>1207</v>
      </c>
      <c r="H1708" s="43"/>
      <c r="I1708" s="43"/>
      <c r="J1708" s="43"/>
      <c r="K1708" s="43"/>
      <c r="L1708" s="43"/>
      <c r="M1708" s="43"/>
      <c r="N1708" s="43"/>
      <c r="O1708" s="43"/>
      <c r="P1708" s="43"/>
      <c r="Q1708" s="43"/>
      <c r="R1708" s="43"/>
      <c r="S1708" s="43"/>
      <c r="T1708" s="43"/>
      <c r="U1708" s="43"/>
      <c r="V1708" s="43"/>
    </row>
    <row r="1709" spans="1:22" ht="15.75" customHeight="1" x14ac:dyDescent="0.2">
      <c r="A1709" s="40">
        <v>2819</v>
      </c>
      <c r="B1709" s="41" t="s">
        <v>1348</v>
      </c>
      <c r="C1709" s="42" t="s">
        <v>1779</v>
      </c>
      <c r="D1709" s="42" t="s">
        <v>1780</v>
      </c>
      <c r="E1709" s="42" t="s">
        <v>1499</v>
      </c>
      <c r="F1709" s="42" t="s">
        <v>1775</v>
      </c>
      <c r="G1709" s="42" t="s">
        <v>1207</v>
      </c>
      <c r="H1709" s="43"/>
      <c r="I1709" s="43"/>
      <c r="J1709" s="43"/>
      <c r="K1709" s="43"/>
      <c r="L1709" s="43"/>
      <c r="M1709" s="43"/>
      <c r="N1709" s="43"/>
      <c r="O1709" s="43"/>
      <c r="P1709" s="43"/>
      <c r="Q1709" s="43"/>
      <c r="R1709" s="43"/>
      <c r="S1709" s="43"/>
      <c r="T1709" s="43"/>
      <c r="U1709" s="43"/>
      <c r="V1709" s="43"/>
    </row>
    <row r="1710" spans="1:22" ht="15.75" customHeight="1" x14ac:dyDescent="0.2">
      <c r="A1710" s="40">
        <v>67</v>
      </c>
      <c r="B1710" s="41" t="s">
        <v>1301</v>
      </c>
      <c r="C1710" s="42" t="s">
        <v>1783</v>
      </c>
      <c r="D1710" s="42" t="s">
        <v>1070</v>
      </c>
      <c r="E1710" s="42" t="s">
        <v>393</v>
      </c>
      <c r="F1710" s="42" t="s">
        <v>1784</v>
      </c>
      <c r="G1710" s="42" t="s">
        <v>1207</v>
      </c>
      <c r="H1710" s="43"/>
      <c r="I1710" s="43"/>
      <c r="J1710" s="43"/>
      <c r="K1710" s="43"/>
      <c r="L1710" s="43"/>
      <c r="M1710" s="43"/>
      <c r="N1710" s="43"/>
      <c r="O1710" s="43"/>
      <c r="P1710" s="43"/>
      <c r="Q1710" s="43"/>
      <c r="R1710" s="43"/>
      <c r="S1710" s="43"/>
      <c r="T1710" s="43"/>
      <c r="U1710" s="43"/>
      <c r="V1710" s="43"/>
    </row>
    <row r="1711" spans="1:22" ht="15.75" customHeight="1" x14ac:dyDescent="0.2">
      <c r="A1711" s="40">
        <v>177</v>
      </c>
      <c r="B1711" s="41" t="s">
        <v>549</v>
      </c>
      <c r="C1711" s="42" t="s">
        <v>1785</v>
      </c>
      <c r="D1711" s="42" t="s">
        <v>116</v>
      </c>
      <c r="E1711" s="42" t="s">
        <v>630</v>
      </c>
      <c r="F1711" s="42" t="s">
        <v>1784</v>
      </c>
      <c r="G1711" s="42" t="s">
        <v>1207</v>
      </c>
      <c r="H1711" s="43"/>
      <c r="I1711" s="43"/>
      <c r="J1711" s="43"/>
      <c r="K1711" s="43"/>
      <c r="L1711" s="43"/>
      <c r="M1711" s="43"/>
      <c r="N1711" s="43"/>
      <c r="O1711" s="43"/>
      <c r="P1711" s="43"/>
      <c r="Q1711" s="43"/>
      <c r="R1711" s="43"/>
      <c r="S1711" s="43"/>
      <c r="T1711" s="43"/>
      <c r="U1711" s="43"/>
      <c r="V1711" s="43"/>
    </row>
    <row r="1712" spans="1:22" ht="15.75" customHeight="1" x14ac:dyDescent="0.2">
      <c r="A1712" s="40">
        <v>179</v>
      </c>
      <c r="B1712" s="41" t="s">
        <v>549</v>
      </c>
      <c r="C1712" s="42" t="s">
        <v>1786</v>
      </c>
      <c r="D1712" s="42" t="s">
        <v>1598</v>
      </c>
      <c r="E1712" s="42" t="s">
        <v>1048</v>
      </c>
      <c r="F1712" s="42" t="s">
        <v>1784</v>
      </c>
      <c r="G1712" s="42" t="s">
        <v>1207</v>
      </c>
      <c r="H1712" s="43"/>
      <c r="I1712" s="43"/>
      <c r="J1712" s="43"/>
      <c r="K1712" s="43"/>
      <c r="L1712" s="43"/>
      <c r="M1712" s="43"/>
      <c r="N1712" s="43"/>
      <c r="O1712" s="43"/>
      <c r="P1712" s="43"/>
      <c r="Q1712" s="43"/>
      <c r="R1712" s="43"/>
      <c r="S1712" s="43"/>
      <c r="T1712" s="43"/>
      <c r="U1712" s="43"/>
      <c r="V1712" s="43"/>
    </row>
    <row r="1713" spans="1:22" ht="15.75" customHeight="1" x14ac:dyDescent="0.2">
      <c r="A1713" s="40">
        <v>301</v>
      </c>
      <c r="B1713" s="41" t="s">
        <v>552</v>
      </c>
      <c r="C1713" s="42" t="s">
        <v>1787</v>
      </c>
      <c r="D1713" s="42" t="s">
        <v>1734</v>
      </c>
      <c r="E1713" s="42" t="s">
        <v>567</v>
      </c>
      <c r="F1713" s="42" t="s">
        <v>1784</v>
      </c>
      <c r="G1713" s="42" t="s">
        <v>1207</v>
      </c>
      <c r="H1713" s="43"/>
      <c r="I1713" s="43"/>
      <c r="J1713" s="43"/>
      <c r="K1713" s="43"/>
      <c r="L1713" s="43"/>
      <c r="M1713" s="43"/>
      <c r="N1713" s="43"/>
      <c r="O1713" s="43"/>
      <c r="P1713" s="43"/>
      <c r="Q1713" s="43"/>
      <c r="R1713" s="43"/>
      <c r="S1713" s="43"/>
      <c r="T1713" s="43"/>
      <c r="U1713" s="43"/>
      <c r="V1713" s="43"/>
    </row>
    <row r="1714" spans="1:22" ht="15.75" customHeight="1" x14ac:dyDescent="0.2">
      <c r="A1714" s="40">
        <v>303</v>
      </c>
      <c r="B1714" s="41" t="s">
        <v>552</v>
      </c>
      <c r="C1714" s="42" t="s">
        <v>1788</v>
      </c>
      <c r="D1714" s="42" t="s">
        <v>1329</v>
      </c>
      <c r="E1714" s="42" t="s">
        <v>1419</v>
      </c>
      <c r="F1714" s="42" t="s">
        <v>1784</v>
      </c>
      <c r="G1714" s="42" t="s">
        <v>1207</v>
      </c>
      <c r="H1714" s="43"/>
      <c r="I1714" s="43"/>
      <c r="J1714" s="43"/>
      <c r="K1714" s="43"/>
      <c r="L1714" s="43"/>
      <c r="M1714" s="43"/>
      <c r="N1714" s="43"/>
      <c r="O1714" s="43"/>
      <c r="P1714" s="43"/>
      <c r="Q1714" s="43"/>
      <c r="R1714" s="43"/>
      <c r="S1714" s="43"/>
      <c r="T1714" s="43"/>
      <c r="U1714" s="43"/>
      <c r="V1714" s="43"/>
    </row>
    <row r="1715" spans="1:22" ht="15.75" customHeight="1" x14ac:dyDescent="0.2">
      <c r="A1715" s="40">
        <v>305</v>
      </c>
      <c r="B1715" s="41" t="s">
        <v>552</v>
      </c>
      <c r="C1715" s="42" t="s">
        <v>1789</v>
      </c>
      <c r="D1715" s="42" t="s">
        <v>643</v>
      </c>
      <c r="E1715" s="42" t="s">
        <v>40</v>
      </c>
      <c r="F1715" s="42" t="s">
        <v>1784</v>
      </c>
      <c r="G1715" s="42" t="s">
        <v>1207</v>
      </c>
      <c r="H1715" s="43"/>
      <c r="I1715" s="43"/>
      <c r="J1715" s="43"/>
      <c r="K1715" s="43"/>
      <c r="L1715" s="43"/>
      <c r="M1715" s="43"/>
      <c r="N1715" s="43"/>
      <c r="O1715" s="43"/>
      <c r="P1715" s="43"/>
      <c r="Q1715" s="43"/>
      <c r="R1715" s="43"/>
      <c r="S1715" s="43"/>
      <c r="T1715" s="43"/>
      <c r="U1715" s="43"/>
      <c r="V1715" s="43"/>
    </row>
    <row r="1716" spans="1:22" ht="15.75" customHeight="1" x14ac:dyDescent="0.2">
      <c r="A1716" s="40">
        <v>309</v>
      </c>
      <c r="B1716" s="41" t="s">
        <v>552</v>
      </c>
      <c r="C1716" s="42" t="s">
        <v>1790</v>
      </c>
      <c r="D1716" s="42" t="s">
        <v>554</v>
      </c>
      <c r="E1716" s="42" t="s">
        <v>273</v>
      </c>
      <c r="F1716" s="42" t="s">
        <v>1784</v>
      </c>
      <c r="G1716" s="42" t="s">
        <v>1207</v>
      </c>
      <c r="H1716" s="43"/>
      <c r="I1716" s="43"/>
      <c r="J1716" s="43"/>
      <c r="K1716" s="43"/>
      <c r="L1716" s="43"/>
      <c r="M1716" s="43"/>
      <c r="N1716" s="43"/>
      <c r="O1716" s="43"/>
      <c r="P1716" s="43"/>
      <c r="Q1716" s="43"/>
      <c r="R1716" s="43"/>
      <c r="S1716" s="43"/>
      <c r="T1716" s="43"/>
      <c r="U1716" s="43"/>
      <c r="V1716" s="43"/>
    </row>
    <row r="1717" spans="1:22" ht="15.75" customHeight="1" x14ac:dyDescent="0.2">
      <c r="A1717" s="40">
        <v>345</v>
      </c>
      <c r="B1717" s="41" t="s">
        <v>1162</v>
      </c>
      <c r="C1717" s="42" t="s">
        <v>1791</v>
      </c>
      <c r="D1717" s="42" t="s">
        <v>1640</v>
      </c>
      <c r="E1717" s="42" t="s">
        <v>1792</v>
      </c>
      <c r="F1717" s="42" t="s">
        <v>1784</v>
      </c>
      <c r="G1717" s="42" t="s">
        <v>1207</v>
      </c>
      <c r="H1717" s="43"/>
      <c r="I1717" s="43"/>
      <c r="J1717" s="43"/>
      <c r="K1717" s="43"/>
      <c r="L1717" s="43"/>
      <c r="M1717" s="43"/>
      <c r="N1717" s="43"/>
      <c r="O1717" s="43"/>
      <c r="P1717" s="43"/>
      <c r="Q1717" s="43"/>
      <c r="R1717" s="43"/>
      <c r="S1717" s="43"/>
      <c r="T1717" s="43"/>
      <c r="U1717" s="43"/>
      <c r="V1717" s="43"/>
    </row>
    <row r="1718" spans="1:22" ht="15.75" customHeight="1" x14ac:dyDescent="0.2">
      <c r="A1718" s="40">
        <v>347</v>
      </c>
      <c r="B1718" s="41" t="s">
        <v>1162</v>
      </c>
      <c r="C1718" s="42" t="s">
        <v>1793</v>
      </c>
      <c r="D1718" s="42" t="s">
        <v>1300</v>
      </c>
      <c r="E1718" s="42" t="s">
        <v>918</v>
      </c>
      <c r="F1718" s="42" t="s">
        <v>1784</v>
      </c>
      <c r="G1718" s="42" t="s">
        <v>1207</v>
      </c>
      <c r="H1718" s="43"/>
      <c r="I1718" s="43"/>
      <c r="J1718" s="43"/>
      <c r="K1718" s="43"/>
      <c r="L1718" s="43"/>
      <c r="M1718" s="43"/>
      <c r="N1718" s="43"/>
      <c r="O1718" s="43"/>
      <c r="P1718" s="43"/>
      <c r="Q1718" s="43"/>
      <c r="R1718" s="43"/>
      <c r="S1718" s="43"/>
      <c r="T1718" s="43"/>
      <c r="U1718" s="43"/>
      <c r="V1718" s="43"/>
    </row>
    <row r="1719" spans="1:22" ht="15.75" customHeight="1" x14ac:dyDescent="0.2">
      <c r="A1719" s="40">
        <v>553</v>
      </c>
      <c r="B1719" s="41" t="s">
        <v>368</v>
      </c>
      <c r="C1719" s="42" t="s">
        <v>1794</v>
      </c>
      <c r="D1719" s="42" t="s">
        <v>388</v>
      </c>
      <c r="E1719" s="42" t="s">
        <v>1445</v>
      </c>
      <c r="F1719" s="42" t="s">
        <v>1784</v>
      </c>
      <c r="G1719" s="42" t="s">
        <v>1207</v>
      </c>
      <c r="H1719" s="43"/>
      <c r="I1719" s="43"/>
      <c r="J1719" s="43"/>
      <c r="K1719" s="43"/>
      <c r="L1719" s="43"/>
      <c r="M1719" s="43"/>
      <c r="N1719" s="43"/>
      <c r="O1719" s="43"/>
      <c r="P1719" s="43"/>
      <c r="Q1719" s="43"/>
      <c r="R1719" s="43"/>
      <c r="S1719" s="43"/>
      <c r="T1719" s="43"/>
      <c r="U1719" s="43"/>
      <c r="V1719" s="43"/>
    </row>
    <row r="1720" spans="1:22" ht="15.75" customHeight="1" x14ac:dyDescent="0.2">
      <c r="A1720" s="40">
        <v>565</v>
      </c>
      <c r="B1720" s="41" t="s">
        <v>368</v>
      </c>
      <c r="C1720" s="42" t="s">
        <v>1795</v>
      </c>
      <c r="D1720" s="42" t="s">
        <v>501</v>
      </c>
      <c r="E1720" s="42" t="s">
        <v>1796</v>
      </c>
      <c r="F1720" s="42" t="s">
        <v>1784</v>
      </c>
      <c r="G1720" s="42" t="s">
        <v>1207</v>
      </c>
      <c r="H1720" s="43"/>
      <c r="I1720" s="43"/>
      <c r="J1720" s="43"/>
      <c r="K1720" s="43"/>
      <c r="L1720" s="43"/>
      <c r="M1720" s="43"/>
      <c r="N1720" s="43"/>
      <c r="O1720" s="43"/>
      <c r="P1720" s="43"/>
      <c r="Q1720" s="43"/>
      <c r="R1720" s="43"/>
      <c r="S1720" s="43"/>
      <c r="T1720" s="43"/>
      <c r="U1720" s="43"/>
      <c r="V1720" s="43"/>
    </row>
    <row r="1721" spans="1:22" ht="15.75" customHeight="1" x14ac:dyDescent="0.2">
      <c r="A1721" s="40">
        <v>597</v>
      </c>
      <c r="B1721" s="41" t="s">
        <v>428</v>
      </c>
      <c r="C1721" s="42" t="s">
        <v>1797</v>
      </c>
      <c r="D1721" s="42" t="s">
        <v>1798</v>
      </c>
      <c r="E1721" s="42" t="s">
        <v>1441</v>
      </c>
      <c r="F1721" s="42" t="s">
        <v>1784</v>
      </c>
      <c r="G1721" s="42" t="s">
        <v>1207</v>
      </c>
      <c r="H1721" s="43"/>
      <c r="I1721" s="43"/>
      <c r="J1721" s="43"/>
      <c r="K1721" s="43"/>
      <c r="L1721" s="43"/>
      <c r="M1721" s="43"/>
      <c r="N1721" s="43"/>
      <c r="O1721" s="43"/>
      <c r="P1721" s="43"/>
      <c r="Q1721" s="43"/>
      <c r="R1721" s="43"/>
      <c r="S1721" s="43"/>
      <c r="T1721" s="43"/>
      <c r="U1721" s="43"/>
      <c r="V1721" s="43"/>
    </row>
    <row r="1722" spans="1:22" ht="15.75" customHeight="1" x14ac:dyDescent="0.2">
      <c r="A1722" s="40">
        <v>929</v>
      </c>
      <c r="B1722" s="41" t="s">
        <v>709</v>
      </c>
      <c r="C1722" s="42" t="s">
        <v>1799</v>
      </c>
      <c r="D1722" s="42" t="s">
        <v>1070</v>
      </c>
      <c r="E1722" s="42" t="s">
        <v>22</v>
      </c>
      <c r="F1722" s="42" t="s">
        <v>1784</v>
      </c>
      <c r="G1722" s="42" t="s">
        <v>1207</v>
      </c>
      <c r="H1722" s="43"/>
      <c r="I1722" s="43"/>
      <c r="J1722" s="43"/>
      <c r="K1722" s="43"/>
      <c r="L1722" s="43"/>
      <c r="M1722" s="43"/>
      <c r="N1722" s="43"/>
      <c r="O1722" s="43"/>
      <c r="P1722" s="43"/>
      <c r="Q1722" s="43"/>
      <c r="R1722" s="43"/>
      <c r="S1722" s="43"/>
      <c r="T1722" s="43"/>
      <c r="U1722" s="43"/>
      <c r="V1722" s="43"/>
    </row>
    <row r="1723" spans="1:22" ht="15.75" customHeight="1" x14ac:dyDescent="0.2">
      <c r="A1723" s="40">
        <v>1277</v>
      </c>
      <c r="B1723" s="41" t="s">
        <v>453</v>
      </c>
      <c r="C1723" s="42" t="s">
        <v>1786</v>
      </c>
      <c r="D1723" s="42" t="s">
        <v>1598</v>
      </c>
      <c r="E1723" s="42" t="s">
        <v>1048</v>
      </c>
      <c r="F1723" s="42" t="s">
        <v>1784</v>
      </c>
      <c r="G1723" s="42" t="s">
        <v>1207</v>
      </c>
      <c r="H1723" s="43"/>
      <c r="I1723" s="43"/>
      <c r="J1723" s="43"/>
      <c r="K1723" s="43"/>
      <c r="L1723" s="43"/>
      <c r="M1723" s="43"/>
      <c r="N1723" s="43"/>
      <c r="O1723" s="43"/>
      <c r="P1723" s="43"/>
      <c r="Q1723" s="43"/>
      <c r="R1723" s="43"/>
      <c r="S1723" s="43"/>
      <c r="T1723" s="43"/>
      <c r="U1723" s="43"/>
      <c r="V1723" s="43"/>
    </row>
    <row r="1724" spans="1:22" ht="15.75" customHeight="1" x14ac:dyDescent="0.2">
      <c r="A1724" s="40">
        <v>1353</v>
      </c>
      <c r="B1724" s="41" t="s">
        <v>601</v>
      </c>
      <c r="C1724" s="42" t="s">
        <v>1800</v>
      </c>
      <c r="D1724" s="42" t="s">
        <v>86</v>
      </c>
      <c r="E1724" s="42" t="s">
        <v>40</v>
      </c>
      <c r="F1724" s="42" t="s">
        <v>1784</v>
      </c>
      <c r="G1724" s="42" t="s">
        <v>1207</v>
      </c>
      <c r="H1724" s="43"/>
      <c r="I1724" s="43"/>
      <c r="J1724" s="43"/>
      <c r="K1724" s="43"/>
      <c r="L1724" s="43"/>
      <c r="M1724" s="43"/>
      <c r="N1724" s="43"/>
      <c r="O1724" s="43"/>
      <c r="P1724" s="43"/>
      <c r="Q1724" s="43"/>
      <c r="R1724" s="43"/>
      <c r="S1724" s="43"/>
      <c r="T1724" s="43"/>
      <c r="U1724" s="43"/>
      <c r="V1724" s="43"/>
    </row>
    <row r="1725" spans="1:22" ht="15.75" customHeight="1" x14ac:dyDescent="0.2">
      <c r="A1725" s="40">
        <v>1371</v>
      </c>
      <c r="B1725" s="41" t="s">
        <v>601</v>
      </c>
      <c r="C1725" s="42" t="s">
        <v>1787</v>
      </c>
      <c r="D1725" s="42" t="s">
        <v>1734</v>
      </c>
      <c r="E1725" s="42" t="s">
        <v>567</v>
      </c>
      <c r="F1725" s="42" t="s">
        <v>1784</v>
      </c>
      <c r="G1725" s="42" t="s">
        <v>1207</v>
      </c>
      <c r="H1725" s="43"/>
      <c r="I1725" s="43"/>
      <c r="J1725" s="43"/>
      <c r="K1725" s="43"/>
      <c r="L1725" s="43"/>
      <c r="M1725" s="43"/>
      <c r="N1725" s="43"/>
      <c r="O1725" s="43"/>
      <c r="P1725" s="43"/>
      <c r="Q1725" s="43"/>
      <c r="R1725" s="43"/>
      <c r="S1725" s="43"/>
      <c r="T1725" s="43"/>
      <c r="U1725" s="43"/>
      <c r="V1725" s="43"/>
    </row>
    <row r="1726" spans="1:22" ht="15.75" customHeight="1" x14ac:dyDescent="0.2">
      <c r="A1726" s="40">
        <v>1481</v>
      </c>
      <c r="B1726" s="41" t="s">
        <v>957</v>
      </c>
      <c r="C1726" s="42" t="s">
        <v>1801</v>
      </c>
      <c r="D1726" s="42" t="s">
        <v>266</v>
      </c>
      <c r="E1726" s="42" t="s">
        <v>1431</v>
      </c>
      <c r="F1726" s="42" t="s">
        <v>1784</v>
      </c>
      <c r="G1726" s="42" t="s">
        <v>1207</v>
      </c>
      <c r="H1726" s="43"/>
      <c r="I1726" s="43"/>
      <c r="J1726" s="43"/>
      <c r="K1726" s="43"/>
      <c r="L1726" s="43"/>
      <c r="M1726" s="43"/>
      <c r="N1726" s="43"/>
      <c r="O1726" s="43"/>
      <c r="P1726" s="43"/>
      <c r="Q1726" s="43"/>
      <c r="R1726" s="43"/>
      <c r="S1726" s="43"/>
      <c r="T1726" s="43"/>
      <c r="U1726" s="43"/>
      <c r="V1726" s="43"/>
    </row>
    <row r="1727" spans="1:22" ht="15.75" customHeight="1" x14ac:dyDescent="0.2">
      <c r="A1727" s="40">
        <v>1631</v>
      </c>
      <c r="B1727" s="41" t="s">
        <v>267</v>
      </c>
      <c r="C1727" s="42" t="s">
        <v>1802</v>
      </c>
      <c r="D1727" s="42" t="s">
        <v>557</v>
      </c>
      <c r="E1727" s="42" t="s">
        <v>70</v>
      </c>
      <c r="F1727" s="42" t="s">
        <v>1784</v>
      </c>
      <c r="G1727" s="42" t="s">
        <v>1207</v>
      </c>
      <c r="H1727" s="43"/>
      <c r="I1727" s="43"/>
      <c r="J1727" s="43"/>
      <c r="K1727" s="43"/>
      <c r="L1727" s="43"/>
      <c r="M1727" s="43"/>
      <c r="N1727" s="43"/>
      <c r="O1727" s="43"/>
      <c r="P1727" s="43"/>
      <c r="Q1727" s="43"/>
      <c r="R1727" s="43"/>
      <c r="S1727" s="43"/>
      <c r="T1727" s="43"/>
      <c r="U1727" s="43"/>
      <c r="V1727" s="43"/>
    </row>
    <row r="1728" spans="1:22" ht="15.75" customHeight="1" x14ac:dyDescent="0.2">
      <c r="A1728" s="40">
        <v>1655</v>
      </c>
      <c r="B1728" s="41" t="s">
        <v>435</v>
      </c>
      <c r="C1728" s="42" t="s">
        <v>1803</v>
      </c>
      <c r="D1728" s="42" t="s">
        <v>78</v>
      </c>
      <c r="E1728" s="42" t="s">
        <v>40</v>
      </c>
      <c r="F1728" s="42" t="s">
        <v>1784</v>
      </c>
      <c r="G1728" s="42" t="s">
        <v>1207</v>
      </c>
      <c r="H1728" s="43"/>
      <c r="I1728" s="43"/>
      <c r="J1728" s="43"/>
      <c r="K1728" s="43"/>
      <c r="L1728" s="43"/>
      <c r="M1728" s="43"/>
      <c r="N1728" s="43"/>
      <c r="O1728" s="43"/>
      <c r="P1728" s="43"/>
      <c r="Q1728" s="43"/>
      <c r="R1728" s="43"/>
      <c r="S1728" s="43"/>
      <c r="T1728" s="43"/>
      <c r="U1728" s="43"/>
      <c r="V1728" s="43"/>
    </row>
    <row r="1729" spans="1:22" ht="15.75" customHeight="1" x14ac:dyDescent="0.2">
      <c r="A1729" s="40">
        <v>1663</v>
      </c>
      <c r="B1729" s="41" t="s">
        <v>435</v>
      </c>
      <c r="C1729" s="42" t="s">
        <v>1804</v>
      </c>
      <c r="D1729" s="42" t="s">
        <v>989</v>
      </c>
      <c r="E1729" s="42" t="s">
        <v>1235</v>
      </c>
      <c r="F1729" s="42" t="s">
        <v>1784</v>
      </c>
      <c r="G1729" s="42" t="s">
        <v>1207</v>
      </c>
      <c r="H1729" s="43"/>
      <c r="I1729" s="43"/>
      <c r="J1729" s="43"/>
      <c r="K1729" s="43"/>
      <c r="L1729" s="43"/>
      <c r="M1729" s="43"/>
      <c r="N1729" s="43"/>
      <c r="O1729" s="43"/>
      <c r="P1729" s="43"/>
      <c r="Q1729" s="43"/>
      <c r="R1729" s="43"/>
      <c r="S1729" s="43"/>
      <c r="T1729" s="43"/>
      <c r="U1729" s="43"/>
      <c r="V1729" s="43"/>
    </row>
    <row r="1730" spans="1:22" ht="15.75" customHeight="1" x14ac:dyDescent="0.2">
      <c r="A1730" s="40">
        <v>1783</v>
      </c>
      <c r="B1730" s="41" t="s">
        <v>442</v>
      </c>
      <c r="C1730" s="42" t="s">
        <v>1786</v>
      </c>
      <c r="D1730" s="42" t="s">
        <v>1598</v>
      </c>
      <c r="E1730" s="42" t="s">
        <v>1048</v>
      </c>
      <c r="F1730" s="42" t="s">
        <v>1784</v>
      </c>
      <c r="G1730" s="42" t="s">
        <v>1207</v>
      </c>
      <c r="H1730" s="43"/>
      <c r="I1730" s="43"/>
      <c r="J1730" s="43"/>
      <c r="K1730" s="43"/>
      <c r="L1730" s="43"/>
      <c r="M1730" s="43"/>
      <c r="N1730" s="43"/>
      <c r="O1730" s="43"/>
      <c r="P1730" s="43"/>
      <c r="Q1730" s="43"/>
      <c r="R1730" s="43"/>
      <c r="S1730" s="43"/>
      <c r="T1730" s="43"/>
      <c r="U1730" s="43"/>
      <c r="V1730" s="43"/>
    </row>
    <row r="1731" spans="1:22" ht="15.75" customHeight="1" x14ac:dyDescent="0.2">
      <c r="A1731" s="40">
        <v>1941</v>
      </c>
      <c r="B1731" s="41" t="s">
        <v>278</v>
      </c>
      <c r="C1731" s="42" t="s">
        <v>1801</v>
      </c>
      <c r="D1731" s="42" t="s">
        <v>266</v>
      </c>
      <c r="E1731" s="42" t="s">
        <v>1431</v>
      </c>
      <c r="F1731" s="42" t="s">
        <v>1784</v>
      </c>
      <c r="G1731" s="42" t="s">
        <v>1207</v>
      </c>
      <c r="H1731" s="43"/>
      <c r="I1731" s="43"/>
      <c r="J1731" s="43"/>
      <c r="K1731" s="43"/>
      <c r="L1731" s="43"/>
      <c r="M1731" s="43"/>
      <c r="N1731" s="43"/>
      <c r="O1731" s="43"/>
      <c r="P1731" s="43"/>
      <c r="Q1731" s="43"/>
      <c r="R1731" s="43"/>
      <c r="S1731" s="43"/>
      <c r="T1731" s="43"/>
      <c r="U1731" s="43"/>
      <c r="V1731" s="43"/>
    </row>
    <row r="1732" spans="1:22" ht="15.75" customHeight="1" x14ac:dyDescent="0.2">
      <c r="A1732" s="40">
        <v>2007</v>
      </c>
      <c r="B1732" s="41" t="s">
        <v>701</v>
      </c>
      <c r="C1732" s="42" t="s">
        <v>1799</v>
      </c>
      <c r="D1732" s="42" t="s">
        <v>1070</v>
      </c>
      <c r="E1732" s="42" t="s">
        <v>22</v>
      </c>
      <c r="F1732" s="42" t="s">
        <v>1784</v>
      </c>
      <c r="G1732" s="42" t="s">
        <v>1207</v>
      </c>
      <c r="H1732" s="43"/>
      <c r="I1732" s="43"/>
      <c r="J1732" s="43"/>
      <c r="K1732" s="43"/>
      <c r="L1732" s="43"/>
      <c r="M1732" s="43"/>
      <c r="N1732" s="43"/>
      <c r="O1732" s="43"/>
      <c r="P1732" s="43"/>
      <c r="Q1732" s="43"/>
      <c r="R1732" s="43"/>
      <c r="S1732" s="43"/>
      <c r="T1732" s="43"/>
      <c r="U1732" s="43"/>
      <c r="V1732" s="43"/>
    </row>
    <row r="1733" spans="1:22" ht="15.75" customHeight="1" x14ac:dyDescent="0.2">
      <c r="A1733" s="40">
        <v>2193</v>
      </c>
      <c r="B1733" s="41" t="s">
        <v>282</v>
      </c>
      <c r="C1733" s="42" t="s">
        <v>1802</v>
      </c>
      <c r="D1733" s="42" t="s">
        <v>557</v>
      </c>
      <c r="E1733" s="42" t="s">
        <v>70</v>
      </c>
      <c r="F1733" s="42" t="s">
        <v>1784</v>
      </c>
      <c r="G1733" s="42" t="s">
        <v>1207</v>
      </c>
      <c r="H1733" s="43"/>
      <c r="I1733" s="43"/>
      <c r="J1733" s="43"/>
      <c r="K1733" s="43"/>
      <c r="L1733" s="43"/>
      <c r="M1733" s="43"/>
      <c r="N1733" s="43"/>
      <c r="O1733" s="43"/>
      <c r="P1733" s="43"/>
      <c r="Q1733" s="43"/>
      <c r="R1733" s="43"/>
      <c r="S1733" s="43"/>
      <c r="T1733" s="43"/>
      <c r="U1733" s="43"/>
      <c r="V1733" s="43"/>
    </row>
    <row r="1734" spans="1:22" ht="15.75" customHeight="1" x14ac:dyDescent="0.2">
      <c r="A1734" s="40">
        <v>2195</v>
      </c>
      <c r="B1734" s="41" t="s">
        <v>282</v>
      </c>
      <c r="C1734" s="42" t="s">
        <v>1803</v>
      </c>
      <c r="D1734" s="42" t="s">
        <v>78</v>
      </c>
      <c r="E1734" s="42" t="s">
        <v>40</v>
      </c>
      <c r="F1734" s="42" t="s">
        <v>1784</v>
      </c>
      <c r="G1734" s="42" t="s">
        <v>1207</v>
      </c>
      <c r="H1734" s="43"/>
      <c r="I1734" s="43"/>
      <c r="J1734" s="43"/>
      <c r="K1734" s="43"/>
      <c r="L1734" s="43"/>
      <c r="M1734" s="43"/>
      <c r="N1734" s="43"/>
      <c r="O1734" s="43"/>
      <c r="P1734" s="43"/>
      <c r="Q1734" s="43"/>
      <c r="R1734" s="43"/>
      <c r="S1734" s="43"/>
      <c r="T1734" s="43"/>
      <c r="U1734" s="43"/>
      <c r="V1734" s="43"/>
    </row>
    <row r="1735" spans="1:22" ht="15.75" customHeight="1" x14ac:dyDescent="0.2">
      <c r="A1735" s="40">
        <v>2197</v>
      </c>
      <c r="B1735" s="41" t="s">
        <v>282</v>
      </c>
      <c r="C1735" s="42" t="s">
        <v>1805</v>
      </c>
      <c r="D1735" s="42" t="s">
        <v>554</v>
      </c>
      <c r="E1735" s="42" t="s">
        <v>40</v>
      </c>
      <c r="F1735" s="42" t="s">
        <v>1784</v>
      </c>
      <c r="G1735" s="42" t="s">
        <v>1207</v>
      </c>
      <c r="H1735" s="43"/>
      <c r="I1735" s="43"/>
      <c r="J1735" s="43"/>
      <c r="K1735" s="43"/>
      <c r="L1735" s="43"/>
      <c r="M1735" s="43"/>
      <c r="N1735" s="43"/>
      <c r="O1735" s="43"/>
      <c r="P1735" s="43"/>
      <c r="Q1735" s="43"/>
      <c r="R1735" s="43"/>
      <c r="S1735" s="43"/>
      <c r="T1735" s="43"/>
      <c r="U1735" s="43"/>
      <c r="V1735" s="43"/>
    </row>
    <row r="1736" spans="1:22" ht="15.75" customHeight="1" x14ac:dyDescent="0.2">
      <c r="A1736" s="40">
        <v>2485</v>
      </c>
      <c r="B1736" s="41" t="s">
        <v>444</v>
      </c>
      <c r="C1736" s="42" t="s">
        <v>1392</v>
      </c>
      <c r="D1736" s="42" t="s">
        <v>163</v>
      </c>
      <c r="E1736" s="42" t="s">
        <v>1806</v>
      </c>
      <c r="F1736" s="42" t="s">
        <v>1784</v>
      </c>
      <c r="G1736" s="42" t="s">
        <v>1207</v>
      </c>
      <c r="H1736" s="43"/>
      <c r="I1736" s="43"/>
      <c r="J1736" s="43"/>
      <c r="K1736" s="43"/>
      <c r="L1736" s="43"/>
      <c r="M1736" s="43"/>
      <c r="N1736" s="43"/>
      <c r="O1736" s="43"/>
      <c r="P1736" s="43"/>
      <c r="Q1736" s="43"/>
      <c r="R1736" s="43"/>
      <c r="S1736" s="43"/>
      <c r="T1736" s="43"/>
      <c r="U1736" s="43"/>
      <c r="V1736" s="43"/>
    </row>
    <row r="1737" spans="1:22" ht="15.75" customHeight="1" x14ac:dyDescent="0.2">
      <c r="A1737" s="40">
        <v>2541</v>
      </c>
      <c r="B1737" s="41" t="s">
        <v>1247</v>
      </c>
      <c r="C1737" s="42" t="s">
        <v>1804</v>
      </c>
      <c r="D1737" s="42" t="s">
        <v>989</v>
      </c>
      <c r="E1737" s="42" t="s">
        <v>1235</v>
      </c>
      <c r="F1737" s="42" t="s">
        <v>1784</v>
      </c>
      <c r="G1737" s="42" t="s">
        <v>1207</v>
      </c>
      <c r="H1737" s="43"/>
      <c r="I1737" s="43"/>
      <c r="J1737" s="43"/>
      <c r="K1737" s="43"/>
      <c r="L1737" s="43"/>
      <c r="M1737" s="43"/>
      <c r="N1737" s="43"/>
      <c r="O1737" s="43"/>
      <c r="P1737" s="43"/>
      <c r="Q1737" s="43"/>
      <c r="R1737" s="43"/>
      <c r="S1737" s="43"/>
      <c r="T1737" s="43"/>
      <c r="U1737" s="43"/>
      <c r="V1737" s="43"/>
    </row>
    <row r="1738" spans="1:22" ht="15.75" customHeight="1" x14ac:dyDescent="0.2">
      <c r="A1738" s="40">
        <v>2547</v>
      </c>
      <c r="B1738" s="41" t="s">
        <v>1247</v>
      </c>
      <c r="C1738" s="42" t="s">
        <v>1791</v>
      </c>
      <c r="D1738" s="42" t="s">
        <v>1640</v>
      </c>
      <c r="E1738" s="42" t="s">
        <v>1792</v>
      </c>
      <c r="F1738" s="42" t="s">
        <v>1784</v>
      </c>
      <c r="G1738" s="42" t="s">
        <v>1207</v>
      </c>
      <c r="H1738" s="43"/>
      <c r="I1738" s="43"/>
      <c r="J1738" s="43"/>
      <c r="K1738" s="43"/>
      <c r="L1738" s="43"/>
      <c r="M1738" s="43"/>
      <c r="N1738" s="43"/>
      <c r="O1738" s="43"/>
      <c r="P1738" s="43"/>
      <c r="Q1738" s="43"/>
      <c r="R1738" s="43"/>
      <c r="S1738" s="43"/>
      <c r="T1738" s="43"/>
      <c r="U1738" s="43"/>
      <c r="V1738" s="43"/>
    </row>
    <row r="1739" spans="1:22" ht="15.75" customHeight="1" x14ac:dyDescent="0.2">
      <c r="A1739" s="40">
        <v>2553</v>
      </c>
      <c r="B1739" s="41" t="s">
        <v>1247</v>
      </c>
      <c r="C1739" s="42" t="s">
        <v>1392</v>
      </c>
      <c r="D1739" s="42" t="s">
        <v>1332</v>
      </c>
      <c r="E1739" s="42" t="s">
        <v>1807</v>
      </c>
      <c r="F1739" s="42" t="s">
        <v>1784</v>
      </c>
      <c r="G1739" s="42" t="s">
        <v>1207</v>
      </c>
      <c r="H1739" s="43"/>
      <c r="I1739" s="43"/>
      <c r="J1739" s="43"/>
      <c r="K1739" s="43"/>
      <c r="L1739" s="43"/>
      <c r="M1739" s="43"/>
      <c r="N1739" s="43"/>
      <c r="O1739" s="43"/>
      <c r="P1739" s="43"/>
      <c r="Q1739" s="43"/>
      <c r="R1739" s="43"/>
      <c r="S1739" s="43"/>
      <c r="T1739" s="43"/>
      <c r="U1739" s="43"/>
      <c r="V1739" s="43"/>
    </row>
    <row r="1740" spans="1:22" ht="15.75" customHeight="1" x14ac:dyDescent="0.2">
      <c r="A1740" s="40">
        <v>2767</v>
      </c>
      <c r="B1740" s="41" t="s">
        <v>623</v>
      </c>
      <c r="C1740" s="42" t="s">
        <v>1805</v>
      </c>
      <c r="D1740" s="42" t="s">
        <v>554</v>
      </c>
      <c r="E1740" s="42" t="s">
        <v>40</v>
      </c>
      <c r="F1740" s="42" t="s">
        <v>1784</v>
      </c>
      <c r="G1740" s="42" t="s">
        <v>1207</v>
      </c>
      <c r="H1740" s="43"/>
      <c r="I1740" s="43"/>
      <c r="J1740" s="43"/>
      <c r="K1740" s="43"/>
      <c r="L1740" s="43"/>
      <c r="M1740" s="43"/>
      <c r="N1740" s="43"/>
      <c r="O1740" s="43"/>
      <c r="P1740" s="43"/>
      <c r="Q1740" s="43"/>
      <c r="R1740" s="43"/>
      <c r="S1740" s="43"/>
      <c r="T1740" s="43"/>
      <c r="U1740" s="43"/>
      <c r="V1740" s="43"/>
    </row>
    <row r="1741" spans="1:22" ht="15.75" customHeight="1" x14ac:dyDescent="0.2">
      <c r="A1741" s="40">
        <v>2785</v>
      </c>
      <c r="B1741" s="41" t="s">
        <v>288</v>
      </c>
      <c r="C1741" s="42" t="s">
        <v>1802</v>
      </c>
      <c r="D1741" s="42" t="s">
        <v>557</v>
      </c>
      <c r="E1741" s="42" t="s">
        <v>70</v>
      </c>
      <c r="F1741" s="42" t="s">
        <v>1784</v>
      </c>
      <c r="G1741" s="42" t="s">
        <v>1207</v>
      </c>
      <c r="H1741" s="43"/>
      <c r="I1741" s="43"/>
      <c r="J1741" s="43"/>
      <c r="K1741" s="43"/>
      <c r="L1741" s="43"/>
      <c r="M1741" s="43"/>
      <c r="N1741" s="43"/>
      <c r="O1741" s="43"/>
      <c r="P1741" s="43"/>
      <c r="Q1741" s="43"/>
      <c r="R1741" s="43"/>
      <c r="S1741" s="43"/>
      <c r="T1741" s="43"/>
      <c r="U1741" s="43"/>
      <c r="V1741" s="43"/>
    </row>
    <row r="1742" spans="1:22" ht="15.75" customHeight="1" x14ac:dyDescent="0.2">
      <c r="A1742" s="40">
        <v>2899</v>
      </c>
      <c r="B1742" s="41" t="s">
        <v>1133</v>
      </c>
      <c r="C1742" s="42" t="s">
        <v>1805</v>
      </c>
      <c r="D1742" s="42" t="s">
        <v>554</v>
      </c>
      <c r="E1742" s="42" t="s">
        <v>40</v>
      </c>
      <c r="F1742" s="42" t="s">
        <v>1784</v>
      </c>
      <c r="G1742" s="42" t="s">
        <v>1207</v>
      </c>
      <c r="H1742" s="43"/>
      <c r="I1742" s="43"/>
      <c r="J1742" s="43"/>
      <c r="K1742" s="43"/>
      <c r="L1742" s="43"/>
      <c r="M1742" s="43"/>
      <c r="N1742" s="43"/>
      <c r="O1742" s="43"/>
      <c r="P1742" s="43"/>
      <c r="Q1742" s="43"/>
      <c r="R1742" s="43"/>
      <c r="S1742" s="43"/>
      <c r="T1742" s="43"/>
      <c r="U1742" s="43"/>
      <c r="V1742" s="43"/>
    </row>
    <row r="1743" spans="1:22" ht="15.75" customHeight="1" x14ac:dyDescent="0.2">
      <c r="A1743" s="40">
        <v>2977</v>
      </c>
      <c r="B1743" s="41" t="s">
        <v>289</v>
      </c>
      <c r="C1743" s="42" t="s">
        <v>1797</v>
      </c>
      <c r="D1743" s="42" t="s">
        <v>1798</v>
      </c>
      <c r="E1743" s="42" t="s">
        <v>1441</v>
      </c>
      <c r="F1743" s="42" t="s">
        <v>1784</v>
      </c>
      <c r="G1743" s="42" t="s">
        <v>1207</v>
      </c>
      <c r="H1743" s="43"/>
      <c r="I1743" s="43"/>
      <c r="J1743" s="43"/>
      <c r="K1743" s="43"/>
      <c r="L1743" s="43"/>
      <c r="M1743" s="43"/>
      <c r="N1743" s="43"/>
      <c r="O1743" s="43"/>
      <c r="P1743" s="43"/>
      <c r="Q1743" s="43"/>
      <c r="R1743" s="43"/>
      <c r="S1743" s="43"/>
      <c r="T1743" s="43"/>
      <c r="U1743" s="43"/>
      <c r="V1743" s="43"/>
    </row>
    <row r="1744" spans="1:22" ht="15.75" customHeight="1" x14ac:dyDescent="0.2">
      <c r="A1744" s="40"/>
      <c r="B1744" s="45" t="s">
        <v>122</v>
      </c>
      <c r="C1744" s="46" t="s">
        <v>1808</v>
      </c>
      <c r="D1744" s="46" t="s">
        <v>86</v>
      </c>
      <c r="E1744" s="46" t="s">
        <v>1058</v>
      </c>
      <c r="F1744" s="46" t="s">
        <v>1784</v>
      </c>
      <c r="G1744" s="46" t="s">
        <v>1207</v>
      </c>
    </row>
    <row r="1745" spans="1:22" ht="15.75" customHeight="1" x14ac:dyDescent="0.2">
      <c r="A1745" s="40"/>
      <c r="B1745" s="45" t="s">
        <v>126</v>
      </c>
      <c r="C1745" s="46" t="s">
        <v>1808</v>
      </c>
      <c r="D1745" s="46" t="s">
        <v>86</v>
      </c>
      <c r="E1745" s="46" t="s">
        <v>1058</v>
      </c>
      <c r="F1745" s="46" t="s">
        <v>1784</v>
      </c>
      <c r="G1745" s="46" t="s">
        <v>1207</v>
      </c>
    </row>
    <row r="1746" spans="1:22" ht="15.75" customHeight="1" x14ac:dyDescent="0.2">
      <c r="A1746" s="40"/>
      <c r="B1746" s="45" t="s">
        <v>118</v>
      </c>
      <c r="C1746" s="46" t="s">
        <v>1809</v>
      </c>
      <c r="D1746" s="46" t="s">
        <v>1810</v>
      </c>
      <c r="E1746" s="46" t="s">
        <v>1811</v>
      </c>
      <c r="F1746" s="46" t="s">
        <v>1784</v>
      </c>
      <c r="G1746" s="46" t="s">
        <v>1207</v>
      </c>
    </row>
    <row r="1747" spans="1:22" ht="15.75" customHeight="1" x14ac:dyDescent="0.2">
      <c r="A1747" s="40"/>
      <c r="B1747" s="45" t="s">
        <v>121</v>
      </c>
      <c r="C1747" s="46" t="s">
        <v>1809</v>
      </c>
      <c r="D1747" s="46" t="s">
        <v>1810</v>
      </c>
      <c r="E1747" s="46" t="s">
        <v>1811</v>
      </c>
      <c r="F1747" s="46" t="s">
        <v>1784</v>
      </c>
      <c r="G1747" s="46" t="s">
        <v>1207</v>
      </c>
    </row>
    <row r="1748" spans="1:22" ht="15.75" customHeight="1" x14ac:dyDescent="0.2">
      <c r="A1748" s="40"/>
      <c r="B1748" s="45" t="s">
        <v>122</v>
      </c>
      <c r="C1748" s="46" t="s">
        <v>1812</v>
      </c>
      <c r="D1748" s="46" t="s">
        <v>1813</v>
      </c>
      <c r="E1748" s="46" t="s">
        <v>1358</v>
      </c>
      <c r="F1748" s="46" t="s">
        <v>1784</v>
      </c>
      <c r="G1748" s="46" t="s">
        <v>1207</v>
      </c>
    </row>
    <row r="1749" spans="1:22" ht="15.75" customHeight="1" x14ac:dyDescent="0.2">
      <c r="A1749" s="40"/>
      <c r="B1749" s="45" t="s">
        <v>126</v>
      </c>
      <c r="C1749" s="46" t="s">
        <v>1812</v>
      </c>
      <c r="D1749" s="46" t="s">
        <v>1813</v>
      </c>
      <c r="E1749" s="46" t="s">
        <v>1358</v>
      </c>
      <c r="F1749" s="46" t="s">
        <v>1784</v>
      </c>
      <c r="G1749" s="46" t="s">
        <v>1207</v>
      </c>
    </row>
    <row r="1750" spans="1:22" ht="15.75" customHeight="1" x14ac:dyDescent="0.2">
      <c r="A1750" s="40"/>
      <c r="B1750" s="45" t="s">
        <v>523</v>
      </c>
      <c r="C1750" s="46" t="s">
        <v>1282</v>
      </c>
      <c r="D1750" s="46" t="s">
        <v>1814</v>
      </c>
      <c r="E1750" s="46" t="s">
        <v>1815</v>
      </c>
      <c r="F1750" s="46" t="s">
        <v>1816</v>
      </c>
      <c r="G1750" s="46" t="s">
        <v>1207</v>
      </c>
      <c r="H1750" s="43"/>
      <c r="I1750" s="43"/>
      <c r="J1750" s="43"/>
      <c r="K1750" s="43"/>
      <c r="L1750" s="43"/>
      <c r="M1750" s="43"/>
      <c r="N1750" s="43"/>
      <c r="O1750" s="43"/>
      <c r="P1750" s="43"/>
      <c r="Q1750" s="43"/>
      <c r="R1750" s="43"/>
      <c r="S1750" s="43"/>
      <c r="T1750" s="43"/>
      <c r="U1750" s="43"/>
      <c r="V1750" s="43"/>
    </row>
    <row r="1751" spans="1:22" ht="15.75" customHeight="1" x14ac:dyDescent="0.2">
      <c r="A1751" s="40">
        <v>203</v>
      </c>
      <c r="B1751" s="41" t="s">
        <v>946</v>
      </c>
      <c r="C1751" s="42" t="s">
        <v>1817</v>
      </c>
      <c r="D1751" s="42" t="s">
        <v>1337</v>
      </c>
      <c r="E1751" s="42" t="s">
        <v>393</v>
      </c>
      <c r="F1751" s="42" t="s">
        <v>1818</v>
      </c>
      <c r="G1751" s="42" t="s">
        <v>1207</v>
      </c>
      <c r="H1751" s="43"/>
      <c r="I1751" s="43"/>
      <c r="J1751" s="43"/>
      <c r="K1751" s="43"/>
      <c r="L1751" s="43"/>
      <c r="M1751" s="43"/>
      <c r="N1751" s="43"/>
      <c r="O1751" s="43"/>
      <c r="P1751" s="43"/>
      <c r="Q1751" s="43"/>
      <c r="R1751" s="43"/>
      <c r="S1751" s="43"/>
      <c r="T1751" s="43"/>
      <c r="U1751" s="43"/>
      <c r="V1751" s="43"/>
    </row>
    <row r="1752" spans="1:22" ht="15.75" customHeight="1" x14ac:dyDescent="0.2">
      <c r="A1752" s="40">
        <v>2909</v>
      </c>
      <c r="B1752" s="41" t="s">
        <v>722</v>
      </c>
      <c r="C1752" s="42" t="s">
        <v>1817</v>
      </c>
      <c r="D1752" s="42" t="s">
        <v>1337</v>
      </c>
      <c r="E1752" s="42" t="s">
        <v>393</v>
      </c>
      <c r="F1752" s="42" t="s">
        <v>1818</v>
      </c>
      <c r="G1752" s="42" t="s">
        <v>1207</v>
      </c>
      <c r="H1752" s="43"/>
      <c r="I1752" s="43"/>
      <c r="J1752" s="43"/>
      <c r="K1752" s="43"/>
      <c r="L1752" s="43"/>
      <c r="M1752" s="43"/>
      <c r="N1752" s="43"/>
      <c r="O1752" s="43"/>
      <c r="P1752" s="43"/>
      <c r="Q1752" s="43"/>
      <c r="R1752" s="43"/>
      <c r="S1752" s="43"/>
      <c r="T1752" s="43"/>
      <c r="U1752" s="43"/>
      <c r="V1752" s="43"/>
    </row>
    <row r="1753" spans="1:22" ht="15.75" customHeight="1" x14ac:dyDescent="0.2">
      <c r="A1753" s="40">
        <v>117</v>
      </c>
      <c r="B1753" s="41" t="s">
        <v>504</v>
      </c>
      <c r="C1753" s="42" t="s">
        <v>1819</v>
      </c>
      <c r="D1753" s="42" t="s">
        <v>562</v>
      </c>
      <c r="E1753" s="42" t="s">
        <v>125</v>
      </c>
      <c r="F1753" s="42" t="s">
        <v>1818</v>
      </c>
      <c r="G1753" s="42" t="s">
        <v>1207</v>
      </c>
      <c r="H1753" s="43"/>
      <c r="I1753" s="43"/>
      <c r="J1753" s="43"/>
      <c r="K1753" s="43"/>
      <c r="L1753" s="43"/>
      <c r="M1753" s="43"/>
      <c r="N1753" s="43"/>
      <c r="O1753" s="43"/>
      <c r="P1753" s="43"/>
      <c r="Q1753" s="43"/>
      <c r="R1753" s="43"/>
      <c r="S1753" s="43"/>
      <c r="T1753" s="43"/>
      <c r="U1753" s="43"/>
      <c r="V1753" s="43"/>
    </row>
    <row r="1754" spans="1:22" ht="15.75" customHeight="1" x14ac:dyDescent="0.2">
      <c r="A1754" s="40">
        <v>205</v>
      </c>
      <c r="B1754" s="41" t="s">
        <v>946</v>
      </c>
      <c r="C1754" s="42" t="s">
        <v>1819</v>
      </c>
      <c r="D1754" s="42" t="s">
        <v>562</v>
      </c>
      <c r="E1754" s="42" t="s">
        <v>125</v>
      </c>
      <c r="F1754" s="42" t="s">
        <v>1818</v>
      </c>
      <c r="G1754" s="42" t="s">
        <v>1207</v>
      </c>
      <c r="H1754" s="43"/>
      <c r="I1754" s="43"/>
      <c r="J1754" s="43"/>
      <c r="K1754" s="43"/>
      <c r="L1754" s="43"/>
      <c r="M1754" s="43"/>
      <c r="N1754" s="43"/>
      <c r="O1754" s="43"/>
      <c r="P1754" s="43"/>
      <c r="Q1754" s="43"/>
      <c r="R1754" s="43"/>
      <c r="S1754" s="43"/>
      <c r="T1754" s="43"/>
      <c r="U1754" s="43"/>
      <c r="V1754" s="43"/>
    </row>
    <row r="1755" spans="1:22" ht="15.75" customHeight="1" x14ac:dyDescent="0.2">
      <c r="A1755" s="40">
        <v>1351</v>
      </c>
      <c r="B1755" s="41" t="s">
        <v>601</v>
      </c>
      <c r="C1755" s="42" t="s">
        <v>1819</v>
      </c>
      <c r="D1755" s="42" t="s">
        <v>183</v>
      </c>
      <c r="E1755" s="42" t="s">
        <v>125</v>
      </c>
      <c r="F1755" s="42" t="s">
        <v>1818</v>
      </c>
      <c r="G1755" s="42" t="s">
        <v>1207</v>
      </c>
      <c r="H1755" s="43"/>
      <c r="I1755" s="43"/>
      <c r="J1755" s="43"/>
      <c r="K1755" s="43"/>
      <c r="L1755" s="43"/>
      <c r="M1755" s="43"/>
      <c r="N1755" s="43"/>
      <c r="O1755" s="43"/>
      <c r="P1755" s="43"/>
      <c r="Q1755" s="43"/>
      <c r="R1755" s="43"/>
      <c r="S1755" s="43"/>
      <c r="T1755" s="43"/>
      <c r="U1755" s="43"/>
      <c r="V1755" s="43"/>
    </row>
    <row r="1756" spans="1:22" ht="15.75" customHeight="1" x14ac:dyDescent="0.2">
      <c r="A1756" s="40">
        <v>2651</v>
      </c>
      <c r="B1756" s="41" t="s">
        <v>1055</v>
      </c>
      <c r="C1756" s="42" t="s">
        <v>1819</v>
      </c>
      <c r="D1756" s="42" t="s">
        <v>183</v>
      </c>
      <c r="E1756" s="42" t="s">
        <v>125</v>
      </c>
      <c r="F1756" s="42" t="s">
        <v>1818</v>
      </c>
      <c r="G1756" s="42" t="s">
        <v>1207</v>
      </c>
      <c r="H1756" s="43"/>
      <c r="I1756" s="43"/>
      <c r="J1756" s="43"/>
      <c r="K1756" s="43"/>
      <c r="L1756" s="43"/>
      <c r="M1756" s="43"/>
      <c r="N1756" s="43"/>
      <c r="O1756" s="43"/>
      <c r="P1756" s="43"/>
      <c r="Q1756" s="43"/>
      <c r="R1756" s="43"/>
      <c r="S1756" s="43"/>
      <c r="T1756" s="43"/>
      <c r="U1756" s="43"/>
      <c r="V1756" s="43"/>
    </row>
    <row r="1757" spans="1:22" ht="15.75" customHeight="1" x14ac:dyDescent="0.2">
      <c r="A1757" s="40">
        <v>2939</v>
      </c>
      <c r="B1757" s="41" t="s">
        <v>1270</v>
      </c>
      <c r="C1757" s="42" t="s">
        <v>1819</v>
      </c>
      <c r="D1757" s="42" t="s">
        <v>562</v>
      </c>
      <c r="E1757" s="42" t="s">
        <v>125</v>
      </c>
      <c r="F1757" s="42" t="s">
        <v>1818</v>
      </c>
      <c r="G1757" s="42" t="s">
        <v>1207</v>
      </c>
      <c r="H1757" s="43"/>
      <c r="I1757" s="43"/>
      <c r="J1757" s="43"/>
      <c r="K1757" s="43"/>
      <c r="L1757" s="43"/>
      <c r="M1757" s="43"/>
      <c r="N1757" s="43"/>
      <c r="O1757" s="43"/>
      <c r="P1757" s="43"/>
      <c r="Q1757" s="43"/>
      <c r="R1757" s="43"/>
      <c r="S1757" s="43"/>
      <c r="T1757" s="43"/>
      <c r="U1757" s="43"/>
      <c r="V1757" s="43"/>
    </row>
    <row r="1758" spans="1:22" ht="15.75" customHeight="1" x14ac:dyDescent="0.2">
      <c r="A1758" s="40"/>
      <c r="B1758" s="45" t="s">
        <v>121</v>
      </c>
      <c r="C1758" s="46" t="s">
        <v>1820</v>
      </c>
      <c r="D1758" s="46" t="s">
        <v>1821</v>
      </c>
      <c r="E1758" s="46" t="s">
        <v>326</v>
      </c>
      <c r="F1758" s="46" t="s">
        <v>1818</v>
      </c>
      <c r="G1758" s="46" t="s">
        <v>1207</v>
      </c>
      <c r="H1758" s="43"/>
      <c r="I1758" s="43"/>
      <c r="J1758" s="43"/>
      <c r="K1758" s="43"/>
      <c r="L1758" s="43"/>
      <c r="M1758" s="43"/>
      <c r="N1758" s="43"/>
      <c r="O1758" s="43"/>
      <c r="P1758" s="43"/>
      <c r="Q1758" s="43"/>
      <c r="R1758" s="43"/>
      <c r="S1758" s="43"/>
      <c r="T1758" s="43"/>
      <c r="U1758" s="43"/>
      <c r="V1758" s="43"/>
    </row>
    <row r="1759" spans="1:22" ht="15.75" customHeight="1" x14ac:dyDescent="0.2">
      <c r="A1759" s="40"/>
      <c r="B1759" s="45" t="s">
        <v>315</v>
      </c>
      <c r="C1759" s="46" t="s">
        <v>1820</v>
      </c>
      <c r="D1759" s="46" t="s">
        <v>1821</v>
      </c>
      <c r="E1759" s="46" t="s">
        <v>326</v>
      </c>
      <c r="F1759" s="46" t="s">
        <v>1818</v>
      </c>
      <c r="G1759" s="46" t="s">
        <v>1207</v>
      </c>
      <c r="H1759" s="43"/>
      <c r="I1759" s="43"/>
      <c r="J1759" s="43"/>
      <c r="K1759" s="43"/>
      <c r="L1759" s="43"/>
      <c r="M1759" s="43"/>
      <c r="N1759" s="43"/>
      <c r="O1759" s="43"/>
      <c r="P1759" s="43"/>
      <c r="Q1759" s="43"/>
      <c r="R1759" s="43"/>
      <c r="S1759" s="43"/>
      <c r="T1759" s="43"/>
      <c r="U1759" s="43"/>
      <c r="V1759" s="43"/>
    </row>
    <row r="1760" spans="1:22" ht="15.75" customHeight="1" x14ac:dyDescent="0.2">
      <c r="A1760" s="40">
        <v>13</v>
      </c>
      <c r="B1760" s="41" t="s">
        <v>939</v>
      </c>
      <c r="C1760" s="42" t="s">
        <v>1822</v>
      </c>
      <c r="D1760" s="42" t="s">
        <v>163</v>
      </c>
      <c r="E1760" s="42" t="s">
        <v>876</v>
      </c>
      <c r="F1760" s="42" t="s">
        <v>1818</v>
      </c>
      <c r="G1760" s="42" t="s">
        <v>1207</v>
      </c>
      <c r="H1760" s="43"/>
      <c r="I1760" s="43"/>
      <c r="J1760" s="43"/>
      <c r="K1760" s="43"/>
      <c r="L1760" s="43"/>
      <c r="M1760" s="43"/>
      <c r="N1760" s="43"/>
      <c r="O1760" s="43"/>
      <c r="P1760" s="43"/>
      <c r="Q1760" s="43"/>
      <c r="R1760" s="43"/>
      <c r="S1760" s="43"/>
      <c r="T1760" s="43"/>
      <c r="U1760" s="43"/>
      <c r="V1760" s="43"/>
    </row>
    <row r="1761" spans="1:22" ht="15.75" customHeight="1" x14ac:dyDescent="0.2">
      <c r="A1761" s="40">
        <v>47</v>
      </c>
      <c r="B1761" s="41" t="s">
        <v>1301</v>
      </c>
      <c r="C1761" s="42" t="s">
        <v>1822</v>
      </c>
      <c r="D1761" s="42" t="s">
        <v>163</v>
      </c>
      <c r="E1761" s="42" t="s">
        <v>876</v>
      </c>
      <c r="F1761" s="42" t="s">
        <v>1818</v>
      </c>
      <c r="G1761" s="42" t="s">
        <v>1207</v>
      </c>
      <c r="H1761" s="43"/>
      <c r="I1761" s="43"/>
      <c r="J1761" s="43"/>
      <c r="K1761" s="43"/>
      <c r="L1761" s="43"/>
      <c r="M1761" s="43"/>
      <c r="N1761" s="43"/>
      <c r="O1761" s="43"/>
      <c r="P1761" s="43"/>
      <c r="Q1761" s="43"/>
      <c r="R1761" s="43"/>
      <c r="S1761" s="43"/>
      <c r="T1761" s="43"/>
      <c r="U1761" s="43"/>
      <c r="V1761" s="43"/>
    </row>
    <row r="1762" spans="1:22" ht="15.75" customHeight="1" x14ac:dyDescent="0.2">
      <c r="A1762" s="40">
        <v>499</v>
      </c>
      <c r="B1762" s="41" t="s">
        <v>1339</v>
      </c>
      <c r="C1762" s="42" t="s">
        <v>1823</v>
      </c>
      <c r="D1762" s="42" t="s">
        <v>1410</v>
      </c>
      <c r="E1762" s="42"/>
      <c r="F1762" s="42" t="s">
        <v>1818</v>
      </c>
      <c r="G1762" s="42" t="s">
        <v>1207</v>
      </c>
      <c r="H1762" s="43"/>
      <c r="I1762" s="43"/>
      <c r="J1762" s="43"/>
      <c r="K1762" s="43"/>
      <c r="L1762" s="43"/>
      <c r="M1762" s="43"/>
      <c r="N1762" s="43"/>
      <c r="O1762" s="43"/>
      <c r="P1762" s="43"/>
      <c r="Q1762" s="43"/>
      <c r="R1762" s="43"/>
      <c r="S1762" s="43"/>
      <c r="T1762" s="43"/>
      <c r="U1762" s="43"/>
      <c r="V1762" s="43"/>
    </row>
    <row r="1763" spans="1:22" ht="15.75" customHeight="1" x14ac:dyDescent="0.2">
      <c r="A1763" s="40">
        <v>2511</v>
      </c>
      <c r="B1763" s="41" t="s">
        <v>434</v>
      </c>
      <c r="C1763" s="42" t="s">
        <v>1823</v>
      </c>
      <c r="D1763" s="42" t="s">
        <v>1410</v>
      </c>
      <c r="E1763" s="42"/>
      <c r="F1763" s="42" t="s">
        <v>1818</v>
      </c>
      <c r="G1763" s="42" t="s">
        <v>1207</v>
      </c>
      <c r="H1763" s="43"/>
      <c r="I1763" s="43"/>
      <c r="J1763" s="43"/>
      <c r="K1763" s="43"/>
      <c r="L1763" s="43"/>
      <c r="M1763" s="43"/>
      <c r="N1763" s="43"/>
      <c r="O1763" s="43"/>
      <c r="P1763" s="43"/>
      <c r="Q1763" s="43"/>
      <c r="R1763" s="43"/>
      <c r="S1763" s="43"/>
      <c r="T1763" s="43"/>
      <c r="U1763" s="43"/>
      <c r="V1763" s="43"/>
    </row>
    <row r="1764" spans="1:22" ht="15.75" customHeight="1" x14ac:dyDescent="0.2">
      <c r="A1764" s="40">
        <v>1275</v>
      </c>
      <c r="B1764" s="41" t="s">
        <v>453</v>
      </c>
      <c r="C1764" s="42" t="s">
        <v>1824</v>
      </c>
      <c r="D1764" s="42" t="s">
        <v>78</v>
      </c>
      <c r="E1764" s="42" t="s">
        <v>306</v>
      </c>
      <c r="F1764" s="42" t="s">
        <v>1818</v>
      </c>
      <c r="G1764" s="42" t="s">
        <v>1207</v>
      </c>
      <c r="H1764" s="43"/>
      <c r="I1764" s="43"/>
      <c r="J1764" s="43"/>
      <c r="K1764" s="43"/>
      <c r="L1764" s="43"/>
      <c r="M1764" s="43"/>
      <c r="N1764" s="43"/>
      <c r="O1764" s="43"/>
      <c r="P1764" s="43"/>
      <c r="Q1764" s="43"/>
      <c r="R1764" s="43"/>
      <c r="S1764" s="43"/>
      <c r="T1764" s="43"/>
      <c r="U1764" s="43"/>
      <c r="V1764" s="43"/>
    </row>
    <row r="1765" spans="1:22" ht="15.75" customHeight="1" x14ac:dyDescent="0.2">
      <c r="A1765" s="40">
        <v>2925</v>
      </c>
      <c r="B1765" s="41" t="s">
        <v>722</v>
      </c>
      <c r="C1765" s="42" t="s">
        <v>1824</v>
      </c>
      <c r="D1765" s="42" t="s">
        <v>78</v>
      </c>
      <c r="E1765" s="42" t="s">
        <v>306</v>
      </c>
      <c r="F1765" s="42" t="s">
        <v>1818</v>
      </c>
      <c r="G1765" s="42" t="s">
        <v>1207</v>
      </c>
      <c r="H1765" s="43"/>
      <c r="I1765" s="43"/>
      <c r="J1765" s="43"/>
      <c r="K1765" s="43"/>
      <c r="L1765" s="43"/>
      <c r="M1765" s="43"/>
      <c r="N1765" s="43"/>
      <c r="O1765" s="43"/>
      <c r="P1765" s="43"/>
      <c r="Q1765" s="43"/>
      <c r="R1765" s="43"/>
      <c r="S1765" s="43"/>
      <c r="T1765" s="43"/>
      <c r="U1765" s="43"/>
      <c r="V1765" s="43"/>
    </row>
    <row r="1766" spans="1:22" ht="15.75" customHeight="1" x14ac:dyDescent="0.2">
      <c r="A1766" s="40">
        <v>367</v>
      </c>
      <c r="B1766" s="41" t="s">
        <v>246</v>
      </c>
      <c r="C1766" s="42" t="s">
        <v>1825</v>
      </c>
      <c r="D1766" s="42" t="s">
        <v>1598</v>
      </c>
      <c r="E1766" s="42" t="s">
        <v>806</v>
      </c>
      <c r="F1766" s="42" t="s">
        <v>1818</v>
      </c>
      <c r="G1766" s="42" t="s">
        <v>1207</v>
      </c>
      <c r="H1766" s="43"/>
      <c r="I1766" s="43"/>
      <c r="J1766" s="43"/>
      <c r="K1766" s="43"/>
      <c r="L1766" s="43"/>
      <c r="M1766" s="43"/>
      <c r="N1766" s="43"/>
      <c r="O1766" s="43"/>
      <c r="P1766" s="43"/>
      <c r="Q1766" s="43"/>
      <c r="R1766" s="43"/>
      <c r="S1766" s="43"/>
      <c r="T1766" s="43"/>
      <c r="U1766" s="43"/>
      <c r="V1766" s="43"/>
    </row>
    <row r="1767" spans="1:22" ht="15.75" customHeight="1" x14ac:dyDescent="0.2">
      <c r="A1767" s="40">
        <v>2681</v>
      </c>
      <c r="B1767" s="41" t="s">
        <v>1098</v>
      </c>
      <c r="C1767" s="42" t="s">
        <v>1825</v>
      </c>
      <c r="D1767" s="42" t="s">
        <v>1598</v>
      </c>
      <c r="E1767" s="42" t="s">
        <v>806</v>
      </c>
      <c r="F1767" s="42" t="s">
        <v>1818</v>
      </c>
      <c r="G1767" s="42" t="s">
        <v>1207</v>
      </c>
      <c r="H1767" s="43"/>
      <c r="I1767" s="43"/>
      <c r="J1767" s="43"/>
      <c r="K1767" s="43"/>
      <c r="L1767" s="43"/>
      <c r="M1767" s="43"/>
      <c r="N1767" s="43"/>
      <c r="O1767" s="43"/>
      <c r="P1767" s="43"/>
      <c r="Q1767" s="43"/>
      <c r="R1767" s="43"/>
      <c r="S1767" s="43"/>
      <c r="T1767" s="43"/>
      <c r="U1767" s="43"/>
      <c r="V1767" s="43"/>
    </row>
    <row r="1768" spans="1:22" ht="15.75" customHeight="1" x14ac:dyDescent="0.2">
      <c r="A1768" s="40">
        <v>1081</v>
      </c>
      <c r="B1768" s="41" t="s">
        <v>710</v>
      </c>
      <c r="C1768" s="42" t="s">
        <v>1826</v>
      </c>
      <c r="D1768" s="42" t="s">
        <v>124</v>
      </c>
      <c r="E1768" s="42" t="s">
        <v>87</v>
      </c>
      <c r="F1768" s="42" t="s">
        <v>1818</v>
      </c>
      <c r="G1768" s="42" t="s">
        <v>1207</v>
      </c>
      <c r="H1768" s="43"/>
      <c r="I1768" s="43"/>
      <c r="J1768" s="43"/>
      <c r="K1768" s="43"/>
      <c r="L1768" s="43"/>
      <c r="M1768" s="43"/>
      <c r="N1768" s="43"/>
      <c r="O1768" s="43"/>
      <c r="P1768" s="43"/>
      <c r="Q1768" s="43"/>
      <c r="R1768" s="43"/>
      <c r="S1768" s="43"/>
      <c r="T1768" s="43"/>
      <c r="U1768" s="43"/>
      <c r="V1768" s="43"/>
    </row>
    <row r="1769" spans="1:22" ht="15.75" customHeight="1" x14ac:dyDescent="0.2">
      <c r="A1769" s="40">
        <v>2055</v>
      </c>
      <c r="B1769" s="41" t="s">
        <v>653</v>
      </c>
      <c r="C1769" s="42" t="s">
        <v>1826</v>
      </c>
      <c r="D1769" s="42" t="s">
        <v>124</v>
      </c>
      <c r="E1769" s="42" t="s">
        <v>87</v>
      </c>
      <c r="F1769" s="42" t="s">
        <v>1818</v>
      </c>
      <c r="G1769" s="42" t="s">
        <v>1207</v>
      </c>
      <c r="H1769" s="43"/>
      <c r="I1769" s="43"/>
      <c r="J1769" s="43"/>
      <c r="K1769" s="43"/>
      <c r="L1769" s="43"/>
      <c r="M1769" s="43"/>
      <c r="N1769" s="43"/>
      <c r="O1769" s="43"/>
      <c r="P1769" s="43"/>
      <c r="Q1769" s="43"/>
      <c r="R1769" s="43"/>
      <c r="S1769" s="43"/>
      <c r="T1769" s="43"/>
      <c r="U1769" s="43"/>
      <c r="V1769" s="43"/>
    </row>
    <row r="1770" spans="1:22" ht="15.75" customHeight="1" x14ac:dyDescent="0.2">
      <c r="A1770" s="40">
        <v>341</v>
      </c>
      <c r="B1770" s="41" t="s">
        <v>1162</v>
      </c>
      <c r="C1770" s="42" t="s">
        <v>1827</v>
      </c>
      <c r="D1770" s="42" t="s">
        <v>884</v>
      </c>
      <c r="E1770" s="42" t="s">
        <v>393</v>
      </c>
      <c r="F1770" s="42" t="s">
        <v>1818</v>
      </c>
      <c r="G1770" s="42" t="s">
        <v>1207</v>
      </c>
      <c r="H1770" s="43"/>
      <c r="I1770" s="43"/>
      <c r="J1770" s="43"/>
      <c r="K1770" s="43"/>
      <c r="L1770" s="43"/>
      <c r="M1770" s="43"/>
      <c r="N1770" s="43"/>
      <c r="O1770" s="43"/>
      <c r="P1770" s="43"/>
      <c r="Q1770" s="43"/>
      <c r="R1770" s="43"/>
      <c r="S1770" s="43"/>
      <c r="T1770" s="43"/>
      <c r="U1770" s="43"/>
      <c r="V1770" s="43"/>
    </row>
    <row r="1771" spans="1:22" ht="15.75" customHeight="1" x14ac:dyDescent="0.2">
      <c r="A1771" s="40">
        <v>2653</v>
      </c>
      <c r="B1771" s="41" t="s">
        <v>1055</v>
      </c>
      <c r="C1771" s="42" t="s">
        <v>1827</v>
      </c>
      <c r="D1771" s="42" t="s">
        <v>884</v>
      </c>
      <c r="E1771" s="42" t="s">
        <v>393</v>
      </c>
      <c r="F1771" s="42" t="s">
        <v>1818</v>
      </c>
      <c r="G1771" s="42" t="s">
        <v>1207</v>
      </c>
      <c r="H1771" s="43"/>
      <c r="I1771" s="43"/>
      <c r="J1771" s="43"/>
      <c r="K1771" s="43"/>
      <c r="L1771" s="43"/>
      <c r="M1771" s="43"/>
      <c r="N1771" s="43"/>
      <c r="O1771" s="43"/>
      <c r="P1771" s="43"/>
      <c r="Q1771" s="43"/>
      <c r="R1771" s="43"/>
      <c r="S1771" s="43"/>
      <c r="T1771" s="43"/>
      <c r="U1771" s="43"/>
      <c r="V1771" s="43"/>
    </row>
    <row r="1772" spans="1:22" ht="15.75" customHeight="1" x14ac:dyDescent="0.2">
      <c r="A1772" s="40">
        <v>2807</v>
      </c>
      <c r="B1772" s="41" t="s">
        <v>1348</v>
      </c>
      <c r="C1772" s="42" t="s">
        <v>1828</v>
      </c>
      <c r="D1772" s="42" t="s">
        <v>388</v>
      </c>
      <c r="E1772" s="42" t="s">
        <v>348</v>
      </c>
      <c r="F1772" s="42" t="s">
        <v>1818</v>
      </c>
      <c r="G1772" s="42" t="s">
        <v>1207</v>
      </c>
      <c r="H1772" s="43"/>
      <c r="I1772" s="43"/>
      <c r="J1772" s="43"/>
      <c r="K1772" s="43"/>
      <c r="L1772" s="43"/>
      <c r="M1772" s="43"/>
      <c r="N1772" s="43"/>
      <c r="O1772" s="43"/>
      <c r="P1772" s="43"/>
      <c r="Q1772" s="43"/>
      <c r="R1772" s="43"/>
      <c r="S1772" s="43"/>
      <c r="T1772" s="43"/>
      <c r="U1772" s="43"/>
      <c r="V1772" s="43"/>
    </row>
    <row r="1773" spans="1:22" ht="15.75" customHeight="1" x14ac:dyDescent="0.2">
      <c r="A1773" s="40"/>
      <c r="B1773" s="45" t="s">
        <v>316</v>
      </c>
      <c r="C1773" s="46" t="s">
        <v>53</v>
      </c>
      <c r="D1773" s="46" t="s">
        <v>1397</v>
      </c>
      <c r="E1773" s="46" t="s">
        <v>1630</v>
      </c>
      <c r="F1773" s="46" t="s">
        <v>1818</v>
      </c>
      <c r="G1773" s="46" t="s">
        <v>1207</v>
      </c>
      <c r="H1773" s="43"/>
      <c r="I1773" s="43"/>
      <c r="J1773" s="43"/>
      <c r="K1773" s="43"/>
      <c r="L1773" s="43"/>
      <c r="M1773" s="43"/>
      <c r="N1773" s="43"/>
      <c r="O1773" s="43"/>
      <c r="P1773" s="43"/>
      <c r="Q1773" s="43"/>
      <c r="R1773" s="43"/>
      <c r="S1773" s="43"/>
      <c r="T1773" s="43"/>
      <c r="U1773" s="43"/>
      <c r="V1773" s="43"/>
    </row>
    <row r="1774" spans="1:22" ht="15.75" customHeight="1" x14ac:dyDescent="0.2">
      <c r="A1774" s="40"/>
      <c r="B1774" s="47" t="s">
        <v>88</v>
      </c>
      <c r="C1774" s="51" t="s">
        <v>53</v>
      </c>
      <c r="D1774" s="51" t="s">
        <v>1397</v>
      </c>
      <c r="E1774" s="46" t="s">
        <v>1630</v>
      </c>
      <c r="F1774" s="51" t="s">
        <v>1818</v>
      </c>
      <c r="G1774" s="51" t="s">
        <v>1207</v>
      </c>
      <c r="H1774" s="43"/>
      <c r="I1774" s="43"/>
      <c r="J1774" s="43"/>
      <c r="K1774" s="43"/>
      <c r="L1774" s="43"/>
      <c r="M1774" s="43"/>
      <c r="N1774" s="43"/>
      <c r="O1774" s="43"/>
      <c r="P1774" s="43"/>
      <c r="Q1774" s="43"/>
      <c r="R1774" s="43"/>
      <c r="S1774" s="43"/>
      <c r="T1774" s="43"/>
      <c r="U1774" s="43"/>
      <c r="V1774" s="43"/>
    </row>
    <row r="1775" spans="1:22" ht="15.75" customHeight="1" x14ac:dyDescent="0.2">
      <c r="A1775" s="40"/>
      <c r="B1775" s="45" t="s">
        <v>94</v>
      </c>
      <c r="C1775" s="46" t="s">
        <v>53</v>
      </c>
      <c r="D1775" s="46" t="s">
        <v>1397</v>
      </c>
      <c r="E1775" s="46" t="s">
        <v>1630</v>
      </c>
      <c r="F1775" s="46" t="s">
        <v>1818</v>
      </c>
      <c r="G1775" s="46" t="s">
        <v>1207</v>
      </c>
      <c r="H1775" s="43"/>
      <c r="I1775" s="43"/>
      <c r="J1775" s="43"/>
      <c r="K1775" s="43"/>
      <c r="L1775" s="43"/>
      <c r="M1775" s="43"/>
      <c r="N1775" s="43"/>
      <c r="O1775" s="43"/>
      <c r="P1775" s="43"/>
      <c r="Q1775" s="43"/>
      <c r="R1775" s="43"/>
      <c r="S1775" s="43"/>
      <c r="T1775" s="43"/>
      <c r="U1775" s="43"/>
      <c r="V1775" s="43"/>
    </row>
    <row r="1776" spans="1:22" ht="15.75" customHeight="1" x14ac:dyDescent="0.2">
      <c r="A1776" s="40">
        <v>149</v>
      </c>
      <c r="B1776" s="41" t="s">
        <v>460</v>
      </c>
      <c r="C1776" s="42" t="s">
        <v>1829</v>
      </c>
      <c r="D1776" s="42" t="s">
        <v>1277</v>
      </c>
      <c r="E1776" s="42"/>
      <c r="F1776" s="42" t="s">
        <v>1818</v>
      </c>
      <c r="G1776" s="42" t="s">
        <v>1207</v>
      </c>
      <c r="H1776" s="43"/>
      <c r="I1776" s="43"/>
      <c r="J1776" s="43"/>
      <c r="K1776" s="43"/>
      <c r="L1776" s="43"/>
      <c r="M1776" s="43"/>
      <c r="N1776" s="43"/>
      <c r="O1776" s="43"/>
      <c r="P1776" s="43"/>
      <c r="Q1776" s="43"/>
      <c r="R1776" s="43"/>
      <c r="S1776" s="43"/>
      <c r="T1776" s="43"/>
      <c r="U1776" s="43"/>
      <c r="V1776" s="43"/>
    </row>
    <row r="1777" spans="1:22" ht="15.75" customHeight="1" x14ac:dyDescent="0.2">
      <c r="A1777" s="40">
        <v>1739</v>
      </c>
      <c r="B1777" s="41" t="s">
        <v>465</v>
      </c>
      <c r="C1777" s="42" t="s">
        <v>1829</v>
      </c>
      <c r="D1777" s="42" t="s">
        <v>1277</v>
      </c>
      <c r="E1777" s="42"/>
      <c r="F1777" s="42" t="s">
        <v>1818</v>
      </c>
      <c r="G1777" s="42" t="s">
        <v>1207</v>
      </c>
      <c r="H1777" s="43"/>
      <c r="I1777" s="43"/>
      <c r="J1777" s="43"/>
      <c r="K1777" s="43"/>
      <c r="L1777" s="43"/>
      <c r="M1777" s="43"/>
      <c r="N1777" s="43"/>
      <c r="O1777" s="43"/>
      <c r="P1777" s="43"/>
      <c r="Q1777" s="43"/>
      <c r="R1777" s="43"/>
      <c r="S1777" s="43"/>
      <c r="T1777" s="43"/>
      <c r="U1777" s="43"/>
      <c r="V1777" s="43"/>
    </row>
    <row r="1778" spans="1:22" ht="15.75" customHeight="1" x14ac:dyDescent="0.2">
      <c r="A1778" s="40">
        <v>567</v>
      </c>
      <c r="B1778" s="41" t="s">
        <v>368</v>
      </c>
      <c r="C1778" s="42" t="s">
        <v>1830</v>
      </c>
      <c r="D1778" s="42" t="s">
        <v>1831</v>
      </c>
      <c r="E1778" s="42" t="s">
        <v>1441</v>
      </c>
      <c r="F1778" s="42" t="s">
        <v>1818</v>
      </c>
      <c r="G1778" s="42" t="s">
        <v>1207</v>
      </c>
      <c r="H1778" s="43"/>
      <c r="I1778" s="43"/>
      <c r="J1778" s="43"/>
      <c r="K1778" s="43"/>
      <c r="L1778" s="43"/>
      <c r="M1778" s="43"/>
      <c r="N1778" s="43"/>
      <c r="O1778" s="43"/>
      <c r="P1778" s="43"/>
      <c r="Q1778" s="43"/>
      <c r="R1778" s="43"/>
      <c r="S1778" s="43"/>
      <c r="T1778" s="43"/>
      <c r="U1778" s="43"/>
      <c r="V1778" s="43"/>
    </row>
    <row r="1779" spans="1:22" ht="15.75" customHeight="1" x14ac:dyDescent="0.2">
      <c r="A1779" s="40">
        <v>501</v>
      </c>
      <c r="B1779" s="41" t="s">
        <v>1339</v>
      </c>
      <c r="C1779" s="42" t="s">
        <v>1832</v>
      </c>
      <c r="D1779" s="42" t="s">
        <v>1748</v>
      </c>
      <c r="E1779" s="42"/>
      <c r="F1779" s="42" t="s">
        <v>1818</v>
      </c>
      <c r="G1779" s="42" t="s">
        <v>1207</v>
      </c>
      <c r="H1779" s="43"/>
      <c r="I1779" s="43"/>
      <c r="J1779" s="43"/>
      <c r="K1779" s="43"/>
      <c r="L1779" s="43"/>
      <c r="M1779" s="43"/>
      <c r="N1779" s="43"/>
      <c r="O1779" s="43"/>
      <c r="P1779" s="43"/>
      <c r="Q1779" s="43"/>
      <c r="R1779" s="43"/>
      <c r="S1779" s="43"/>
      <c r="T1779" s="43"/>
      <c r="U1779" s="43"/>
      <c r="V1779" s="43"/>
    </row>
    <row r="1780" spans="1:22" ht="15.75" customHeight="1" x14ac:dyDescent="0.2">
      <c r="A1780" s="40">
        <v>563</v>
      </c>
      <c r="B1780" s="41" t="s">
        <v>368</v>
      </c>
      <c r="C1780" s="42" t="s">
        <v>1832</v>
      </c>
      <c r="D1780" s="42" t="s">
        <v>1748</v>
      </c>
      <c r="E1780" s="42"/>
      <c r="F1780" s="42" t="s">
        <v>1818</v>
      </c>
      <c r="G1780" s="42" t="s">
        <v>1207</v>
      </c>
      <c r="H1780" s="43"/>
      <c r="I1780" s="43"/>
      <c r="J1780" s="43"/>
      <c r="K1780" s="43"/>
      <c r="L1780" s="43"/>
      <c r="M1780" s="43"/>
      <c r="N1780" s="43"/>
      <c r="O1780" s="43"/>
      <c r="P1780" s="43"/>
      <c r="Q1780" s="43"/>
      <c r="R1780" s="43"/>
      <c r="S1780" s="43"/>
      <c r="T1780" s="43"/>
      <c r="U1780" s="43"/>
      <c r="V1780" s="43"/>
    </row>
    <row r="1781" spans="1:22" ht="15.75" customHeight="1" x14ac:dyDescent="0.2">
      <c r="A1781" s="40">
        <v>45</v>
      </c>
      <c r="B1781" s="41" t="s">
        <v>1301</v>
      </c>
      <c r="C1781" s="42" t="s">
        <v>1833</v>
      </c>
      <c r="D1781" s="42" t="s">
        <v>1834</v>
      </c>
      <c r="E1781" s="42" t="s">
        <v>1330</v>
      </c>
      <c r="F1781" s="42" t="s">
        <v>1818</v>
      </c>
      <c r="G1781" s="42" t="s">
        <v>1207</v>
      </c>
      <c r="H1781" s="43"/>
      <c r="I1781" s="43"/>
      <c r="J1781" s="43"/>
      <c r="K1781" s="43"/>
      <c r="L1781" s="43"/>
      <c r="M1781" s="43"/>
      <c r="N1781" s="43"/>
      <c r="O1781" s="43"/>
      <c r="P1781" s="43"/>
      <c r="Q1781" s="43"/>
      <c r="R1781" s="43"/>
      <c r="S1781" s="43"/>
      <c r="T1781" s="43"/>
      <c r="U1781" s="43"/>
      <c r="V1781" s="43"/>
    </row>
    <row r="1782" spans="1:22" ht="15.75" customHeight="1" x14ac:dyDescent="0.2">
      <c r="A1782" s="40">
        <v>23</v>
      </c>
      <c r="B1782" s="41" t="s">
        <v>939</v>
      </c>
      <c r="C1782" s="42" t="s">
        <v>1835</v>
      </c>
      <c r="D1782" s="42" t="s">
        <v>1337</v>
      </c>
      <c r="E1782" s="42" t="s">
        <v>1836</v>
      </c>
      <c r="F1782" s="42" t="s">
        <v>1818</v>
      </c>
      <c r="G1782" s="42" t="s">
        <v>1207</v>
      </c>
      <c r="H1782" s="43"/>
      <c r="I1782" s="43"/>
      <c r="J1782" s="43"/>
      <c r="K1782" s="43"/>
      <c r="L1782" s="43"/>
      <c r="M1782" s="43"/>
      <c r="N1782" s="43"/>
      <c r="O1782" s="43"/>
      <c r="P1782" s="43"/>
      <c r="Q1782" s="43"/>
      <c r="R1782" s="43"/>
      <c r="S1782" s="43"/>
      <c r="T1782" s="43"/>
      <c r="U1782" s="43"/>
      <c r="V1782" s="43"/>
    </row>
    <row r="1783" spans="1:22" ht="15.75" customHeight="1" x14ac:dyDescent="0.2">
      <c r="A1783" s="40">
        <v>57</v>
      </c>
      <c r="B1783" s="41" t="s">
        <v>1301</v>
      </c>
      <c r="C1783" s="42" t="s">
        <v>1835</v>
      </c>
      <c r="D1783" s="42" t="s">
        <v>1337</v>
      </c>
      <c r="E1783" s="42" t="s">
        <v>1836</v>
      </c>
      <c r="F1783" s="42" t="s">
        <v>1818</v>
      </c>
      <c r="G1783" s="42" t="s">
        <v>1207</v>
      </c>
      <c r="H1783" s="43"/>
      <c r="I1783" s="43"/>
      <c r="J1783" s="43"/>
      <c r="K1783" s="43"/>
      <c r="L1783" s="43"/>
      <c r="M1783" s="43"/>
      <c r="N1783" s="43"/>
      <c r="O1783" s="43"/>
      <c r="P1783" s="43"/>
      <c r="Q1783" s="43"/>
      <c r="R1783" s="43"/>
      <c r="S1783" s="43"/>
      <c r="T1783" s="43"/>
      <c r="U1783" s="43"/>
      <c r="V1783" s="43"/>
    </row>
    <row r="1784" spans="1:22" ht="15.75" customHeight="1" x14ac:dyDescent="0.2">
      <c r="A1784" s="40">
        <v>11</v>
      </c>
      <c r="B1784" s="41" t="s">
        <v>939</v>
      </c>
      <c r="C1784" s="42" t="s">
        <v>1837</v>
      </c>
      <c r="D1784" s="42" t="s">
        <v>1461</v>
      </c>
      <c r="E1784" s="42" t="s">
        <v>1223</v>
      </c>
      <c r="F1784" s="42" t="s">
        <v>1818</v>
      </c>
      <c r="G1784" s="42" t="s">
        <v>1207</v>
      </c>
      <c r="H1784" s="43"/>
      <c r="I1784" s="43"/>
      <c r="J1784" s="43"/>
      <c r="K1784" s="43"/>
      <c r="L1784" s="43"/>
      <c r="M1784" s="43"/>
      <c r="N1784" s="43"/>
      <c r="O1784" s="43"/>
      <c r="P1784" s="43"/>
      <c r="Q1784" s="43"/>
      <c r="R1784" s="43"/>
      <c r="S1784" s="43"/>
      <c r="T1784" s="43"/>
      <c r="U1784" s="43"/>
      <c r="V1784" s="43"/>
    </row>
    <row r="1785" spans="1:22" ht="15.75" customHeight="1" x14ac:dyDescent="0.2">
      <c r="A1785" s="40">
        <v>895</v>
      </c>
      <c r="B1785" s="41" t="s">
        <v>694</v>
      </c>
      <c r="C1785" s="42" t="s">
        <v>1837</v>
      </c>
      <c r="D1785" s="42" t="s">
        <v>1461</v>
      </c>
      <c r="E1785" s="42" t="s">
        <v>1223</v>
      </c>
      <c r="F1785" s="42" t="s">
        <v>1818</v>
      </c>
      <c r="G1785" s="42" t="s">
        <v>1207</v>
      </c>
      <c r="H1785" s="43"/>
      <c r="I1785" s="43"/>
      <c r="J1785" s="43"/>
      <c r="K1785" s="43"/>
      <c r="L1785" s="43"/>
      <c r="M1785" s="43"/>
      <c r="N1785" s="43"/>
      <c r="O1785" s="43"/>
      <c r="P1785" s="43"/>
      <c r="Q1785" s="43"/>
      <c r="R1785" s="43"/>
      <c r="S1785" s="43"/>
      <c r="T1785" s="43"/>
      <c r="U1785" s="43"/>
      <c r="V1785" s="43"/>
    </row>
    <row r="1786" spans="1:22" ht="15.75" customHeight="1" x14ac:dyDescent="0.2">
      <c r="A1786" s="40">
        <v>507</v>
      </c>
      <c r="B1786" s="41" t="s">
        <v>1339</v>
      </c>
      <c r="C1786" s="42" t="s">
        <v>1838</v>
      </c>
      <c r="D1786" s="42" t="s">
        <v>647</v>
      </c>
      <c r="E1786" s="42" t="s">
        <v>645</v>
      </c>
      <c r="F1786" s="42" t="s">
        <v>1818</v>
      </c>
      <c r="G1786" s="42" t="s">
        <v>1207</v>
      </c>
      <c r="H1786" s="43"/>
      <c r="I1786" s="43"/>
      <c r="J1786" s="43"/>
      <c r="K1786" s="43"/>
      <c r="L1786" s="43"/>
      <c r="M1786" s="43"/>
      <c r="N1786" s="43"/>
      <c r="O1786" s="43"/>
      <c r="P1786" s="43"/>
      <c r="Q1786" s="43"/>
      <c r="R1786" s="43"/>
      <c r="S1786" s="43"/>
      <c r="T1786" s="43"/>
      <c r="U1786" s="43"/>
      <c r="V1786" s="43"/>
    </row>
    <row r="1787" spans="1:22" ht="15.75" customHeight="1" x14ac:dyDescent="0.2">
      <c r="A1787" s="40">
        <v>1797</v>
      </c>
      <c r="B1787" s="41" t="s">
        <v>276</v>
      </c>
      <c r="C1787" s="42" t="s">
        <v>1839</v>
      </c>
      <c r="D1787" s="42" t="s">
        <v>1385</v>
      </c>
      <c r="E1787" s="42" t="s">
        <v>70</v>
      </c>
      <c r="F1787" s="42" t="s">
        <v>1818</v>
      </c>
      <c r="G1787" s="42" t="s">
        <v>1207</v>
      </c>
      <c r="H1787" s="43"/>
      <c r="I1787" s="43"/>
      <c r="J1787" s="43"/>
      <c r="K1787" s="43"/>
      <c r="L1787" s="43"/>
      <c r="M1787" s="43"/>
      <c r="N1787" s="43"/>
      <c r="O1787" s="43"/>
      <c r="P1787" s="43"/>
      <c r="Q1787" s="43"/>
      <c r="R1787" s="43"/>
      <c r="S1787" s="43"/>
      <c r="T1787" s="43"/>
      <c r="U1787" s="43"/>
      <c r="V1787" s="43"/>
    </row>
    <row r="1788" spans="1:22" ht="15.75" customHeight="1" x14ac:dyDescent="0.2">
      <c r="A1788" s="40">
        <v>2099</v>
      </c>
      <c r="B1788" s="41" t="s">
        <v>280</v>
      </c>
      <c r="C1788" s="42" t="s">
        <v>1839</v>
      </c>
      <c r="D1788" s="42" t="s">
        <v>1385</v>
      </c>
      <c r="E1788" s="42" t="s">
        <v>70</v>
      </c>
      <c r="F1788" s="42" t="s">
        <v>1818</v>
      </c>
      <c r="G1788" s="42" t="s">
        <v>1207</v>
      </c>
      <c r="H1788" s="43"/>
      <c r="I1788" s="43"/>
      <c r="J1788" s="43"/>
      <c r="K1788" s="43"/>
      <c r="L1788" s="43"/>
      <c r="M1788" s="43"/>
      <c r="N1788" s="43"/>
      <c r="O1788" s="43"/>
      <c r="P1788" s="43"/>
      <c r="Q1788" s="43"/>
      <c r="R1788" s="43"/>
      <c r="S1788" s="43"/>
      <c r="T1788" s="43"/>
      <c r="U1788" s="43"/>
      <c r="V1788" s="43"/>
    </row>
    <row r="1789" spans="1:22" ht="15.75" customHeight="1" x14ac:dyDescent="0.2">
      <c r="A1789" s="40">
        <v>1595</v>
      </c>
      <c r="B1789" s="41" t="s">
        <v>264</v>
      </c>
      <c r="C1789" s="42" t="s">
        <v>1840</v>
      </c>
      <c r="D1789" s="42" t="s">
        <v>139</v>
      </c>
      <c r="E1789" s="42" t="s">
        <v>112</v>
      </c>
      <c r="F1789" s="42" t="s">
        <v>1818</v>
      </c>
      <c r="G1789" s="42" t="s">
        <v>1207</v>
      </c>
      <c r="H1789" s="43"/>
      <c r="I1789" s="43"/>
      <c r="J1789" s="43"/>
      <c r="K1789" s="43"/>
      <c r="L1789" s="43"/>
      <c r="M1789" s="43"/>
      <c r="N1789" s="43"/>
      <c r="O1789" s="43"/>
      <c r="P1789" s="43"/>
      <c r="Q1789" s="43"/>
      <c r="R1789" s="43"/>
      <c r="S1789" s="43"/>
      <c r="T1789" s="43"/>
      <c r="U1789" s="43"/>
      <c r="V1789" s="43"/>
    </row>
    <row r="1790" spans="1:22" ht="15.75" customHeight="1" x14ac:dyDescent="0.2">
      <c r="A1790" s="40">
        <v>2783</v>
      </c>
      <c r="B1790" s="41" t="s">
        <v>288</v>
      </c>
      <c r="C1790" s="42" t="s">
        <v>1840</v>
      </c>
      <c r="D1790" s="42" t="s">
        <v>139</v>
      </c>
      <c r="E1790" s="42" t="s">
        <v>112</v>
      </c>
      <c r="F1790" s="42" t="s">
        <v>1818</v>
      </c>
      <c r="G1790" s="42" t="s">
        <v>1207</v>
      </c>
      <c r="H1790" s="43"/>
      <c r="I1790" s="43"/>
      <c r="J1790" s="43"/>
      <c r="K1790" s="43"/>
      <c r="L1790" s="43"/>
      <c r="M1790" s="43"/>
      <c r="N1790" s="43"/>
      <c r="O1790" s="43"/>
      <c r="P1790" s="43"/>
      <c r="Q1790" s="43"/>
      <c r="R1790" s="43"/>
      <c r="S1790" s="43"/>
      <c r="T1790" s="43"/>
      <c r="U1790" s="43"/>
      <c r="V1790" s="43"/>
    </row>
    <row r="1791" spans="1:22" ht="15.75" customHeight="1" x14ac:dyDescent="0.2">
      <c r="A1791" s="40">
        <v>1653</v>
      </c>
      <c r="B1791" s="41" t="s">
        <v>435</v>
      </c>
      <c r="C1791" s="42" t="s">
        <v>1841</v>
      </c>
      <c r="D1791" s="42" t="s">
        <v>1842</v>
      </c>
      <c r="E1791" s="42" t="s">
        <v>1843</v>
      </c>
      <c r="F1791" s="42" t="s">
        <v>1818</v>
      </c>
      <c r="G1791" s="42" t="s">
        <v>1207</v>
      </c>
      <c r="H1791" s="43"/>
      <c r="I1791" s="43"/>
      <c r="J1791" s="43"/>
      <c r="K1791" s="43"/>
      <c r="L1791" s="43"/>
      <c r="M1791" s="43"/>
      <c r="N1791" s="43"/>
      <c r="O1791" s="43"/>
      <c r="P1791" s="43"/>
      <c r="Q1791" s="43"/>
      <c r="R1791" s="43"/>
      <c r="S1791" s="43"/>
      <c r="T1791" s="43"/>
      <c r="U1791" s="43"/>
      <c r="V1791" s="43"/>
    </row>
    <row r="1792" spans="1:22" ht="15.75" customHeight="1" x14ac:dyDescent="0.2">
      <c r="A1792" s="40">
        <v>1929</v>
      </c>
      <c r="B1792" s="41" t="s">
        <v>278</v>
      </c>
      <c r="C1792" s="42" t="s">
        <v>1841</v>
      </c>
      <c r="D1792" s="42" t="s">
        <v>1842</v>
      </c>
      <c r="E1792" s="42" t="s">
        <v>1843</v>
      </c>
      <c r="F1792" s="42" t="s">
        <v>1818</v>
      </c>
      <c r="G1792" s="42" t="s">
        <v>1207</v>
      </c>
      <c r="H1792" s="43"/>
      <c r="I1792" s="43"/>
      <c r="J1792" s="43"/>
      <c r="K1792" s="43"/>
      <c r="L1792" s="43"/>
      <c r="M1792" s="43"/>
      <c r="N1792" s="43"/>
      <c r="O1792" s="43"/>
      <c r="P1792" s="43"/>
      <c r="Q1792" s="43"/>
      <c r="R1792" s="43"/>
      <c r="S1792" s="43"/>
      <c r="T1792" s="43"/>
      <c r="U1792" s="43"/>
      <c r="V1792" s="43"/>
    </row>
    <row r="1793" spans="1:22" ht="15.75" customHeight="1" x14ac:dyDescent="0.2">
      <c r="A1793" s="40">
        <v>461</v>
      </c>
      <c r="B1793" s="41" t="s">
        <v>1018</v>
      </c>
      <c r="C1793" s="42" t="s">
        <v>1361</v>
      </c>
      <c r="D1793" s="42" t="s">
        <v>1482</v>
      </c>
      <c r="E1793" s="42" t="s">
        <v>1844</v>
      </c>
      <c r="F1793" s="42" t="s">
        <v>1818</v>
      </c>
      <c r="G1793" s="42" t="s">
        <v>1207</v>
      </c>
      <c r="H1793" s="43"/>
      <c r="I1793" s="43"/>
      <c r="J1793" s="43"/>
      <c r="K1793" s="43"/>
      <c r="L1793" s="43"/>
      <c r="M1793" s="43"/>
      <c r="N1793" s="43"/>
      <c r="O1793" s="43"/>
      <c r="P1793" s="43"/>
      <c r="Q1793" s="43"/>
      <c r="R1793" s="43"/>
      <c r="S1793" s="43"/>
      <c r="T1793" s="43"/>
      <c r="U1793" s="43"/>
      <c r="V1793" s="43"/>
    </row>
    <row r="1794" spans="1:22" ht="15.75" customHeight="1" x14ac:dyDescent="0.2">
      <c r="A1794" s="40">
        <v>2503</v>
      </c>
      <c r="B1794" s="41" t="s">
        <v>434</v>
      </c>
      <c r="C1794" s="42" t="s">
        <v>1361</v>
      </c>
      <c r="D1794" s="42" t="s">
        <v>1482</v>
      </c>
      <c r="E1794" s="42" t="s">
        <v>1844</v>
      </c>
      <c r="F1794" s="42" t="s">
        <v>1818</v>
      </c>
      <c r="G1794" s="42" t="s">
        <v>1207</v>
      </c>
      <c r="H1794" s="43"/>
      <c r="I1794" s="43"/>
      <c r="J1794" s="43"/>
      <c r="K1794" s="43"/>
      <c r="L1794" s="43"/>
      <c r="M1794" s="43"/>
      <c r="N1794" s="43"/>
      <c r="O1794" s="43"/>
      <c r="P1794" s="43"/>
      <c r="Q1794" s="43"/>
      <c r="R1794" s="43"/>
      <c r="S1794" s="43"/>
      <c r="T1794" s="43"/>
      <c r="U1794" s="43"/>
      <c r="V1794" s="43"/>
    </row>
    <row r="1795" spans="1:22" ht="15.75" customHeight="1" x14ac:dyDescent="0.2">
      <c r="A1795" s="40">
        <v>1209</v>
      </c>
      <c r="B1795" s="41" t="s">
        <v>1364</v>
      </c>
      <c r="C1795" s="42" t="s">
        <v>1845</v>
      </c>
      <c r="D1795" s="42" t="s">
        <v>967</v>
      </c>
      <c r="E1795" s="42" t="s">
        <v>1433</v>
      </c>
      <c r="F1795" s="42" t="s">
        <v>1818</v>
      </c>
      <c r="G1795" s="42" t="s">
        <v>1207</v>
      </c>
      <c r="H1795" s="43"/>
      <c r="I1795" s="43"/>
      <c r="J1795" s="43"/>
      <c r="K1795" s="43"/>
      <c r="L1795" s="43"/>
      <c r="M1795" s="43"/>
      <c r="N1795" s="43"/>
      <c r="O1795" s="43"/>
      <c r="P1795" s="43"/>
      <c r="Q1795" s="43"/>
      <c r="R1795" s="43"/>
      <c r="S1795" s="43"/>
      <c r="T1795" s="43"/>
      <c r="U1795" s="43"/>
      <c r="V1795" s="43"/>
    </row>
    <row r="1796" spans="1:22" ht="15.75" customHeight="1" x14ac:dyDescent="0.2">
      <c r="A1796" s="40">
        <v>2911</v>
      </c>
      <c r="B1796" s="41" t="s">
        <v>722</v>
      </c>
      <c r="C1796" s="42" t="s">
        <v>1845</v>
      </c>
      <c r="D1796" s="42" t="s">
        <v>967</v>
      </c>
      <c r="E1796" s="42" t="s">
        <v>1433</v>
      </c>
      <c r="F1796" s="42" t="s">
        <v>1818</v>
      </c>
      <c r="G1796" s="42" t="s">
        <v>1207</v>
      </c>
      <c r="H1796" s="43"/>
      <c r="I1796" s="43"/>
      <c r="J1796" s="43"/>
      <c r="K1796" s="43"/>
      <c r="L1796" s="43"/>
      <c r="M1796" s="43"/>
      <c r="N1796" s="43"/>
      <c r="O1796" s="43"/>
      <c r="P1796" s="43"/>
      <c r="Q1796" s="43"/>
      <c r="R1796" s="43"/>
      <c r="S1796" s="43"/>
      <c r="T1796" s="43"/>
      <c r="U1796" s="43"/>
      <c r="V1796" s="43"/>
    </row>
    <row r="1797" spans="1:22" ht="15.75" customHeight="1" x14ac:dyDescent="0.2">
      <c r="A1797" s="40">
        <v>459</v>
      </c>
      <c r="B1797" s="41" t="s">
        <v>1018</v>
      </c>
      <c r="C1797" s="42" t="s">
        <v>1846</v>
      </c>
      <c r="D1797" s="42" t="s">
        <v>104</v>
      </c>
      <c r="E1797" s="42" t="s">
        <v>1630</v>
      </c>
      <c r="F1797" s="42" t="s">
        <v>1818</v>
      </c>
      <c r="G1797" s="42" t="s">
        <v>1207</v>
      </c>
      <c r="H1797" s="43"/>
      <c r="I1797" s="43"/>
      <c r="J1797" s="43"/>
      <c r="K1797" s="43"/>
      <c r="L1797" s="43"/>
      <c r="M1797" s="43"/>
      <c r="N1797" s="43"/>
      <c r="O1797" s="43"/>
      <c r="P1797" s="43"/>
      <c r="Q1797" s="43"/>
      <c r="R1797" s="43"/>
      <c r="S1797" s="43"/>
      <c r="T1797" s="43"/>
      <c r="U1797" s="43"/>
      <c r="V1797" s="43"/>
    </row>
    <row r="1798" spans="1:22" ht="15.75" customHeight="1" x14ac:dyDescent="0.2">
      <c r="A1798" s="40">
        <v>2803</v>
      </c>
      <c r="B1798" s="41" t="s">
        <v>1348</v>
      </c>
      <c r="C1798" s="42" t="s">
        <v>1846</v>
      </c>
      <c r="D1798" s="42" t="s">
        <v>104</v>
      </c>
      <c r="E1798" s="42" t="s">
        <v>1630</v>
      </c>
      <c r="F1798" s="42" t="s">
        <v>1818</v>
      </c>
      <c r="G1798" s="42" t="s">
        <v>1207</v>
      </c>
      <c r="H1798" s="43"/>
      <c r="I1798" s="43"/>
      <c r="J1798" s="43"/>
      <c r="K1798" s="43"/>
      <c r="L1798" s="43"/>
      <c r="M1798" s="43"/>
      <c r="N1798" s="43"/>
      <c r="O1798" s="43"/>
      <c r="P1798" s="43"/>
      <c r="Q1798" s="43"/>
      <c r="R1798" s="43"/>
      <c r="S1798" s="43"/>
      <c r="T1798" s="43"/>
      <c r="U1798" s="43"/>
      <c r="V1798" s="43"/>
    </row>
    <row r="1799" spans="1:22" ht="15.75" customHeight="1" x14ac:dyDescent="0.2">
      <c r="A1799" s="40"/>
      <c r="B1799" s="45" t="s">
        <v>323</v>
      </c>
      <c r="C1799" s="46" t="s">
        <v>1847</v>
      </c>
      <c r="D1799" s="46" t="s">
        <v>275</v>
      </c>
      <c r="E1799" s="46" t="s">
        <v>302</v>
      </c>
      <c r="F1799" s="46" t="s">
        <v>1818</v>
      </c>
      <c r="G1799" s="46" t="s">
        <v>1207</v>
      </c>
      <c r="H1799" s="43"/>
      <c r="I1799" s="43"/>
      <c r="J1799" s="43"/>
      <c r="K1799" s="43"/>
      <c r="L1799" s="43"/>
      <c r="M1799" s="43"/>
      <c r="N1799" s="43"/>
      <c r="O1799" s="43"/>
      <c r="P1799" s="43"/>
      <c r="Q1799" s="43"/>
      <c r="R1799" s="43"/>
      <c r="S1799" s="43"/>
      <c r="T1799" s="43"/>
      <c r="U1799" s="43"/>
      <c r="V1799" s="43"/>
    </row>
    <row r="1800" spans="1:22" ht="15.75" customHeight="1" x14ac:dyDescent="0.2">
      <c r="A1800" s="40"/>
      <c r="B1800" s="45" t="s">
        <v>297</v>
      </c>
      <c r="C1800" s="46" t="s">
        <v>1847</v>
      </c>
      <c r="D1800" s="46" t="s">
        <v>275</v>
      </c>
      <c r="E1800" s="46" t="s">
        <v>302</v>
      </c>
      <c r="F1800" s="46" t="s">
        <v>1818</v>
      </c>
      <c r="G1800" s="46" t="s">
        <v>1207</v>
      </c>
      <c r="H1800" s="43"/>
      <c r="I1800" s="43"/>
      <c r="J1800" s="43"/>
      <c r="K1800" s="43"/>
      <c r="L1800" s="43"/>
      <c r="M1800" s="43"/>
      <c r="N1800" s="43"/>
      <c r="O1800" s="43"/>
      <c r="P1800" s="43"/>
      <c r="Q1800" s="43"/>
      <c r="R1800" s="43"/>
      <c r="S1800" s="43"/>
      <c r="T1800" s="43"/>
      <c r="U1800" s="43"/>
      <c r="V1800" s="43"/>
    </row>
    <row r="1801" spans="1:22" ht="15.75" customHeight="1" x14ac:dyDescent="0.2">
      <c r="A1801" s="40"/>
      <c r="B1801" s="45" t="s">
        <v>131</v>
      </c>
      <c r="C1801" s="46" t="s">
        <v>1848</v>
      </c>
      <c r="D1801" s="46" t="s">
        <v>1849</v>
      </c>
      <c r="E1801" s="46" t="s">
        <v>645</v>
      </c>
      <c r="F1801" s="46" t="s">
        <v>1818</v>
      </c>
      <c r="G1801" s="46" t="s">
        <v>1207</v>
      </c>
      <c r="H1801" s="43"/>
      <c r="I1801" s="43"/>
      <c r="J1801" s="43"/>
      <c r="K1801" s="43"/>
      <c r="L1801" s="43"/>
      <c r="M1801" s="43"/>
      <c r="N1801" s="43"/>
      <c r="O1801" s="43"/>
      <c r="P1801" s="43"/>
      <c r="Q1801" s="43"/>
      <c r="R1801" s="43"/>
      <c r="S1801" s="43"/>
      <c r="T1801" s="43"/>
      <c r="U1801" s="43"/>
      <c r="V1801" s="43"/>
    </row>
    <row r="1802" spans="1:22" ht="15.75" customHeight="1" x14ac:dyDescent="0.2">
      <c r="A1802" s="40"/>
      <c r="B1802" s="45" t="s">
        <v>118</v>
      </c>
      <c r="C1802" s="46" t="s">
        <v>1848</v>
      </c>
      <c r="D1802" s="46" t="s">
        <v>1849</v>
      </c>
      <c r="E1802" s="46" t="s">
        <v>645</v>
      </c>
      <c r="F1802" s="46" t="s">
        <v>1818</v>
      </c>
      <c r="G1802" s="46" t="s">
        <v>1207</v>
      </c>
      <c r="H1802" s="43"/>
      <c r="I1802" s="43"/>
      <c r="J1802" s="43"/>
      <c r="K1802" s="43"/>
      <c r="L1802" s="43"/>
      <c r="M1802" s="43"/>
      <c r="N1802" s="43"/>
      <c r="O1802" s="43"/>
      <c r="P1802" s="43"/>
      <c r="Q1802" s="43"/>
      <c r="R1802" s="43"/>
      <c r="S1802" s="43"/>
      <c r="T1802" s="43"/>
      <c r="U1802" s="43"/>
      <c r="V1802" s="43"/>
    </row>
    <row r="1803" spans="1:22" ht="15.75" customHeight="1" x14ac:dyDescent="0.2">
      <c r="A1803" s="40">
        <v>1015</v>
      </c>
      <c r="B1803" s="41" t="s">
        <v>1076</v>
      </c>
      <c r="C1803" s="42" t="s">
        <v>443</v>
      </c>
      <c r="D1803" s="42" t="s">
        <v>139</v>
      </c>
      <c r="E1803" s="42" t="s">
        <v>273</v>
      </c>
      <c r="F1803" s="42" t="s">
        <v>1818</v>
      </c>
      <c r="G1803" s="42" t="s">
        <v>1207</v>
      </c>
      <c r="H1803" s="43"/>
      <c r="I1803" s="43"/>
      <c r="J1803" s="43"/>
      <c r="K1803" s="43"/>
      <c r="L1803" s="43"/>
      <c r="M1803" s="43"/>
      <c r="N1803" s="43"/>
      <c r="O1803" s="43"/>
      <c r="P1803" s="43"/>
      <c r="Q1803" s="43"/>
      <c r="R1803" s="43"/>
      <c r="S1803" s="43"/>
      <c r="T1803" s="43"/>
      <c r="U1803" s="43"/>
      <c r="V1803" s="43"/>
    </row>
    <row r="1804" spans="1:22" ht="15.75" customHeight="1" x14ac:dyDescent="0.2">
      <c r="A1804" s="40">
        <v>1715</v>
      </c>
      <c r="B1804" s="41" t="s">
        <v>1345</v>
      </c>
      <c r="C1804" s="42" t="s">
        <v>443</v>
      </c>
      <c r="D1804" s="42" t="s">
        <v>139</v>
      </c>
      <c r="E1804" s="42" t="s">
        <v>273</v>
      </c>
      <c r="F1804" s="42" t="s">
        <v>1818</v>
      </c>
      <c r="G1804" s="42" t="s">
        <v>1207</v>
      </c>
      <c r="H1804" s="43"/>
      <c r="I1804" s="43"/>
      <c r="J1804" s="43"/>
      <c r="K1804" s="43"/>
      <c r="L1804" s="43"/>
      <c r="M1804" s="43"/>
      <c r="N1804" s="43"/>
      <c r="O1804" s="43"/>
      <c r="P1804" s="43"/>
      <c r="Q1804" s="43"/>
      <c r="R1804" s="43"/>
      <c r="S1804" s="43"/>
      <c r="T1804" s="43"/>
      <c r="U1804" s="43"/>
      <c r="V1804" s="43"/>
    </row>
    <row r="1805" spans="1:22" ht="15.75" customHeight="1" x14ac:dyDescent="0.2">
      <c r="A1805" s="40">
        <v>137</v>
      </c>
      <c r="B1805" s="41" t="s">
        <v>460</v>
      </c>
      <c r="C1805" s="42" t="s">
        <v>1850</v>
      </c>
      <c r="D1805" s="42" t="s">
        <v>266</v>
      </c>
      <c r="E1805" s="42" t="s">
        <v>1235</v>
      </c>
      <c r="F1805" s="42" t="s">
        <v>1818</v>
      </c>
      <c r="G1805" s="42" t="s">
        <v>1207</v>
      </c>
      <c r="H1805" s="43"/>
      <c r="I1805" s="43"/>
      <c r="J1805" s="43"/>
      <c r="K1805" s="43"/>
      <c r="L1805" s="43"/>
      <c r="M1805" s="43"/>
      <c r="N1805" s="43"/>
      <c r="O1805" s="43"/>
      <c r="P1805" s="43"/>
      <c r="Q1805" s="43"/>
      <c r="R1805" s="43"/>
      <c r="S1805" s="43"/>
      <c r="T1805" s="43"/>
      <c r="U1805" s="43"/>
      <c r="V1805" s="43"/>
    </row>
    <row r="1806" spans="1:22" ht="15.75" customHeight="1" x14ac:dyDescent="0.2">
      <c r="A1806" s="40">
        <v>229</v>
      </c>
      <c r="B1806" s="41" t="s">
        <v>243</v>
      </c>
      <c r="C1806" s="42" t="s">
        <v>1850</v>
      </c>
      <c r="D1806" s="42" t="s">
        <v>266</v>
      </c>
      <c r="E1806" s="42" t="s">
        <v>1235</v>
      </c>
      <c r="F1806" s="42" t="s">
        <v>1818</v>
      </c>
      <c r="G1806" s="42" t="s">
        <v>1207</v>
      </c>
      <c r="H1806" s="43"/>
      <c r="I1806" s="43"/>
      <c r="J1806" s="43"/>
      <c r="K1806" s="43"/>
      <c r="L1806" s="43"/>
      <c r="M1806" s="43"/>
      <c r="N1806" s="43"/>
      <c r="O1806" s="43"/>
      <c r="P1806" s="43"/>
      <c r="Q1806" s="43"/>
      <c r="R1806" s="43"/>
      <c r="S1806" s="43"/>
      <c r="T1806" s="43"/>
      <c r="U1806" s="43"/>
      <c r="V1806" s="43"/>
    </row>
    <row r="1807" spans="1:22" ht="15.75" customHeight="1" x14ac:dyDescent="0.2">
      <c r="A1807" s="40">
        <v>1003</v>
      </c>
      <c r="B1807" s="41" t="s">
        <v>1076</v>
      </c>
      <c r="C1807" s="42" t="s">
        <v>1850</v>
      </c>
      <c r="D1807" s="42" t="s">
        <v>266</v>
      </c>
      <c r="E1807" s="42" t="s">
        <v>1235</v>
      </c>
      <c r="F1807" s="42" t="s">
        <v>1818</v>
      </c>
      <c r="G1807" s="42" t="s">
        <v>1207</v>
      </c>
      <c r="H1807" s="43"/>
      <c r="I1807" s="43"/>
      <c r="J1807" s="43"/>
      <c r="K1807" s="43"/>
      <c r="L1807" s="43"/>
      <c r="M1807" s="43"/>
      <c r="N1807" s="43"/>
      <c r="O1807" s="43"/>
      <c r="P1807" s="43"/>
      <c r="Q1807" s="43"/>
      <c r="R1807" s="43"/>
      <c r="S1807" s="43"/>
      <c r="T1807" s="43"/>
      <c r="U1807" s="43"/>
      <c r="V1807" s="43"/>
    </row>
    <row r="1808" spans="1:22" ht="15.75" customHeight="1" x14ac:dyDescent="0.2">
      <c r="A1808" s="40">
        <v>421</v>
      </c>
      <c r="B1808" s="41" t="s">
        <v>672</v>
      </c>
      <c r="C1808" s="42" t="s">
        <v>1851</v>
      </c>
      <c r="D1808" s="42" t="s">
        <v>1852</v>
      </c>
      <c r="E1808" s="42" t="s">
        <v>1372</v>
      </c>
      <c r="F1808" s="42" t="s">
        <v>1818</v>
      </c>
      <c r="G1808" s="42" t="s">
        <v>1207</v>
      </c>
      <c r="H1808" s="43"/>
      <c r="I1808" s="43"/>
      <c r="J1808" s="43"/>
      <c r="K1808" s="43"/>
      <c r="L1808" s="43"/>
      <c r="M1808" s="43"/>
      <c r="N1808" s="43"/>
      <c r="O1808" s="43"/>
      <c r="P1808" s="43"/>
      <c r="Q1808" s="43"/>
      <c r="R1808" s="43"/>
      <c r="S1808" s="43"/>
      <c r="T1808" s="43"/>
      <c r="U1808" s="43"/>
      <c r="V1808" s="43"/>
    </row>
    <row r="1809" spans="1:22" ht="15.75" customHeight="1" x14ac:dyDescent="0.2">
      <c r="A1809" s="40">
        <v>337</v>
      </c>
      <c r="B1809" s="41" t="s">
        <v>1162</v>
      </c>
      <c r="C1809" s="42" t="s">
        <v>1853</v>
      </c>
      <c r="D1809" s="42" t="s">
        <v>1426</v>
      </c>
      <c r="E1809" s="42" t="s">
        <v>1750</v>
      </c>
      <c r="F1809" s="42" t="s">
        <v>1818</v>
      </c>
      <c r="G1809" s="42" t="s">
        <v>1207</v>
      </c>
      <c r="H1809" s="43"/>
      <c r="I1809" s="43"/>
      <c r="J1809" s="43"/>
      <c r="K1809" s="43"/>
      <c r="L1809" s="43"/>
      <c r="M1809" s="43"/>
      <c r="N1809" s="43"/>
      <c r="O1809" s="43"/>
      <c r="P1809" s="43"/>
      <c r="Q1809" s="43"/>
      <c r="R1809" s="43"/>
      <c r="S1809" s="43"/>
      <c r="T1809" s="43"/>
      <c r="U1809" s="43"/>
      <c r="V1809" s="43"/>
    </row>
    <row r="1810" spans="1:22" ht="15.75" customHeight="1" x14ac:dyDescent="0.2">
      <c r="A1810" s="40">
        <v>2539</v>
      </c>
      <c r="B1810" s="41" t="s">
        <v>1247</v>
      </c>
      <c r="C1810" s="42" t="s">
        <v>1853</v>
      </c>
      <c r="D1810" s="42" t="s">
        <v>1426</v>
      </c>
      <c r="E1810" s="42" t="s">
        <v>1750</v>
      </c>
      <c r="F1810" s="42" t="s">
        <v>1818</v>
      </c>
      <c r="G1810" s="42" t="s">
        <v>1207</v>
      </c>
      <c r="H1810" s="43"/>
      <c r="I1810" s="43"/>
      <c r="J1810" s="43"/>
      <c r="K1810" s="43"/>
      <c r="L1810" s="43"/>
      <c r="M1810" s="43"/>
      <c r="N1810" s="43"/>
      <c r="O1810" s="43"/>
      <c r="P1810" s="43"/>
      <c r="Q1810" s="43"/>
      <c r="R1810" s="43"/>
      <c r="S1810" s="43"/>
      <c r="T1810" s="43"/>
      <c r="U1810" s="43"/>
      <c r="V1810" s="43"/>
    </row>
    <row r="1811" spans="1:22" ht="15.75" customHeight="1" x14ac:dyDescent="0.2">
      <c r="A1811" s="40">
        <v>1611</v>
      </c>
      <c r="B1811" s="41" t="s">
        <v>264</v>
      </c>
      <c r="C1811" s="42" t="s">
        <v>1347</v>
      </c>
      <c r="D1811" s="42" t="s">
        <v>139</v>
      </c>
      <c r="E1811" s="42" t="s">
        <v>322</v>
      </c>
      <c r="F1811" s="42" t="s">
        <v>1818</v>
      </c>
      <c r="G1811" s="42" t="s">
        <v>1207</v>
      </c>
      <c r="H1811" s="43"/>
      <c r="I1811" s="43"/>
      <c r="J1811" s="43"/>
      <c r="K1811" s="43"/>
      <c r="L1811" s="43"/>
      <c r="M1811" s="43"/>
      <c r="N1811" s="43"/>
      <c r="O1811" s="43"/>
      <c r="P1811" s="43"/>
      <c r="Q1811" s="43"/>
      <c r="R1811" s="43"/>
      <c r="S1811" s="43"/>
      <c r="T1811" s="43"/>
      <c r="U1811" s="43"/>
      <c r="V1811" s="43"/>
    </row>
    <row r="1812" spans="1:22" ht="15.75" customHeight="1" x14ac:dyDescent="0.2">
      <c r="A1812" s="40">
        <v>2549</v>
      </c>
      <c r="B1812" s="41" t="s">
        <v>1247</v>
      </c>
      <c r="C1812" s="42" t="s">
        <v>1347</v>
      </c>
      <c r="D1812" s="42" t="s">
        <v>139</v>
      </c>
      <c r="E1812" s="42" t="s">
        <v>322</v>
      </c>
      <c r="F1812" s="42" t="s">
        <v>1818</v>
      </c>
      <c r="G1812" s="42" t="s">
        <v>1207</v>
      </c>
      <c r="H1812" s="43"/>
      <c r="I1812" s="43"/>
      <c r="J1812" s="43"/>
      <c r="K1812" s="43"/>
      <c r="L1812" s="43"/>
      <c r="M1812" s="43"/>
      <c r="N1812" s="43"/>
      <c r="O1812" s="43"/>
      <c r="P1812" s="43"/>
      <c r="Q1812" s="43"/>
      <c r="R1812" s="43"/>
      <c r="S1812" s="43"/>
      <c r="T1812" s="43"/>
      <c r="U1812" s="43"/>
      <c r="V1812" s="43"/>
    </row>
    <row r="1813" spans="1:22" ht="15.75" customHeight="1" x14ac:dyDescent="0.2">
      <c r="A1813" s="40">
        <v>2793</v>
      </c>
      <c r="B1813" s="41" t="s">
        <v>288</v>
      </c>
      <c r="C1813" s="42" t="s">
        <v>1347</v>
      </c>
      <c r="D1813" s="42" t="s">
        <v>139</v>
      </c>
      <c r="E1813" s="42" t="s">
        <v>322</v>
      </c>
      <c r="F1813" s="42" t="s">
        <v>1818</v>
      </c>
      <c r="G1813" s="42" t="s">
        <v>1207</v>
      </c>
      <c r="H1813" s="43"/>
      <c r="I1813" s="43"/>
      <c r="J1813" s="43"/>
      <c r="K1813" s="43"/>
      <c r="L1813" s="43"/>
      <c r="M1813" s="43"/>
      <c r="N1813" s="43"/>
      <c r="O1813" s="43"/>
      <c r="P1813" s="43"/>
      <c r="Q1813" s="43"/>
      <c r="R1813" s="43"/>
      <c r="S1813" s="43"/>
      <c r="T1813" s="43"/>
      <c r="U1813" s="43"/>
      <c r="V1813" s="43"/>
    </row>
    <row r="1814" spans="1:22" ht="15.75" customHeight="1" x14ac:dyDescent="0.2">
      <c r="A1814" s="40">
        <v>237</v>
      </c>
      <c r="B1814" s="41" t="s">
        <v>243</v>
      </c>
      <c r="C1814" s="42" t="s">
        <v>1695</v>
      </c>
      <c r="D1814" s="42" t="s">
        <v>771</v>
      </c>
      <c r="E1814" s="42" t="s">
        <v>1223</v>
      </c>
      <c r="F1814" s="42" t="s">
        <v>1818</v>
      </c>
      <c r="G1814" s="42" t="s">
        <v>1207</v>
      </c>
      <c r="H1814" s="43"/>
      <c r="I1814" s="43"/>
      <c r="J1814" s="43"/>
      <c r="K1814" s="43"/>
      <c r="L1814" s="43"/>
      <c r="M1814" s="43"/>
      <c r="N1814" s="43"/>
      <c r="O1814" s="43"/>
      <c r="P1814" s="43"/>
      <c r="Q1814" s="43"/>
      <c r="R1814" s="43"/>
      <c r="S1814" s="43"/>
      <c r="T1814" s="43"/>
      <c r="U1814" s="43"/>
      <c r="V1814" s="43"/>
    </row>
    <row r="1815" spans="1:22" ht="15.75" customHeight="1" x14ac:dyDescent="0.2">
      <c r="A1815" s="40">
        <v>1261</v>
      </c>
      <c r="B1815" s="41" t="s">
        <v>453</v>
      </c>
      <c r="C1815" s="42" t="s">
        <v>1695</v>
      </c>
      <c r="D1815" s="42" t="s">
        <v>771</v>
      </c>
      <c r="E1815" s="42" t="s">
        <v>1223</v>
      </c>
      <c r="F1815" s="42" t="s">
        <v>1818</v>
      </c>
      <c r="G1815" s="42" t="s">
        <v>1207</v>
      </c>
      <c r="H1815" s="43"/>
      <c r="I1815" s="43"/>
      <c r="J1815" s="43"/>
      <c r="K1815" s="43"/>
      <c r="L1815" s="43"/>
      <c r="M1815" s="43"/>
      <c r="N1815" s="43"/>
      <c r="O1815" s="43"/>
      <c r="P1815" s="43"/>
      <c r="Q1815" s="43"/>
      <c r="R1815" s="43"/>
      <c r="S1815" s="43"/>
      <c r="T1815" s="43"/>
      <c r="U1815" s="43"/>
      <c r="V1815" s="43"/>
    </row>
    <row r="1816" spans="1:22" ht="15.75" customHeight="1" x14ac:dyDescent="0.2">
      <c r="A1816" s="40">
        <v>985</v>
      </c>
      <c r="B1816" s="41" t="s">
        <v>624</v>
      </c>
      <c r="C1816" s="42" t="s">
        <v>1680</v>
      </c>
      <c r="D1816" s="42" t="s">
        <v>1854</v>
      </c>
      <c r="E1816" s="42"/>
      <c r="F1816" s="42" t="s">
        <v>1818</v>
      </c>
      <c r="G1816" s="42" t="s">
        <v>1207</v>
      </c>
      <c r="H1816" s="43"/>
      <c r="I1816" s="43"/>
      <c r="J1816" s="43"/>
      <c r="K1816" s="43"/>
      <c r="L1816" s="43"/>
      <c r="M1816" s="43"/>
      <c r="N1816" s="43"/>
      <c r="O1816" s="43"/>
      <c r="P1816" s="43"/>
      <c r="Q1816" s="43"/>
      <c r="R1816" s="43"/>
      <c r="S1816" s="43"/>
      <c r="T1816" s="43"/>
      <c r="U1816" s="43"/>
      <c r="V1816" s="43"/>
    </row>
    <row r="1817" spans="1:22" ht="15.75" customHeight="1" x14ac:dyDescent="0.2">
      <c r="A1817" s="40">
        <v>2811</v>
      </c>
      <c r="B1817" s="41" t="s">
        <v>1348</v>
      </c>
      <c r="C1817" s="42" t="s">
        <v>1680</v>
      </c>
      <c r="D1817" s="42" t="s">
        <v>1854</v>
      </c>
      <c r="E1817" s="42"/>
      <c r="F1817" s="42" t="s">
        <v>1818</v>
      </c>
      <c r="G1817" s="42" t="s">
        <v>1207</v>
      </c>
      <c r="H1817" s="43"/>
      <c r="I1817" s="43"/>
      <c r="J1817" s="43"/>
      <c r="K1817" s="43"/>
      <c r="L1817" s="43"/>
      <c r="M1817" s="43"/>
      <c r="N1817" s="43"/>
      <c r="O1817" s="43"/>
      <c r="P1817" s="43"/>
      <c r="Q1817" s="43"/>
      <c r="R1817" s="43"/>
      <c r="S1817" s="43"/>
      <c r="T1817" s="43"/>
      <c r="U1817" s="43"/>
      <c r="V1817" s="43"/>
    </row>
    <row r="1818" spans="1:22" ht="15.75" customHeight="1" x14ac:dyDescent="0.2">
      <c r="A1818" s="40">
        <v>505</v>
      </c>
      <c r="B1818" s="41" t="s">
        <v>1339</v>
      </c>
      <c r="C1818" s="42" t="s">
        <v>1855</v>
      </c>
      <c r="D1818" s="42" t="s">
        <v>1654</v>
      </c>
      <c r="E1818" s="42" t="s">
        <v>1441</v>
      </c>
      <c r="F1818" s="42" t="s">
        <v>1818</v>
      </c>
      <c r="G1818" s="42" t="s">
        <v>1207</v>
      </c>
      <c r="H1818" s="43"/>
      <c r="I1818" s="43"/>
      <c r="J1818" s="43"/>
      <c r="K1818" s="43"/>
      <c r="L1818" s="43"/>
      <c r="M1818" s="43"/>
      <c r="N1818" s="43"/>
      <c r="O1818" s="43"/>
      <c r="P1818" s="43"/>
      <c r="Q1818" s="43"/>
      <c r="R1818" s="43"/>
      <c r="S1818" s="43"/>
      <c r="T1818" s="43"/>
      <c r="U1818" s="43"/>
      <c r="V1818" s="43"/>
    </row>
    <row r="1819" spans="1:22" ht="15.75" customHeight="1" x14ac:dyDescent="0.2">
      <c r="A1819" s="40">
        <v>435</v>
      </c>
      <c r="B1819" s="41" t="s">
        <v>672</v>
      </c>
      <c r="C1819" s="42" t="s">
        <v>1624</v>
      </c>
      <c r="D1819" s="42" t="s">
        <v>1856</v>
      </c>
      <c r="E1819" s="42" t="s">
        <v>18</v>
      </c>
      <c r="F1819" s="42" t="s">
        <v>1818</v>
      </c>
      <c r="G1819" s="42" t="s">
        <v>1207</v>
      </c>
      <c r="H1819" s="43"/>
      <c r="I1819" s="43"/>
      <c r="J1819" s="43"/>
      <c r="K1819" s="43"/>
      <c r="L1819" s="43"/>
      <c r="M1819" s="43"/>
      <c r="N1819" s="43"/>
      <c r="O1819" s="43"/>
      <c r="P1819" s="43"/>
      <c r="Q1819" s="43"/>
      <c r="R1819" s="43"/>
      <c r="S1819" s="43"/>
      <c r="T1819" s="43"/>
      <c r="U1819" s="43"/>
      <c r="V1819" s="43"/>
    </row>
    <row r="1820" spans="1:22" ht="15.75" customHeight="1" x14ac:dyDescent="0.2">
      <c r="A1820" s="40"/>
      <c r="B1820" s="45" t="s">
        <v>88</v>
      </c>
      <c r="C1820" s="46" t="s">
        <v>1624</v>
      </c>
      <c r="D1820" s="46" t="s">
        <v>171</v>
      </c>
      <c r="E1820" s="46" t="s">
        <v>348</v>
      </c>
      <c r="F1820" s="46" t="s">
        <v>1818</v>
      </c>
      <c r="G1820" s="46" t="s">
        <v>1207</v>
      </c>
      <c r="H1820" s="43"/>
      <c r="I1820" s="43"/>
      <c r="J1820" s="43"/>
      <c r="K1820" s="43"/>
      <c r="L1820" s="43"/>
      <c r="M1820" s="43"/>
      <c r="N1820" s="43"/>
      <c r="O1820" s="43"/>
      <c r="P1820" s="43"/>
      <c r="Q1820" s="43"/>
      <c r="R1820" s="43"/>
      <c r="S1820" s="43"/>
      <c r="T1820" s="43"/>
      <c r="U1820" s="43"/>
      <c r="V1820" s="43"/>
    </row>
    <row r="1821" spans="1:22" ht="15.75" customHeight="1" x14ac:dyDescent="0.2">
      <c r="A1821" s="40"/>
      <c r="B1821" s="45" t="s">
        <v>94</v>
      </c>
      <c r="C1821" s="46" t="s">
        <v>1624</v>
      </c>
      <c r="D1821" s="46" t="s">
        <v>171</v>
      </c>
      <c r="E1821" s="46" t="s">
        <v>348</v>
      </c>
      <c r="F1821" s="46" t="s">
        <v>1818</v>
      </c>
      <c r="G1821" s="46" t="s">
        <v>1207</v>
      </c>
      <c r="H1821" s="43"/>
      <c r="I1821" s="43"/>
      <c r="J1821" s="43"/>
      <c r="K1821" s="43"/>
      <c r="L1821" s="43"/>
      <c r="M1821" s="43"/>
      <c r="N1821" s="43"/>
      <c r="O1821" s="43"/>
      <c r="P1821" s="43"/>
      <c r="Q1821" s="43"/>
      <c r="R1821" s="43"/>
      <c r="S1821" s="43"/>
      <c r="T1821" s="43"/>
      <c r="U1821" s="43"/>
      <c r="V1821" s="43"/>
    </row>
    <row r="1822" spans="1:22" ht="15.75" customHeight="1" x14ac:dyDescent="0.2">
      <c r="A1822" s="40">
        <v>201</v>
      </c>
      <c r="B1822" s="41" t="s">
        <v>946</v>
      </c>
      <c r="C1822" s="42" t="s">
        <v>1857</v>
      </c>
      <c r="D1822" s="42" t="s">
        <v>275</v>
      </c>
      <c r="E1822" s="42" t="s">
        <v>187</v>
      </c>
      <c r="F1822" s="42" t="s">
        <v>1818</v>
      </c>
      <c r="G1822" s="42" t="s">
        <v>1207</v>
      </c>
      <c r="H1822" s="43"/>
      <c r="I1822" s="43"/>
      <c r="J1822" s="43"/>
      <c r="K1822" s="43"/>
      <c r="L1822" s="43"/>
      <c r="M1822" s="43"/>
      <c r="N1822" s="43"/>
      <c r="O1822" s="43"/>
      <c r="P1822" s="43"/>
      <c r="Q1822" s="43"/>
      <c r="R1822" s="43"/>
      <c r="S1822" s="43"/>
      <c r="T1822" s="43"/>
      <c r="U1822" s="43"/>
      <c r="V1822" s="43"/>
    </row>
    <row r="1823" spans="1:22" ht="15.75" customHeight="1" x14ac:dyDescent="0.2">
      <c r="A1823" s="40">
        <v>1203</v>
      </c>
      <c r="B1823" s="41" t="s">
        <v>1364</v>
      </c>
      <c r="C1823" s="42" t="s">
        <v>1857</v>
      </c>
      <c r="D1823" s="42" t="s">
        <v>275</v>
      </c>
      <c r="E1823" s="42" t="s">
        <v>187</v>
      </c>
      <c r="F1823" s="42" t="s">
        <v>1818</v>
      </c>
      <c r="G1823" s="42" t="s">
        <v>1207</v>
      </c>
      <c r="H1823" s="43"/>
      <c r="I1823" s="43"/>
      <c r="J1823" s="43"/>
      <c r="K1823" s="43"/>
      <c r="L1823" s="43"/>
      <c r="M1823" s="43"/>
      <c r="N1823" s="43"/>
      <c r="O1823" s="43"/>
      <c r="P1823" s="43"/>
      <c r="Q1823" s="43"/>
      <c r="R1823" s="43"/>
      <c r="S1823" s="43"/>
      <c r="T1823" s="43"/>
      <c r="U1823" s="43"/>
      <c r="V1823" s="43"/>
    </row>
    <row r="1824" spans="1:22" ht="15.75" customHeight="1" x14ac:dyDescent="0.2">
      <c r="A1824" s="40">
        <v>1705</v>
      </c>
      <c r="B1824" s="41" t="s">
        <v>1345</v>
      </c>
      <c r="C1824" s="42" t="s">
        <v>1857</v>
      </c>
      <c r="D1824" s="42" t="s">
        <v>275</v>
      </c>
      <c r="E1824" s="42" t="s">
        <v>187</v>
      </c>
      <c r="F1824" s="42" t="s">
        <v>1818</v>
      </c>
      <c r="G1824" s="42" t="s">
        <v>1207</v>
      </c>
      <c r="H1824" s="43"/>
      <c r="I1824" s="43"/>
      <c r="J1824" s="43"/>
      <c r="K1824" s="43"/>
      <c r="L1824" s="43"/>
      <c r="M1824" s="43"/>
      <c r="N1824" s="43"/>
      <c r="O1824" s="43"/>
      <c r="P1824" s="43"/>
      <c r="Q1824" s="43"/>
      <c r="R1824" s="43"/>
      <c r="S1824" s="43"/>
      <c r="T1824" s="43"/>
      <c r="U1824" s="43"/>
      <c r="V1824" s="43"/>
    </row>
    <row r="1825" spans="1:22" ht="15.75" customHeight="1" x14ac:dyDescent="0.2">
      <c r="A1825" s="40">
        <v>2649</v>
      </c>
      <c r="B1825" s="41" t="s">
        <v>1055</v>
      </c>
      <c r="C1825" s="42" t="s">
        <v>1857</v>
      </c>
      <c r="D1825" s="42" t="s">
        <v>275</v>
      </c>
      <c r="E1825" s="42" t="s">
        <v>187</v>
      </c>
      <c r="F1825" s="42" t="s">
        <v>1818</v>
      </c>
      <c r="G1825" s="42" t="s">
        <v>1207</v>
      </c>
      <c r="H1825" s="43"/>
      <c r="I1825" s="43"/>
      <c r="J1825" s="43"/>
      <c r="K1825" s="43"/>
      <c r="L1825" s="43"/>
      <c r="M1825" s="43"/>
      <c r="N1825" s="43"/>
      <c r="O1825" s="43"/>
      <c r="P1825" s="43"/>
      <c r="Q1825" s="43"/>
      <c r="R1825" s="43"/>
      <c r="S1825" s="43"/>
      <c r="T1825" s="43"/>
      <c r="U1825" s="43"/>
      <c r="V1825" s="43"/>
    </row>
    <row r="1826" spans="1:22" ht="15.75" customHeight="1" x14ac:dyDescent="0.2">
      <c r="A1826" s="40"/>
      <c r="B1826" s="45" t="s">
        <v>311</v>
      </c>
      <c r="C1826" s="46" t="s">
        <v>1857</v>
      </c>
      <c r="D1826" s="46" t="s">
        <v>292</v>
      </c>
      <c r="E1826" s="46" t="s">
        <v>187</v>
      </c>
      <c r="F1826" s="46" t="s">
        <v>1818</v>
      </c>
      <c r="G1826" s="46" t="s">
        <v>1207</v>
      </c>
      <c r="H1826" s="43"/>
      <c r="I1826" s="43"/>
      <c r="J1826" s="43"/>
      <c r="K1826" s="43"/>
      <c r="L1826" s="43"/>
      <c r="M1826" s="43"/>
      <c r="N1826" s="43"/>
      <c r="O1826" s="43"/>
      <c r="P1826" s="43"/>
      <c r="Q1826" s="43"/>
      <c r="R1826" s="43"/>
      <c r="S1826" s="43"/>
      <c r="T1826" s="43"/>
      <c r="U1826" s="43"/>
      <c r="V1826" s="43"/>
    </row>
    <row r="1827" spans="1:22" ht="15.75" customHeight="1" x14ac:dyDescent="0.2">
      <c r="A1827" s="40"/>
      <c r="B1827" s="45" t="s">
        <v>114</v>
      </c>
      <c r="C1827" s="46" t="s">
        <v>1857</v>
      </c>
      <c r="D1827" s="46" t="s">
        <v>292</v>
      </c>
      <c r="E1827" s="46" t="s">
        <v>187</v>
      </c>
      <c r="F1827" s="46" t="s">
        <v>1818</v>
      </c>
      <c r="G1827" s="46" t="s">
        <v>1207</v>
      </c>
      <c r="H1827" s="43"/>
      <c r="I1827" s="43"/>
      <c r="J1827" s="43"/>
      <c r="K1827" s="43"/>
      <c r="L1827" s="43"/>
      <c r="M1827" s="43"/>
      <c r="N1827" s="43"/>
      <c r="O1827" s="43"/>
      <c r="P1827" s="43"/>
      <c r="Q1827" s="43"/>
      <c r="R1827" s="43"/>
      <c r="S1827" s="43"/>
      <c r="T1827" s="43"/>
      <c r="U1827" s="43"/>
      <c r="V1827" s="43"/>
    </row>
    <row r="1828" spans="1:22" ht="15.75" customHeight="1" x14ac:dyDescent="0.2">
      <c r="A1828" s="40">
        <v>1349</v>
      </c>
      <c r="B1828" s="41" t="s">
        <v>601</v>
      </c>
      <c r="C1828" s="42" t="s">
        <v>635</v>
      </c>
      <c r="D1828" s="42" t="s">
        <v>1858</v>
      </c>
      <c r="E1828" s="42" t="s">
        <v>112</v>
      </c>
      <c r="F1828" s="42" t="s">
        <v>1818</v>
      </c>
      <c r="G1828" s="42" t="s">
        <v>1207</v>
      </c>
      <c r="H1828" s="43"/>
      <c r="I1828" s="43"/>
      <c r="J1828" s="43"/>
      <c r="K1828" s="43"/>
      <c r="L1828" s="43"/>
      <c r="M1828" s="43"/>
      <c r="N1828" s="43"/>
      <c r="O1828" s="43"/>
      <c r="P1828" s="43"/>
      <c r="Q1828" s="43"/>
      <c r="R1828" s="43"/>
      <c r="S1828" s="43"/>
      <c r="T1828" s="43"/>
      <c r="U1828" s="43"/>
      <c r="V1828" s="43"/>
    </row>
    <row r="1829" spans="1:22" ht="15.75" customHeight="1" x14ac:dyDescent="0.2">
      <c r="A1829" s="40">
        <v>1849</v>
      </c>
      <c r="B1829" s="41" t="s">
        <v>604</v>
      </c>
      <c r="C1829" s="42" t="s">
        <v>635</v>
      </c>
      <c r="D1829" s="42" t="s">
        <v>1858</v>
      </c>
      <c r="E1829" s="42" t="s">
        <v>112</v>
      </c>
      <c r="F1829" s="42" t="s">
        <v>1818</v>
      </c>
      <c r="G1829" s="42" t="s">
        <v>1207</v>
      </c>
      <c r="H1829" s="43"/>
      <c r="I1829" s="43"/>
      <c r="J1829" s="43"/>
      <c r="K1829" s="43"/>
      <c r="L1829" s="43"/>
      <c r="M1829" s="43"/>
      <c r="N1829" s="43"/>
      <c r="O1829" s="43"/>
      <c r="P1829" s="43"/>
      <c r="Q1829" s="43"/>
      <c r="R1829" s="43"/>
      <c r="S1829" s="43"/>
      <c r="T1829" s="43"/>
      <c r="U1829" s="43"/>
      <c r="V1829" s="43"/>
    </row>
    <row r="1830" spans="1:22" ht="15.75" customHeight="1" x14ac:dyDescent="0.2">
      <c r="A1830" s="40">
        <v>439</v>
      </c>
      <c r="B1830" s="41" t="s">
        <v>674</v>
      </c>
      <c r="C1830" s="42" t="s">
        <v>1859</v>
      </c>
      <c r="D1830" s="42" t="s">
        <v>171</v>
      </c>
      <c r="E1830" s="42" t="s">
        <v>255</v>
      </c>
      <c r="F1830" s="42" t="s">
        <v>1818</v>
      </c>
      <c r="G1830" s="42" t="s">
        <v>1207</v>
      </c>
      <c r="H1830" s="43"/>
      <c r="I1830" s="43"/>
      <c r="J1830" s="43"/>
      <c r="K1830" s="43"/>
      <c r="L1830" s="43"/>
      <c r="M1830" s="43"/>
      <c r="N1830" s="43"/>
      <c r="O1830" s="43"/>
      <c r="P1830" s="43"/>
      <c r="Q1830" s="43"/>
      <c r="R1830" s="43"/>
      <c r="S1830" s="43"/>
      <c r="T1830" s="43"/>
      <c r="U1830" s="43"/>
      <c r="V1830" s="43"/>
    </row>
    <row r="1831" spans="1:22" ht="15.75" customHeight="1" x14ac:dyDescent="0.2">
      <c r="A1831" s="40">
        <v>481</v>
      </c>
      <c r="B1831" s="41" t="s">
        <v>445</v>
      </c>
      <c r="C1831" s="42" t="s">
        <v>1859</v>
      </c>
      <c r="D1831" s="42" t="s">
        <v>171</v>
      </c>
      <c r="E1831" s="42" t="s">
        <v>255</v>
      </c>
      <c r="F1831" s="42" t="s">
        <v>1818</v>
      </c>
      <c r="G1831" s="42" t="s">
        <v>1207</v>
      </c>
      <c r="H1831" s="43"/>
      <c r="I1831" s="43"/>
      <c r="J1831" s="43"/>
      <c r="K1831" s="43"/>
      <c r="L1831" s="43"/>
      <c r="M1831" s="43"/>
      <c r="N1831" s="43"/>
      <c r="O1831" s="43"/>
      <c r="P1831" s="43"/>
      <c r="Q1831" s="43"/>
      <c r="R1831" s="43"/>
      <c r="S1831" s="43"/>
      <c r="T1831" s="43"/>
      <c r="U1831" s="43"/>
      <c r="V1831" s="43"/>
    </row>
    <row r="1832" spans="1:22" ht="15.75" customHeight="1" x14ac:dyDescent="0.2">
      <c r="A1832" s="40">
        <v>955</v>
      </c>
      <c r="B1832" s="41" t="s">
        <v>698</v>
      </c>
      <c r="C1832" s="42" t="s">
        <v>1859</v>
      </c>
      <c r="D1832" s="42" t="s">
        <v>171</v>
      </c>
      <c r="E1832" s="42" t="s">
        <v>255</v>
      </c>
      <c r="F1832" s="42" t="s">
        <v>1818</v>
      </c>
      <c r="G1832" s="42" t="s">
        <v>1207</v>
      </c>
      <c r="H1832" s="43"/>
      <c r="I1832" s="43"/>
      <c r="J1832" s="43"/>
      <c r="K1832" s="43"/>
      <c r="L1832" s="43"/>
      <c r="M1832" s="43"/>
      <c r="N1832" s="43"/>
      <c r="O1832" s="43"/>
      <c r="P1832" s="43"/>
      <c r="Q1832" s="43"/>
      <c r="R1832" s="43"/>
      <c r="S1832" s="43"/>
      <c r="T1832" s="43"/>
      <c r="U1832" s="43"/>
      <c r="V1832" s="43"/>
    </row>
    <row r="1833" spans="1:22" ht="15.75" customHeight="1" x14ac:dyDescent="0.2">
      <c r="A1833" s="40">
        <v>75</v>
      </c>
      <c r="B1833" s="41" t="s">
        <v>1301</v>
      </c>
      <c r="C1833" s="42" t="s">
        <v>1860</v>
      </c>
      <c r="D1833" s="42" t="s">
        <v>75</v>
      </c>
      <c r="E1833" s="42" t="s">
        <v>87</v>
      </c>
      <c r="F1833" s="42" t="s">
        <v>1818</v>
      </c>
      <c r="G1833" s="42" t="s">
        <v>1207</v>
      </c>
      <c r="H1833" s="43"/>
      <c r="I1833" s="43"/>
      <c r="J1833" s="43"/>
      <c r="K1833" s="43"/>
      <c r="L1833" s="43"/>
      <c r="M1833" s="43"/>
      <c r="N1833" s="43"/>
      <c r="O1833" s="43"/>
      <c r="P1833" s="43"/>
      <c r="Q1833" s="43"/>
      <c r="R1833" s="43"/>
      <c r="S1833" s="43"/>
      <c r="T1833" s="43"/>
      <c r="U1833" s="43"/>
      <c r="V1833" s="43"/>
    </row>
    <row r="1834" spans="1:22" ht="15.75" customHeight="1" x14ac:dyDescent="0.2">
      <c r="A1834" s="40">
        <v>1301</v>
      </c>
      <c r="B1834" s="41" t="s">
        <v>936</v>
      </c>
      <c r="C1834" s="42" t="s">
        <v>1861</v>
      </c>
      <c r="D1834" s="42" t="s">
        <v>1862</v>
      </c>
      <c r="E1834" s="42" t="s">
        <v>1274</v>
      </c>
      <c r="F1834" s="42" t="s">
        <v>1818</v>
      </c>
      <c r="G1834" s="42" t="s">
        <v>1207</v>
      </c>
      <c r="H1834" s="43"/>
      <c r="I1834" s="43"/>
      <c r="J1834" s="43"/>
      <c r="K1834" s="43"/>
      <c r="L1834" s="43"/>
      <c r="M1834" s="43"/>
      <c r="N1834" s="43"/>
      <c r="O1834" s="43"/>
      <c r="P1834" s="43"/>
      <c r="Q1834" s="43"/>
      <c r="R1834" s="43"/>
      <c r="S1834" s="43"/>
      <c r="T1834" s="43"/>
      <c r="U1834" s="43"/>
      <c r="V1834" s="43"/>
    </row>
    <row r="1835" spans="1:22" ht="15.75" customHeight="1" x14ac:dyDescent="0.2">
      <c r="A1835" s="40">
        <v>1799</v>
      </c>
      <c r="B1835" s="41" t="s">
        <v>276</v>
      </c>
      <c r="C1835" s="42" t="s">
        <v>1861</v>
      </c>
      <c r="D1835" s="42" t="s">
        <v>1862</v>
      </c>
      <c r="E1835" s="42" t="s">
        <v>1274</v>
      </c>
      <c r="F1835" s="42" t="s">
        <v>1818</v>
      </c>
      <c r="G1835" s="42" t="s">
        <v>1207</v>
      </c>
      <c r="H1835" s="43"/>
      <c r="I1835" s="43"/>
      <c r="J1835" s="43"/>
      <c r="K1835" s="43"/>
      <c r="L1835" s="43"/>
      <c r="M1835" s="43"/>
      <c r="N1835" s="43"/>
      <c r="O1835" s="43"/>
      <c r="P1835" s="43"/>
      <c r="Q1835" s="43"/>
      <c r="R1835" s="43"/>
      <c r="S1835" s="43"/>
      <c r="T1835" s="43"/>
      <c r="U1835" s="43"/>
      <c r="V1835" s="43"/>
    </row>
    <row r="1836" spans="1:22" ht="15.75" customHeight="1" x14ac:dyDescent="0.2">
      <c r="A1836" s="40">
        <v>591</v>
      </c>
      <c r="B1836" s="41" t="s">
        <v>428</v>
      </c>
      <c r="C1836" s="42" t="s">
        <v>608</v>
      </c>
      <c r="D1836" s="42" t="s">
        <v>600</v>
      </c>
      <c r="E1836" s="42" t="s">
        <v>259</v>
      </c>
      <c r="F1836" s="42" t="s">
        <v>1818</v>
      </c>
      <c r="G1836" s="42" t="s">
        <v>1207</v>
      </c>
      <c r="H1836" s="43"/>
      <c r="I1836" s="43"/>
      <c r="J1836" s="43"/>
      <c r="K1836" s="43"/>
      <c r="L1836" s="43"/>
      <c r="M1836" s="43"/>
      <c r="N1836" s="43"/>
      <c r="O1836" s="43"/>
      <c r="P1836" s="43"/>
      <c r="Q1836" s="43"/>
      <c r="R1836" s="43"/>
      <c r="S1836" s="43"/>
      <c r="T1836" s="43"/>
      <c r="U1836" s="43"/>
      <c r="V1836" s="43"/>
    </row>
    <row r="1837" spans="1:22" ht="15.75" customHeight="1" x14ac:dyDescent="0.2">
      <c r="A1837" s="40">
        <v>1495</v>
      </c>
      <c r="B1837" s="41" t="s">
        <v>262</v>
      </c>
      <c r="C1837" s="42" t="s">
        <v>608</v>
      </c>
      <c r="D1837" s="42" t="s">
        <v>600</v>
      </c>
      <c r="E1837" s="42" t="s">
        <v>259</v>
      </c>
      <c r="F1837" s="42" t="s">
        <v>1818</v>
      </c>
      <c r="G1837" s="42" t="s">
        <v>1207</v>
      </c>
      <c r="H1837" s="43"/>
      <c r="I1837" s="43"/>
      <c r="J1837" s="43"/>
      <c r="K1837" s="43"/>
      <c r="L1837" s="43"/>
      <c r="M1837" s="43"/>
      <c r="N1837" s="43"/>
      <c r="O1837" s="43"/>
      <c r="P1837" s="43"/>
      <c r="Q1837" s="43"/>
      <c r="R1837" s="43"/>
      <c r="S1837" s="43"/>
      <c r="T1837" s="43"/>
      <c r="U1837" s="43"/>
      <c r="V1837" s="43"/>
    </row>
    <row r="1838" spans="1:22" ht="15.75" customHeight="1" x14ac:dyDescent="0.2">
      <c r="A1838" s="40">
        <v>2815</v>
      </c>
      <c r="B1838" s="41" t="s">
        <v>1348</v>
      </c>
      <c r="C1838" s="42" t="s">
        <v>608</v>
      </c>
      <c r="D1838" s="42" t="s">
        <v>574</v>
      </c>
      <c r="E1838" s="42"/>
      <c r="F1838" s="42" t="s">
        <v>1818</v>
      </c>
      <c r="G1838" s="42" t="s">
        <v>1207</v>
      </c>
      <c r="H1838" s="43"/>
      <c r="I1838" s="43"/>
      <c r="J1838" s="43"/>
      <c r="K1838" s="43"/>
      <c r="L1838" s="43"/>
      <c r="M1838" s="43"/>
      <c r="N1838" s="43"/>
      <c r="O1838" s="43"/>
      <c r="P1838" s="43"/>
      <c r="Q1838" s="43"/>
      <c r="R1838" s="43"/>
      <c r="S1838" s="43"/>
      <c r="T1838" s="43"/>
      <c r="U1838" s="43"/>
      <c r="V1838" s="43"/>
    </row>
    <row r="1839" spans="1:22" ht="15.75" customHeight="1" x14ac:dyDescent="0.2">
      <c r="A1839" s="40">
        <v>463</v>
      </c>
      <c r="B1839" s="41" t="s">
        <v>1018</v>
      </c>
      <c r="C1839" s="42" t="s">
        <v>1863</v>
      </c>
      <c r="D1839" s="42" t="s">
        <v>1864</v>
      </c>
      <c r="E1839" s="42" t="s">
        <v>1865</v>
      </c>
      <c r="F1839" s="42" t="s">
        <v>1818</v>
      </c>
      <c r="G1839" s="42" t="s">
        <v>1207</v>
      </c>
      <c r="H1839" s="43"/>
      <c r="I1839" s="43"/>
      <c r="J1839" s="43"/>
      <c r="K1839" s="43"/>
      <c r="L1839" s="43"/>
      <c r="M1839" s="43"/>
      <c r="N1839" s="43"/>
      <c r="O1839" s="43"/>
      <c r="P1839" s="43"/>
      <c r="Q1839" s="43"/>
      <c r="R1839" s="43"/>
      <c r="S1839" s="43"/>
      <c r="T1839" s="43"/>
      <c r="U1839" s="43"/>
      <c r="V1839" s="43"/>
    </row>
    <row r="1840" spans="1:22" ht="15.75" customHeight="1" x14ac:dyDescent="0.2">
      <c r="A1840" s="40">
        <v>491</v>
      </c>
      <c r="B1840" s="41" t="s">
        <v>1339</v>
      </c>
      <c r="C1840" s="42" t="s">
        <v>1863</v>
      </c>
      <c r="D1840" s="42" t="s">
        <v>1864</v>
      </c>
      <c r="E1840" s="42" t="s">
        <v>1865</v>
      </c>
      <c r="F1840" s="42" t="s">
        <v>1818</v>
      </c>
      <c r="G1840" s="42" t="s">
        <v>1207</v>
      </c>
      <c r="H1840" s="43"/>
      <c r="I1840" s="43"/>
      <c r="J1840" s="43"/>
      <c r="K1840" s="43"/>
      <c r="L1840" s="43"/>
      <c r="M1840" s="43"/>
      <c r="N1840" s="43"/>
      <c r="O1840" s="43"/>
      <c r="P1840" s="43"/>
      <c r="Q1840" s="43"/>
      <c r="R1840" s="43"/>
      <c r="S1840" s="43"/>
      <c r="T1840" s="43"/>
      <c r="U1840" s="43"/>
      <c r="V1840" s="43"/>
    </row>
    <row r="1841" spans="1:22" ht="15.75" customHeight="1" x14ac:dyDescent="0.2">
      <c r="A1841" s="40">
        <v>175</v>
      </c>
      <c r="B1841" s="41" t="s">
        <v>549</v>
      </c>
      <c r="C1841" s="42" t="s">
        <v>1866</v>
      </c>
      <c r="D1841" s="42" t="s">
        <v>1867</v>
      </c>
      <c r="E1841" s="42" t="s">
        <v>70</v>
      </c>
      <c r="F1841" s="42" t="s">
        <v>1818</v>
      </c>
      <c r="G1841" s="42" t="s">
        <v>1207</v>
      </c>
      <c r="H1841" s="43"/>
      <c r="I1841" s="43"/>
      <c r="J1841" s="43"/>
      <c r="K1841" s="43"/>
      <c r="L1841" s="43"/>
      <c r="M1841" s="43"/>
      <c r="N1841" s="43"/>
      <c r="O1841" s="43"/>
      <c r="P1841" s="43"/>
      <c r="Q1841" s="43"/>
      <c r="R1841" s="43"/>
      <c r="S1841" s="43"/>
      <c r="T1841" s="43"/>
      <c r="U1841" s="43"/>
      <c r="V1841" s="43"/>
    </row>
    <row r="1842" spans="1:22" ht="15.75" customHeight="1" x14ac:dyDescent="0.2">
      <c r="A1842" s="40">
        <v>1215</v>
      </c>
      <c r="B1842" s="41" t="s">
        <v>1364</v>
      </c>
      <c r="C1842" s="42" t="s">
        <v>1866</v>
      </c>
      <c r="D1842" s="42" t="s">
        <v>1867</v>
      </c>
      <c r="E1842" s="42" t="s">
        <v>70</v>
      </c>
      <c r="F1842" s="42" t="s">
        <v>1818</v>
      </c>
      <c r="G1842" s="42" t="s">
        <v>1207</v>
      </c>
      <c r="H1842" s="43"/>
      <c r="I1842" s="43"/>
      <c r="J1842" s="43"/>
      <c r="K1842" s="43"/>
      <c r="L1842" s="43"/>
      <c r="M1842" s="43"/>
      <c r="N1842" s="43"/>
      <c r="O1842" s="43"/>
      <c r="P1842" s="43"/>
      <c r="Q1842" s="43"/>
      <c r="R1842" s="43"/>
      <c r="S1842" s="43"/>
      <c r="T1842" s="43"/>
      <c r="U1842" s="43"/>
      <c r="V1842" s="43"/>
    </row>
    <row r="1843" spans="1:22" ht="15.75" customHeight="1" x14ac:dyDescent="0.2">
      <c r="A1843" s="40">
        <v>551</v>
      </c>
      <c r="B1843" s="41" t="s">
        <v>368</v>
      </c>
      <c r="C1843" s="42" t="s">
        <v>1868</v>
      </c>
      <c r="D1843" s="42" t="s">
        <v>1643</v>
      </c>
      <c r="E1843" s="42" t="s">
        <v>1869</v>
      </c>
      <c r="F1843" s="42" t="s">
        <v>1818</v>
      </c>
      <c r="G1843" s="42" t="s">
        <v>1207</v>
      </c>
      <c r="H1843" s="43"/>
      <c r="I1843" s="43"/>
      <c r="J1843" s="43"/>
      <c r="K1843" s="43"/>
      <c r="L1843" s="43"/>
      <c r="M1843" s="43"/>
      <c r="N1843" s="43"/>
      <c r="O1843" s="43"/>
      <c r="P1843" s="43"/>
      <c r="Q1843" s="43"/>
      <c r="R1843" s="43"/>
      <c r="S1843" s="43"/>
      <c r="T1843" s="43"/>
      <c r="U1843" s="43"/>
      <c r="V1843" s="43"/>
    </row>
    <row r="1844" spans="1:22" ht="15.75" customHeight="1" x14ac:dyDescent="0.2">
      <c r="A1844" s="40">
        <v>589</v>
      </c>
      <c r="B1844" s="41" t="s">
        <v>428</v>
      </c>
      <c r="C1844" s="42" t="s">
        <v>1868</v>
      </c>
      <c r="D1844" s="42" t="s">
        <v>1643</v>
      </c>
      <c r="E1844" s="42" t="s">
        <v>1869</v>
      </c>
      <c r="F1844" s="42" t="s">
        <v>1818</v>
      </c>
      <c r="G1844" s="42" t="s">
        <v>1207</v>
      </c>
      <c r="H1844" s="43"/>
      <c r="I1844" s="43"/>
      <c r="J1844" s="43"/>
      <c r="K1844" s="43"/>
      <c r="L1844" s="43"/>
      <c r="M1844" s="43"/>
      <c r="N1844" s="43"/>
      <c r="O1844" s="43"/>
      <c r="P1844" s="43"/>
      <c r="Q1844" s="43"/>
      <c r="R1844" s="43"/>
      <c r="S1844" s="43"/>
      <c r="T1844" s="43"/>
      <c r="U1844" s="43"/>
      <c r="V1844" s="43"/>
    </row>
    <row r="1845" spans="1:22" ht="15.75" customHeight="1" x14ac:dyDescent="0.2">
      <c r="A1845" s="40">
        <v>239</v>
      </c>
      <c r="B1845" s="41" t="s">
        <v>243</v>
      </c>
      <c r="C1845" s="42" t="s">
        <v>1294</v>
      </c>
      <c r="D1845" s="42" t="s">
        <v>1551</v>
      </c>
      <c r="E1845" s="42" t="s">
        <v>1259</v>
      </c>
      <c r="F1845" s="42" t="s">
        <v>1818</v>
      </c>
      <c r="G1845" s="42" t="s">
        <v>1207</v>
      </c>
      <c r="H1845" s="43"/>
      <c r="I1845" s="43"/>
      <c r="J1845" s="43"/>
      <c r="K1845" s="43"/>
      <c r="L1845" s="43"/>
      <c r="M1845" s="43"/>
      <c r="N1845" s="43"/>
      <c r="O1845" s="43"/>
      <c r="P1845" s="43"/>
      <c r="Q1845" s="43"/>
      <c r="R1845" s="43"/>
      <c r="S1845" s="43"/>
      <c r="T1845" s="43"/>
      <c r="U1845" s="43"/>
      <c r="V1845" s="43"/>
    </row>
    <row r="1846" spans="1:22" ht="15.75" customHeight="1" x14ac:dyDescent="0.2">
      <c r="A1846" s="40">
        <v>1205</v>
      </c>
      <c r="B1846" s="41" t="s">
        <v>1364</v>
      </c>
      <c r="C1846" s="42" t="s">
        <v>1294</v>
      </c>
      <c r="D1846" s="42" t="s">
        <v>1551</v>
      </c>
      <c r="E1846" s="42" t="s">
        <v>1259</v>
      </c>
      <c r="F1846" s="42" t="s">
        <v>1818</v>
      </c>
      <c r="G1846" s="42" t="s">
        <v>1207</v>
      </c>
      <c r="H1846" s="43"/>
      <c r="I1846" s="43"/>
      <c r="J1846" s="43"/>
      <c r="K1846" s="43"/>
      <c r="L1846" s="43"/>
      <c r="M1846" s="43"/>
      <c r="N1846" s="43"/>
      <c r="O1846" s="43"/>
      <c r="P1846" s="43"/>
      <c r="Q1846" s="43"/>
      <c r="R1846" s="43"/>
      <c r="S1846" s="43"/>
      <c r="T1846" s="43"/>
      <c r="U1846" s="43"/>
      <c r="V1846" s="43"/>
    </row>
    <row r="1847" spans="1:22" ht="15.75" customHeight="1" x14ac:dyDescent="0.2">
      <c r="A1847" s="40">
        <v>465</v>
      </c>
      <c r="B1847" s="41" t="s">
        <v>1018</v>
      </c>
      <c r="C1847" s="42" t="s">
        <v>1870</v>
      </c>
      <c r="D1847" s="42" t="s">
        <v>1871</v>
      </c>
      <c r="E1847" s="42" t="s">
        <v>743</v>
      </c>
      <c r="F1847" s="42" t="s">
        <v>1818</v>
      </c>
      <c r="G1847" s="42" t="s">
        <v>1207</v>
      </c>
      <c r="H1847" s="43"/>
      <c r="I1847" s="43"/>
      <c r="J1847" s="43"/>
      <c r="K1847" s="43"/>
      <c r="L1847" s="43"/>
      <c r="M1847" s="43"/>
      <c r="N1847" s="43"/>
      <c r="O1847" s="43"/>
      <c r="P1847" s="43"/>
      <c r="Q1847" s="43"/>
      <c r="R1847" s="43"/>
      <c r="S1847" s="43"/>
      <c r="T1847" s="43"/>
      <c r="U1847" s="43"/>
      <c r="V1847" s="43"/>
    </row>
    <row r="1848" spans="1:22" ht="15.75" customHeight="1" x14ac:dyDescent="0.2">
      <c r="A1848" s="40">
        <v>2505</v>
      </c>
      <c r="B1848" s="41" t="s">
        <v>434</v>
      </c>
      <c r="C1848" s="42" t="s">
        <v>1870</v>
      </c>
      <c r="D1848" s="42" t="s">
        <v>1871</v>
      </c>
      <c r="E1848" s="42" t="s">
        <v>743</v>
      </c>
      <c r="F1848" s="42" t="s">
        <v>1818</v>
      </c>
      <c r="G1848" s="42" t="s">
        <v>1207</v>
      </c>
      <c r="H1848" s="43"/>
      <c r="I1848" s="43"/>
      <c r="J1848" s="43"/>
      <c r="K1848" s="43"/>
      <c r="L1848" s="43"/>
      <c r="M1848" s="43"/>
      <c r="N1848" s="43"/>
      <c r="O1848" s="43"/>
      <c r="P1848" s="43"/>
      <c r="Q1848" s="43"/>
      <c r="R1848" s="43"/>
      <c r="S1848" s="43"/>
      <c r="T1848" s="43"/>
      <c r="U1848" s="43"/>
      <c r="V1848" s="43"/>
    </row>
    <row r="1849" spans="1:22" ht="15.75" customHeight="1" x14ac:dyDescent="0.2">
      <c r="A1849" s="40"/>
      <c r="B1849" s="45" t="s">
        <v>316</v>
      </c>
      <c r="C1849" s="46" t="s">
        <v>1341</v>
      </c>
      <c r="D1849" s="46" t="s">
        <v>350</v>
      </c>
      <c r="E1849" s="46" t="s">
        <v>134</v>
      </c>
      <c r="F1849" s="46" t="s">
        <v>1872</v>
      </c>
      <c r="G1849" s="46" t="s">
        <v>1207</v>
      </c>
      <c r="H1849" s="43"/>
      <c r="I1849" s="43"/>
      <c r="J1849" s="43"/>
      <c r="K1849" s="43"/>
      <c r="L1849" s="43"/>
      <c r="M1849" s="43"/>
      <c r="N1849" s="43"/>
      <c r="O1849" s="43"/>
      <c r="P1849" s="43"/>
      <c r="Q1849" s="43"/>
      <c r="R1849" s="43"/>
      <c r="S1849" s="43"/>
      <c r="T1849" s="43"/>
      <c r="U1849" s="43"/>
      <c r="V1849" s="43"/>
    </row>
    <row r="1850" spans="1:22" ht="15.75" customHeight="1" x14ac:dyDescent="0.2">
      <c r="A1850" s="40"/>
      <c r="B1850" s="45" t="s">
        <v>102</v>
      </c>
      <c r="C1850" s="46" t="s">
        <v>1341</v>
      </c>
      <c r="D1850" s="46" t="s">
        <v>350</v>
      </c>
      <c r="E1850" s="46" t="s">
        <v>134</v>
      </c>
      <c r="F1850" s="46" t="s">
        <v>1872</v>
      </c>
      <c r="G1850" s="46" t="s">
        <v>1207</v>
      </c>
      <c r="H1850" s="43"/>
      <c r="I1850" s="43"/>
      <c r="J1850" s="43"/>
      <c r="K1850" s="43"/>
      <c r="L1850" s="43"/>
      <c r="M1850" s="43"/>
      <c r="N1850" s="43"/>
      <c r="O1850" s="43"/>
      <c r="P1850" s="43"/>
      <c r="Q1850" s="43"/>
      <c r="R1850" s="43"/>
      <c r="S1850" s="43"/>
      <c r="T1850" s="43"/>
      <c r="U1850" s="43"/>
      <c r="V1850" s="43"/>
    </row>
    <row r="1851" spans="1:22" ht="15.75" customHeight="1" x14ac:dyDescent="0.2">
      <c r="A1851" s="40"/>
      <c r="B1851" s="45" t="s">
        <v>108</v>
      </c>
      <c r="C1851" s="46" t="s">
        <v>1341</v>
      </c>
      <c r="D1851" s="46" t="s">
        <v>350</v>
      </c>
      <c r="E1851" s="46" t="s">
        <v>134</v>
      </c>
      <c r="F1851" s="51" t="s">
        <v>1872</v>
      </c>
      <c r="G1851" s="46" t="s">
        <v>1207</v>
      </c>
      <c r="H1851" s="43"/>
      <c r="I1851" s="43"/>
      <c r="J1851" s="43"/>
      <c r="K1851" s="43"/>
      <c r="L1851" s="43"/>
      <c r="M1851" s="43"/>
      <c r="N1851" s="43"/>
      <c r="O1851" s="43"/>
      <c r="P1851" s="43"/>
      <c r="Q1851" s="43"/>
      <c r="R1851" s="43"/>
      <c r="S1851" s="43"/>
      <c r="T1851" s="43"/>
      <c r="U1851" s="43"/>
      <c r="V1851" s="43"/>
    </row>
    <row r="1852" spans="1:22" ht="15.75" customHeight="1" x14ac:dyDescent="0.2">
      <c r="A1852" s="40">
        <v>281</v>
      </c>
      <c r="B1852" s="41" t="s">
        <v>896</v>
      </c>
      <c r="C1852" s="42" t="s">
        <v>1873</v>
      </c>
      <c r="D1852" s="42" t="s">
        <v>1874</v>
      </c>
      <c r="E1852" s="42" t="s">
        <v>1875</v>
      </c>
      <c r="F1852" s="42" t="s">
        <v>1876</v>
      </c>
      <c r="G1852" s="42" t="s">
        <v>1207</v>
      </c>
    </row>
    <row r="1853" spans="1:22" ht="15.75" customHeight="1" x14ac:dyDescent="0.2">
      <c r="A1853" s="40">
        <v>283</v>
      </c>
      <c r="B1853" s="41" t="s">
        <v>896</v>
      </c>
      <c r="C1853" s="42" t="s">
        <v>1873</v>
      </c>
      <c r="D1853" s="42" t="s">
        <v>1877</v>
      </c>
      <c r="E1853" s="42" t="s">
        <v>1878</v>
      </c>
      <c r="F1853" s="42" t="s">
        <v>1876</v>
      </c>
      <c r="G1853" s="42" t="s">
        <v>1207</v>
      </c>
    </row>
    <row r="1854" spans="1:22" ht="15.75" customHeight="1" x14ac:dyDescent="0.2">
      <c r="A1854" s="40">
        <v>287</v>
      </c>
      <c r="B1854" s="41" t="s">
        <v>896</v>
      </c>
      <c r="C1854" s="42" t="s">
        <v>1879</v>
      </c>
      <c r="D1854" s="42" t="s">
        <v>1880</v>
      </c>
      <c r="E1854" s="42"/>
      <c r="F1854" s="42" t="s">
        <v>1881</v>
      </c>
      <c r="G1854" s="42" t="s">
        <v>1882</v>
      </c>
      <c r="H1854" s="43"/>
      <c r="I1854" s="43"/>
      <c r="J1854" s="43"/>
      <c r="K1854" s="43"/>
      <c r="L1854" s="43"/>
      <c r="M1854" s="43"/>
      <c r="N1854" s="43"/>
      <c r="O1854" s="43"/>
      <c r="P1854" s="43"/>
      <c r="Q1854" s="43"/>
      <c r="R1854" s="43"/>
      <c r="S1854" s="43"/>
      <c r="T1854" s="43"/>
      <c r="U1854" s="43"/>
      <c r="V1854" s="43"/>
    </row>
    <row r="1855" spans="1:22" ht="15.75" customHeight="1" x14ac:dyDescent="0.2">
      <c r="A1855" s="40">
        <v>399</v>
      </c>
      <c r="B1855" s="41" t="s">
        <v>1883</v>
      </c>
      <c r="C1855" s="42" t="s">
        <v>1884</v>
      </c>
      <c r="D1855" s="42" t="s">
        <v>1885</v>
      </c>
      <c r="E1855" s="42"/>
      <c r="F1855" s="42" t="s">
        <v>1886</v>
      </c>
      <c r="G1855" s="42" t="s">
        <v>1882</v>
      </c>
      <c r="H1855" s="43"/>
      <c r="I1855" s="43"/>
      <c r="J1855" s="43"/>
      <c r="K1855" s="43"/>
      <c r="L1855" s="43"/>
      <c r="M1855" s="43"/>
      <c r="N1855" s="43"/>
      <c r="O1855" s="43"/>
      <c r="P1855" s="43"/>
      <c r="Q1855" s="43"/>
      <c r="R1855" s="43"/>
      <c r="S1855" s="43"/>
      <c r="T1855" s="43"/>
      <c r="U1855" s="43"/>
      <c r="V1855" s="43"/>
    </row>
    <row r="1856" spans="1:22" ht="15.75" customHeight="1" x14ac:dyDescent="0.2">
      <c r="A1856" s="40"/>
      <c r="B1856" s="45" t="s">
        <v>807</v>
      </c>
      <c r="C1856" s="46" t="s">
        <v>1887</v>
      </c>
      <c r="D1856" s="46" t="s">
        <v>275</v>
      </c>
      <c r="E1856" s="46" t="s">
        <v>1888</v>
      </c>
      <c r="F1856" s="46" t="s">
        <v>1886</v>
      </c>
      <c r="G1856" s="46" t="s">
        <v>1882</v>
      </c>
      <c r="H1856" s="43"/>
      <c r="I1856" s="43"/>
      <c r="J1856" s="43"/>
      <c r="K1856" s="43"/>
      <c r="L1856" s="43"/>
      <c r="M1856" s="43"/>
      <c r="N1856" s="43"/>
      <c r="O1856" s="43"/>
      <c r="P1856" s="43"/>
      <c r="Q1856" s="43"/>
      <c r="R1856" s="43"/>
      <c r="S1856" s="43"/>
      <c r="T1856" s="43"/>
      <c r="U1856" s="43"/>
      <c r="V1856" s="43"/>
    </row>
    <row r="1857" spans="1:22" ht="15.75" customHeight="1" x14ac:dyDescent="0.2">
      <c r="A1857" s="40"/>
      <c r="B1857" s="45" t="s">
        <v>815</v>
      </c>
      <c r="C1857" s="46" t="s">
        <v>1887</v>
      </c>
      <c r="D1857" s="46" t="s">
        <v>1889</v>
      </c>
      <c r="E1857" s="46" t="s">
        <v>1890</v>
      </c>
      <c r="F1857" s="46" t="s">
        <v>1886</v>
      </c>
      <c r="G1857" s="46" t="s">
        <v>1882</v>
      </c>
      <c r="H1857" s="43"/>
      <c r="I1857" s="43"/>
      <c r="J1857" s="43"/>
      <c r="K1857" s="43"/>
      <c r="L1857" s="43"/>
      <c r="M1857" s="43"/>
      <c r="N1857" s="43"/>
      <c r="O1857" s="43"/>
      <c r="P1857" s="43"/>
      <c r="Q1857" s="43"/>
      <c r="R1857" s="43"/>
      <c r="S1857" s="43"/>
      <c r="T1857" s="43"/>
      <c r="U1857" s="43"/>
      <c r="V1857" s="43"/>
    </row>
    <row r="1858" spans="1:22" ht="15.75" customHeight="1" x14ac:dyDescent="0.2">
      <c r="A1858" s="40"/>
      <c r="B1858" s="45" t="s">
        <v>336</v>
      </c>
      <c r="C1858" s="46" t="s">
        <v>1891</v>
      </c>
      <c r="D1858" s="46" t="s">
        <v>1068</v>
      </c>
      <c r="E1858" s="46" t="s">
        <v>676</v>
      </c>
      <c r="F1858" s="46" t="s">
        <v>1892</v>
      </c>
      <c r="G1858" s="46" t="s">
        <v>1893</v>
      </c>
    </row>
    <row r="1859" spans="1:22" ht="15.75" customHeight="1" x14ac:dyDescent="0.2">
      <c r="A1859" s="40"/>
      <c r="B1859" s="45" t="s">
        <v>45</v>
      </c>
      <c r="C1859" s="46" t="s">
        <v>1891</v>
      </c>
      <c r="D1859" s="46" t="s">
        <v>1068</v>
      </c>
      <c r="E1859" s="46" t="s">
        <v>676</v>
      </c>
      <c r="F1859" s="46" t="s">
        <v>1892</v>
      </c>
      <c r="G1859" s="46" t="s">
        <v>1893</v>
      </c>
    </row>
    <row r="1860" spans="1:22" ht="15.75" customHeight="1" x14ac:dyDescent="0.2">
      <c r="A1860" s="40"/>
      <c r="B1860" s="45" t="s">
        <v>26</v>
      </c>
      <c r="C1860" s="46" t="s">
        <v>1894</v>
      </c>
      <c r="D1860" s="46" t="s">
        <v>309</v>
      </c>
      <c r="E1860" s="46" t="s">
        <v>637</v>
      </c>
      <c r="F1860" s="46" t="s">
        <v>1895</v>
      </c>
      <c r="G1860" s="46" t="s">
        <v>1893</v>
      </c>
    </row>
    <row r="1861" spans="1:22" ht="15.75" customHeight="1" x14ac:dyDescent="0.2">
      <c r="A1861" s="40"/>
      <c r="B1861" s="45" t="s">
        <v>71</v>
      </c>
      <c r="C1861" s="46" t="s">
        <v>57</v>
      </c>
      <c r="D1861" s="46" t="s">
        <v>554</v>
      </c>
      <c r="E1861" s="46" t="s">
        <v>87</v>
      </c>
      <c r="F1861" s="46" t="s">
        <v>1895</v>
      </c>
      <c r="G1861" s="46" t="s">
        <v>1893</v>
      </c>
    </row>
    <row r="1862" spans="1:22" ht="15.75" customHeight="1" x14ac:dyDescent="0.2">
      <c r="A1862" s="40"/>
      <c r="B1862" s="45" t="s">
        <v>45</v>
      </c>
      <c r="C1862" s="46" t="s">
        <v>1896</v>
      </c>
      <c r="D1862" s="46" t="s">
        <v>1897</v>
      </c>
      <c r="E1862" s="46" t="s">
        <v>306</v>
      </c>
      <c r="F1862" s="46" t="s">
        <v>1898</v>
      </c>
      <c r="G1862" s="46" t="s">
        <v>1893</v>
      </c>
    </row>
    <row r="1863" spans="1:22" ht="15.75" customHeight="1" x14ac:dyDescent="0.2">
      <c r="A1863" s="40"/>
      <c r="B1863" s="45" t="s">
        <v>114</v>
      </c>
      <c r="C1863" s="46" t="s">
        <v>1899</v>
      </c>
      <c r="D1863" s="46" t="s">
        <v>124</v>
      </c>
      <c r="E1863" s="46" t="s">
        <v>87</v>
      </c>
      <c r="F1863" s="46" t="s">
        <v>1900</v>
      </c>
      <c r="G1863" s="46" t="s">
        <v>1893</v>
      </c>
    </row>
    <row r="1864" spans="1:22" ht="15.75" customHeight="1" x14ac:dyDescent="0.2">
      <c r="A1864" s="40"/>
      <c r="B1864" s="45" t="s">
        <v>46</v>
      </c>
      <c r="C1864" s="46" t="s">
        <v>1901</v>
      </c>
      <c r="D1864" s="46" t="s">
        <v>39</v>
      </c>
      <c r="E1864" s="46" t="s">
        <v>32</v>
      </c>
      <c r="F1864" s="46" t="s">
        <v>1902</v>
      </c>
      <c r="G1864" s="46" t="s">
        <v>1893</v>
      </c>
    </row>
    <row r="1865" spans="1:22" ht="15.75" customHeight="1" x14ac:dyDescent="0.2">
      <c r="A1865" s="40"/>
      <c r="B1865" s="45" t="s">
        <v>45</v>
      </c>
      <c r="C1865" s="46" t="s">
        <v>1901</v>
      </c>
      <c r="D1865" s="46" t="s">
        <v>39</v>
      </c>
      <c r="E1865" s="46" t="s">
        <v>32</v>
      </c>
      <c r="F1865" s="46" t="s">
        <v>1902</v>
      </c>
      <c r="G1865" s="46" t="s">
        <v>1893</v>
      </c>
    </row>
    <row r="1866" spans="1:22" ht="15.75" customHeight="1" x14ac:dyDescent="0.2">
      <c r="A1866" s="40"/>
      <c r="B1866" s="45" t="s">
        <v>80</v>
      </c>
      <c r="C1866" s="46" t="s">
        <v>1444</v>
      </c>
      <c r="D1866" s="46" t="s">
        <v>600</v>
      </c>
      <c r="E1866" s="46" t="s">
        <v>348</v>
      </c>
      <c r="F1866" s="46" t="s">
        <v>1902</v>
      </c>
      <c r="G1866" s="46" t="s">
        <v>1893</v>
      </c>
    </row>
    <row r="1867" spans="1:22" ht="15.75" customHeight="1" x14ac:dyDescent="0.2">
      <c r="A1867" s="40">
        <v>247</v>
      </c>
      <c r="B1867" s="41" t="s">
        <v>178</v>
      </c>
      <c r="C1867" s="42" t="s">
        <v>1903</v>
      </c>
      <c r="D1867" s="42" t="s">
        <v>1904</v>
      </c>
      <c r="E1867" s="42" t="s">
        <v>1905</v>
      </c>
      <c r="F1867" s="42" t="s">
        <v>1906</v>
      </c>
      <c r="G1867" s="42" t="s">
        <v>1893</v>
      </c>
      <c r="H1867" s="43"/>
      <c r="I1867" s="43"/>
      <c r="J1867" s="43"/>
      <c r="K1867" s="43"/>
      <c r="L1867" s="43"/>
      <c r="M1867" s="43"/>
      <c r="N1867" s="43"/>
      <c r="O1867" s="43"/>
      <c r="P1867" s="43"/>
      <c r="Q1867" s="43"/>
      <c r="R1867" s="43"/>
      <c r="S1867" s="43"/>
      <c r="T1867" s="43"/>
      <c r="U1867" s="43"/>
      <c r="V1867" s="43"/>
    </row>
    <row r="1868" spans="1:22" ht="15.75" customHeight="1" x14ac:dyDescent="0.2">
      <c r="A1868" s="40">
        <v>133</v>
      </c>
      <c r="B1868" s="41" t="s">
        <v>504</v>
      </c>
      <c r="C1868" s="42" t="s">
        <v>1907</v>
      </c>
      <c r="D1868" s="42" t="s">
        <v>309</v>
      </c>
      <c r="E1868" s="42" t="s">
        <v>125</v>
      </c>
      <c r="F1868" s="42" t="s">
        <v>1908</v>
      </c>
      <c r="G1868" s="42" t="s">
        <v>1909</v>
      </c>
      <c r="H1868" s="43"/>
      <c r="I1868" s="43"/>
      <c r="J1868" s="43"/>
      <c r="K1868" s="43"/>
      <c r="L1868" s="43"/>
      <c r="M1868" s="43"/>
      <c r="N1868" s="43"/>
      <c r="O1868" s="43"/>
      <c r="P1868" s="43"/>
      <c r="Q1868" s="43"/>
      <c r="R1868" s="43"/>
      <c r="S1868" s="43"/>
      <c r="T1868" s="43"/>
      <c r="U1868" s="43"/>
      <c r="V1868" s="43"/>
    </row>
    <row r="1869" spans="1:22" ht="15.75" customHeight="1" x14ac:dyDescent="0.2">
      <c r="A1869" s="40">
        <v>223</v>
      </c>
      <c r="B1869" s="41" t="s">
        <v>946</v>
      </c>
      <c r="C1869" s="42" t="s">
        <v>1910</v>
      </c>
      <c r="D1869" s="42" t="s">
        <v>1461</v>
      </c>
      <c r="E1869" s="42" t="s">
        <v>1911</v>
      </c>
      <c r="F1869" s="42" t="s">
        <v>1908</v>
      </c>
      <c r="G1869" s="42" t="s">
        <v>1909</v>
      </c>
      <c r="H1869" s="43"/>
      <c r="I1869" s="43"/>
      <c r="J1869" s="43"/>
      <c r="K1869" s="43"/>
      <c r="L1869" s="43"/>
      <c r="M1869" s="43"/>
      <c r="N1869" s="43"/>
      <c r="O1869" s="43"/>
      <c r="P1869" s="43"/>
      <c r="Q1869" s="43"/>
      <c r="R1869" s="43"/>
      <c r="S1869" s="43"/>
      <c r="T1869" s="43"/>
      <c r="U1869" s="43"/>
      <c r="V1869" s="43"/>
    </row>
    <row r="1870" spans="1:22" ht="15.75" customHeight="1" x14ac:dyDescent="0.2">
      <c r="A1870" s="40">
        <v>225</v>
      </c>
      <c r="B1870" s="41" t="s">
        <v>946</v>
      </c>
      <c r="C1870" s="42" t="s">
        <v>1912</v>
      </c>
      <c r="D1870" s="42" t="s">
        <v>1234</v>
      </c>
      <c r="E1870" s="42" t="s">
        <v>1913</v>
      </c>
      <c r="F1870" s="42" t="s">
        <v>1908</v>
      </c>
      <c r="G1870" s="42" t="s">
        <v>1909</v>
      </c>
      <c r="H1870" s="43"/>
      <c r="I1870" s="43"/>
      <c r="J1870" s="43"/>
      <c r="K1870" s="43"/>
      <c r="L1870" s="43"/>
      <c r="M1870" s="43"/>
      <c r="N1870" s="43"/>
      <c r="O1870" s="43"/>
      <c r="P1870" s="43"/>
      <c r="Q1870" s="43"/>
      <c r="R1870" s="43"/>
      <c r="S1870" s="43"/>
      <c r="T1870" s="43"/>
      <c r="U1870" s="43"/>
      <c r="V1870" s="43"/>
    </row>
    <row r="1871" spans="1:22" ht="15.75" customHeight="1" x14ac:dyDescent="0.2">
      <c r="A1871" s="40">
        <v>943</v>
      </c>
      <c r="B1871" s="41" t="s">
        <v>709</v>
      </c>
      <c r="C1871" s="42" t="s">
        <v>1914</v>
      </c>
      <c r="D1871" s="42" t="s">
        <v>1436</v>
      </c>
      <c r="E1871" s="42" t="s">
        <v>52</v>
      </c>
      <c r="F1871" s="42" t="s">
        <v>1908</v>
      </c>
      <c r="G1871" s="42" t="s">
        <v>1909</v>
      </c>
      <c r="H1871" s="43"/>
      <c r="I1871" s="43"/>
      <c r="J1871" s="43"/>
      <c r="K1871" s="43"/>
      <c r="L1871" s="43"/>
      <c r="M1871" s="43"/>
      <c r="N1871" s="43"/>
      <c r="O1871" s="43"/>
      <c r="P1871" s="43"/>
      <c r="Q1871" s="43"/>
      <c r="R1871" s="43"/>
      <c r="S1871" s="43"/>
      <c r="T1871" s="43"/>
      <c r="U1871" s="43"/>
      <c r="V1871" s="43"/>
    </row>
    <row r="1872" spans="1:22" ht="15.75" customHeight="1" x14ac:dyDescent="0.2">
      <c r="A1872" s="40">
        <v>1053</v>
      </c>
      <c r="B1872" s="41" t="s">
        <v>464</v>
      </c>
      <c r="C1872" s="42" t="s">
        <v>1907</v>
      </c>
      <c r="D1872" s="42" t="s">
        <v>309</v>
      </c>
      <c r="E1872" s="42" t="s">
        <v>125</v>
      </c>
      <c r="F1872" s="42" t="s">
        <v>1908</v>
      </c>
      <c r="G1872" s="42" t="s">
        <v>1909</v>
      </c>
      <c r="H1872" s="43"/>
      <c r="I1872" s="43"/>
      <c r="J1872" s="43"/>
      <c r="K1872" s="43"/>
      <c r="L1872" s="43"/>
      <c r="M1872" s="43"/>
      <c r="N1872" s="43"/>
      <c r="O1872" s="43"/>
      <c r="P1872" s="43"/>
      <c r="Q1872" s="43"/>
      <c r="R1872" s="43"/>
      <c r="S1872" s="43"/>
      <c r="T1872" s="43"/>
      <c r="U1872" s="43"/>
      <c r="V1872" s="43"/>
    </row>
    <row r="1873" spans="1:22" ht="15.75" customHeight="1" x14ac:dyDescent="0.2">
      <c r="A1873" s="40">
        <v>1255</v>
      </c>
      <c r="B1873" s="41" t="s">
        <v>699</v>
      </c>
      <c r="C1873" s="42" t="s">
        <v>1912</v>
      </c>
      <c r="D1873" s="42" t="s">
        <v>1234</v>
      </c>
      <c r="E1873" s="42" t="s">
        <v>1913</v>
      </c>
      <c r="F1873" s="42" t="s">
        <v>1908</v>
      </c>
      <c r="G1873" s="42" t="s">
        <v>1909</v>
      </c>
      <c r="H1873" s="43"/>
      <c r="I1873" s="43"/>
      <c r="J1873" s="43"/>
      <c r="K1873" s="43"/>
      <c r="L1873" s="43"/>
      <c r="M1873" s="43"/>
      <c r="N1873" s="43"/>
      <c r="O1873" s="43"/>
      <c r="P1873" s="43"/>
      <c r="Q1873" s="43"/>
      <c r="R1873" s="43"/>
      <c r="S1873" s="43"/>
      <c r="T1873" s="43"/>
      <c r="U1873" s="43"/>
      <c r="V1873" s="43"/>
    </row>
    <row r="1874" spans="1:22" ht="15.75" customHeight="1" x14ac:dyDescent="0.2">
      <c r="A1874" s="40">
        <v>1289</v>
      </c>
      <c r="B1874" s="41" t="s">
        <v>453</v>
      </c>
      <c r="C1874" s="42" t="s">
        <v>1915</v>
      </c>
      <c r="D1874" s="42" t="s">
        <v>1916</v>
      </c>
      <c r="E1874" s="42" t="s">
        <v>478</v>
      </c>
      <c r="F1874" s="42" t="s">
        <v>1908</v>
      </c>
      <c r="G1874" s="42" t="s">
        <v>1909</v>
      </c>
      <c r="H1874" s="43"/>
      <c r="I1874" s="43"/>
      <c r="J1874" s="43"/>
      <c r="K1874" s="43"/>
      <c r="L1874" s="43"/>
      <c r="M1874" s="43"/>
      <c r="N1874" s="43"/>
      <c r="O1874" s="43"/>
      <c r="P1874" s="43"/>
      <c r="Q1874" s="43"/>
      <c r="R1874" s="43"/>
      <c r="S1874" s="43"/>
      <c r="T1874" s="43"/>
      <c r="U1874" s="43"/>
      <c r="V1874" s="43"/>
    </row>
    <row r="1875" spans="1:22" ht="15.75" customHeight="1" x14ac:dyDescent="0.2">
      <c r="A1875" s="40">
        <v>1317</v>
      </c>
      <c r="B1875" s="41" t="s">
        <v>936</v>
      </c>
      <c r="C1875" s="42" t="s">
        <v>1910</v>
      </c>
      <c r="D1875" s="42" t="s">
        <v>1461</v>
      </c>
      <c r="E1875" s="42" t="s">
        <v>1911</v>
      </c>
      <c r="F1875" s="42" t="s">
        <v>1908</v>
      </c>
      <c r="G1875" s="42" t="s">
        <v>1909</v>
      </c>
      <c r="H1875" s="43"/>
      <c r="I1875" s="43"/>
      <c r="J1875" s="43"/>
      <c r="K1875" s="43"/>
      <c r="L1875" s="43"/>
      <c r="M1875" s="43"/>
      <c r="N1875" s="43"/>
      <c r="O1875" s="43"/>
      <c r="P1875" s="43"/>
      <c r="Q1875" s="43"/>
      <c r="R1875" s="43"/>
      <c r="S1875" s="43"/>
      <c r="T1875" s="43"/>
      <c r="U1875" s="43"/>
      <c r="V1875" s="43"/>
    </row>
    <row r="1876" spans="1:22" ht="15.75" customHeight="1" x14ac:dyDescent="0.2">
      <c r="A1876" s="40">
        <v>2079</v>
      </c>
      <c r="B1876" s="41" t="s">
        <v>653</v>
      </c>
      <c r="C1876" s="42" t="s">
        <v>1907</v>
      </c>
      <c r="D1876" s="42" t="s">
        <v>309</v>
      </c>
      <c r="E1876" s="42" t="s">
        <v>125</v>
      </c>
      <c r="F1876" s="42" t="s">
        <v>1908</v>
      </c>
      <c r="G1876" s="42" t="s">
        <v>1909</v>
      </c>
      <c r="H1876" s="43"/>
      <c r="I1876" s="43"/>
      <c r="J1876" s="43"/>
      <c r="K1876" s="43"/>
      <c r="L1876" s="43"/>
      <c r="M1876" s="43"/>
      <c r="N1876" s="43"/>
      <c r="O1876" s="43"/>
      <c r="P1876" s="43"/>
      <c r="Q1876" s="43"/>
      <c r="R1876" s="43"/>
      <c r="S1876" s="43"/>
      <c r="T1876" s="43"/>
      <c r="U1876" s="43"/>
      <c r="V1876" s="43"/>
    </row>
    <row r="1877" spans="1:22" ht="15.75" customHeight="1" x14ac:dyDescent="0.2">
      <c r="A1877" s="40">
        <v>2123</v>
      </c>
      <c r="B1877" s="41" t="s">
        <v>280</v>
      </c>
      <c r="C1877" s="42" t="s">
        <v>1912</v>
      </c>
      <c r="D1877" s="42" t="s">
        <v>1234</v>
      </c>
      <c r="E1877" s="42" t="s">
        <v>1913</v>
      </c>
      <c r="F1877" s="42" t="s">
        <v>1908</v>
      </c>
      <c r="G1877" s="42" t="s">
        <v>1909</v>
      </c>
      <c r="H1877" s="43"/>
      <c r="I1877" s="43"/>
      <c r="J1877" s="43"/>
      <c r="K1877" s="43"/>
      <c r="L1877" s="43"/>
      <c r="M1877" s="43"/>
      <c r="N1877" s="43"/>
      <c r="O1877" s="43"/>
      <c r="P1877" s="43"/>
      <c r="Q1877" s="43"/>
      <c r="R1877" s="43"/>
      <c r="S1877" s="43"/>
      <c r="T1877" s="43"/>
      <c r="U1877" s="43"/>
      <c r="V1877" s="43"/>
    </row>
    <row r="1878" spans="1:22" ht="15.75" customHeight="1" x14ac:dyDescent="0.2">
      <c r="A1878" s="40">
        <v>2125</v>
      </c>
      <c r="B1878" s="41" t="s">
        <v>280</v>
      </c>
      <c r="C1878" s="42" t="s">
        <v>1915</v>
      </c>
      <c r="D1878" s="42" t="s">
        <v>1916</v>
      </c>
      <c r="E1878" s="42" t="s">
        <v>478</v>
      </c>
      <c r="F1878" s="42" t="s">
        <v>1908</v>
      </c>
      <c r="G1878" s="42" t="s">
        <v>1909</v>
      </c>
      <c r="H1878" s="43"/>
      <c r="I1878" s="43"/>
      <c r="J1878" s="43"/>
      <c r="K1878" s="43"/>
      <c r="L1878" s="43"/>
      <c r="M1878" s="43"/>
      <c r="N1878" s="43"/>
      <c r="O1878" s="43"/>
      <c r="P1878" s="43"/>
      <c r="Q1878" s="43"/>
      <c r="R1878" s="43"/>
      <c r="S1878" s="43"/>
      <c r="T1878" s="43"/>
      <c r="U1878" s="43"/>
      <c r="V1878" s="43"/>
    </row>
    <row r="1879" spans="1:22" ht="15.75" customHeight="1" x14ac:dyDescent="0.2">
      <c r="A1879" s="40">
        <v>2635</v>
      </c>
      <c r="B1879" s="41" t="s">
        <v>702</v>
      </c>
      <c r="C1879" s="42" t="s">
        <v>1914</v>
      </c>
      <c r="D1879" s="42" t="s">
        <v>1436</v>
      </c>
      <c r="E1879" s="42" t="s">
        <v>52</v>
      </c>
      <c r="F1879" s="42" t="s">
        <v>1908</v>
      </c>
      <c r="G1879" s="42" t="s">
        <v>1909</v>
      </c>
      <c r="H1879" s="43"/>
      <c r="I1879" s="43"/>
      <c r="J1879" s="43"/>
      <c r="K1879" s="43"/>
      <c r="L1879" s="43"/>
      <c r="M1879" s="43"/>
      <c r="N1879" s="43"/>
      <c r="O1879" s="43"/>
      <c r="P1879" s="43"/>
      <c r="Q1879" s="43"/>
      <c r="R1879" s="43"/>
      <c r="S1879" s="43"/>
      <c r="T1879" s="43"/>
      <c r="U1879" s="43"/>
      <c r="V1879" s="43"/>
    </row>
    <row r="1880" spans="1:22" ht="15.75" customHeight="1" x14ac:dyDescent="0.2">
      <c r="A1880" s="40">
        <v>375</v>
      </c>
      <c r="B1880" s="41" t="s">
        <v>246</v>
      </c>
      <c r="C1880" s="42" t="s">
        <v>1917</v>
      </c>
      <c r="D1880" s="42" t="s">
        <v>494</v>
      </c>
      <c r="E1880" s="42" t="s">
        <v>1490</v>
      </c>
      <c r="F1880" s="42" t="s">
        <v>1918</v>
      </c>
      <c r="G1880" s="42" t="s">
        <v>1909</v>
      </c>
      <c r="H1880" s="43"/>
      <c r="I1880" s="43"/>
      <c r="J1880" s="43"/>
      <c r="K1880" s="43"/>
      <c r="L1880" s="43"/>
      <c r="M1880" s="43"/>
      <c r="N1880" s="43"/>
      <c r="O1880" s="43"/>
      <c r="P1880" s="43"/>
      <c r="Q1880" s="43"/>
      <c r="R1880" s="43"/>
      <c r="S1880" s="43"/>
      <c r="T1880" s="43"/>
      <c r="U1880" s="43"/>
      <c r="V1880" s="43"/>
    </row>
    <row r="1881" spans="1:22" ht="15.75" customHeight="1" x14ac:dyDescent="0.2">
      <c r="A1881" s="40">
        <v>1871</v>
      </c>
      <c r="B1881" s="41" t="s">
        <v>711</v>
      </c>
      <c r="C1881" s="42" t="s">
        <v>1917</v>
      </c>
      <c r="D1881" s="42" t="s">
        <v>494</v>
      </c>
      <c r="E1881" s="42" t="s">
        <v>1490</v>
      </c>
      <c r="F1881" s="42" t="s">
        <v>1918</v>
      </c>
      <c r="G1881" s="42" t="s">
        <v>1909</v>
      </c>
      <c r="H1881" s="43"/>
      <c r="I1881" s="43"/>
      <c r="J1881" s="43"/>
      <c r="K1881" s="43"/>
      <c r="L1881" s="43"/>
      <c r="M1881" s="43"/>
      <c r="N1881" s="43"/>
      <c r="O1881" s="43"/>
      <c r="P1881" s="43"/>
      <c r="Q1881" s="43"/>
      <c r="R1881" s="43"/>
      <c r="S1881" s="43"/>
      <c r="T1881" s="43"/>
      <c r="U1881" s="43"/>
      <c r="V1881" s="43"/>
    </row>
    <row r="1882" spans="1:22" ht="15.75" customHeight="1" x14ac:dyDescent="0.2">
      <c r="A1882" s="40">
        <v>423</v>
      </c>
      <c r="B1882" s="41" t="s">
        <v>672</v>
      </c>
      <c r="C1882" s="42" t="s">
        <v>1919</v>
      </c>
      <c r="D1882" s="42" t="s">
        <v>104</v>
      </c>
      <c r="E1882" s="42" t="s">
        <v>1492</v>
      </c>
      <c r="F1882" s="42" t="s">
        <v>1918</v>
      </c>
      <c r="G1882" s="42" t="s">
        <v>1909</v>
      </c>
      <c r="H1882" s="43"/>
      <c r="I1882" s="43"/>
      <c r="J1882" s="43"/>
      <c r="K1882" s="43"/>
      <c r="L1882" s="43"/>
      <c r="M1882" s="43"/>
      <c r="N1882" s="43"/>
      <c r="O1882" s="43"/>
      <c r="P1882" s="43"/>
      <c r="Q1882" s="43"/>
      <c r="R1882" s="43"/>
      <c r="S1882" s="43"/>
      <c r="T1882" s="43"/>
      <c r="U1882" s="43"/>
      <c r="V1882" s="43"/>
    </row>
    <row r="1883" spans="1:22" ht="15.75" customHeight="1" x14ac:dyDescent="0.2">
      <c r="A1883" s="40">
        <v>959</v>
      </c>
      <c r="B1883" s="41" t="s">
        <v>698</v>
      </c>
      <c r="C1883" s="42" t="s">
        <v>1919</v>
      </c>
      <c r="D1883" s="42" t="s">
        <v>104</v>
      </c>
      <c r="E1883" s="42" t="s">
        <v>1492</v>
      </c>
      <c r="F1883" s="42" t="s">
        <v>1918</v>
      </c>
      <c r="G1883" s="42" t="s">
        <v>1909</v>
      </c>
      <c r="H1883" s="43"/>
      <c r="I1883" s="43"/>
      <c r="J1883" s="43"/>
      <c r="K1883" s="43"/>
      <c r="L1883" s="43"/>
      <c r="M1883" s="43"/>
      <c r="N1883" s="43"/>
      <c r="O1883" s="43"/>
      <c r="P1883" s="43"/>
      <c r="Q1883" s="43"/>
      <c r="R1883" s="43"/>
      <c r="S1883" s="43"/>
      <c r="T1883" s="43"/>
      <c r="U1883" s="43"/>
      <c r="V1883" s="43"/>
    </row>
    <row r="1884" spans="1:22" ht="15.75" customHeight="1" x14ac:dyDescent="0.2">
      <c r="A1884" s="40">
        <v>637</v>
      </c>
      <c r="B1884" s="41" t="s">
        <v>248</v>
      </c>
      <c r="C1884" s="42" t="s">
        <v>1920</v>
      </c>
      <c r="D1884" s="42" t="s">
        <v>1522</v>
      </c>
      <c r="E1884" s="42" t="s">
        <v>1411</v>
      </c>
      <c r="F1884" s="42" t="s">
        <v>1918</v>
      </c>
      <c r="G1884" s="42" t="s">
        <v>1909</v>
      </c>
      <c r="H1884" s="43"/>
      <c r="I1884" s="43"/>
      <c r="J1884" s="43"/>
      <c r="K1884" s="43"/>
      <c r="L1884" s="43"/>
      <c r="M1884" s="43"/>
      <c r="N1884" s="43"/>
      <c r="O1884" s="43"/>
      <c r="P1884" s="43"/>
      <c r="Q1884" s="43"/>
      <c r="R1884" s="43"/>
      <c r="S1884" s="43"/>
      <c r="T1884" s="43"/>
      <c r="U1884" s="43"/>
      <c r="V1884" s="43"/>
    </row>
    <row r="1885" spans="1:22" ht="15.75" customHeight="1" x14ac:dyDescent="0.2">
      <c r="A1885" s="40">
        <v>1553</v>
      </c>
      <c r="B1885" s="41" t="s">
        <v>377</v>
      </c>
      <c r="C1885" s="42" t="s">
        <v>1920</v>
      </c>
      <c r="D1885" s="42" t="s">
        <v>1522</v>
      </c>
      <c r="E1885" s="42" t="s">
        <v>1411</v>
      </c>
      <c r="F1885" s="42" t="s">
        <v>1918</v>
      </c>
      <c r="G1885" s="42" t="s">
        <v>1909</v>
      </c>
      <c r="H1885" s="43"/>
      <c r="I1885" s="43"/>
      <c r="J1885" s="43"/>
      <c r="K1885" s="43"/>
      <c r="L1885" s="43"/>
      <c r="M1885" s="43"/>
      <c r="N1885" s="43"/>
      <c r="O1885" s="43"/>
      <c r="P1885" s="43"/>
      <c r="Q1885" s="43"/>
      <c r="R1885" s="43"/>
      <c r="S1885" s="43"/>
      <c r="T1885" s="43"/>
      <c r="U1885" s="43"/>
      <c r="V1885" s="43"/>
    </row>
    <row r="1886" spans="1:22" ht="15.75" customHeight="1" x14ac:dyDescent="0.2">
      <c r="A1886" s="44">
        <v>247</v>
      </c>
      <c r="B1886" s="41" t="s">
        <v>243</v>
      </c>
      <c r="C1886" s="42" t="s">
        <v>1921</v>
      </c>
      <c r="D1886" s="42" t="s">
        <v>1453</v>
      </c>
      <c r="E1886" s="42" t="s">
        <v>902</v>
      </c>
      <c r="F1886" s="42" t="s">
        <v>1918</v>
      </c>
      <c r="G1886" s="42" t="s">
        <v>1909</v>
      </c>
      <c r="H1886" s="43"/>
      <c r="I1886" s="43"/>
      <c r="J1886" s="43"/>
      <c r="K1886" s="43"/>
      <c r="L1886" s="43"/>
      <c r="M1886" s="43"/>
      <c r="N1886" s="43"/>
      <c r="O1886" s="43"/>
      <c r="P1886" s="43"/>
      <c r="Q1886" s="43"/>
      <c r="R1886" s="43"/>
      <c r="S1886" s="43"/>
      <c r="T1886" s="43"/>
      <c r="U1886" s="43"/>
      <c r="V1886" s="43"/>
    </row>
    <row r="1887" spans="1:22" ht="15.75" customHeight="1" x14ac:dyDescent="0.2">
      <c r="A1887" s="40">
        <v>1227</v>
      </c>
      <c r="B1887" s="41" t="s">
        <v>699</v>
      </c>
      <c r="C1887" s="42" t="s">
        <v>1921</v>
      </c>
      <c r="D1887" s="42" t="s">
        <v>1453</v>
      </c>
      <c r="E1887" s="42" t="s">
        <v>902</v>
      </c>
      <c r="F1887" s="42" t="s">
        <v>1918</v>
      </c>
      <c r="G1887" s="42" t="s">
        <v>1909</v>
      </c>
      <c r="H1887" s="43"/>
      <c r="I1887" s="43"/>
      <c r="J1887" s="43"/>
      <c r="K1887" s="43"/>
      <c r="L1887" s="43"/>
      <c r="M1887" s="43"/>
      <c r="N1887" s="43"/>
      <c r="O1887" s="43"/>
      <c r="P1887" s="43"/>
      <c r="Q1887" s="43"/>
      <c r="R1887" s="43"/>
      <c r="S1887" s="43"/>
      <c r="T1887" s="43"/>
      <c r="U1887" s="43"/>
      <c r="V1887" s="43"/>
    </row>
    <row r="1888" spans="1:22" ht="15.75" customHeight="1" x14ac:dyDescent="0.2">
      <c r="A1888" s="55">
        <v>1605</v>
      </c>
      <c r="B1888" s="56" t="s">
        <v>264</v>
      </c>
      <c r="C1888" s="57" t="s">
        <v>1921</v>
      </c>
      <c r="D1888" s="57" t="s">
        <v>203</v>
      </c>
      <c r="E1888" s="57" t="s">
        <v>902</v>
      </c>
      <c r="F1888" s="57" t="s">
        <v>1918</v>
      </c>
      <c r="G1888" s="57" t="s">
        <v>1909</v>
      </c>
      <c r="H1888" s="58"/>
      <c r="I1888" s="58"/>
      <c r="J1888" s="58"/>
      <c r="K1888" s="58"/>
      <c r="L1888" s="58"/>
      <c r="M1888" s="58"/>
      <c r="N1888" s="58"/>
      <c r="O1888" s="58"/>
      <c r="P1888" s="58"/>
      <c r="Q1888" s="58"/>
      <c r="R1888" s="58"/>
      <c r="S1888" s="58"/>
      <c r="T1888" s="58"/>
      <c r="U1888" s="58"/>
      <c r="V1888" s="58"/>
    </row>
    <row r="1889" spans="1:22" ht="15.75" customHeight="1" x14ac:dyDescent="0.2">
      <c r="A1889" s="40">
        <v>2775</v>
      </c>
      <c r="B1889" s="41" t="s">
        <v>623</v>
      </c>
      <c r="C1889" s="42" t="s">
        <v>1921</v>
      </c>
      <c r="D1889" s="42" t="s">
        <v>203</v>
      </c>
      <c r="E1889" s="42" t="s">
        <v>902</v>
      </c>
      <c r="F1889" s="42" t="s">
        <v>1918</v>
      </c>
      <c r="G1889" s="42" t="s">
        <v>1909</v>
      </c>
      <c r="H1889" s="43"/>
      <c r="I1889" s="43"/>
      <c r="J1889" s="43"/>
      <c r="K1889" s="43"/>
      <c r="L1889" s="43"/>
      <c r="M1889" s="43"/>
      <c r="N1889" s="43"/>
      <c r="O1889" s="43"/>
      <c r="P1889" s="43"/>
      <c r="Q1889" s="43"/>
      <c r="R1889" s="43"/>
      <c r="S1889" s="43"/>
      <c r="T1889" s="43"/>
      <c r="U1889" s="43"/>
      <c r="V1889" s="43"/>
    </row>
    <row r="1890" spans="1:22" ht="15.75" customHeight="1" x14ac:dyDescent="0.2">
      <c r="A1890" s="40">
        <v>2917</v>
      </c>
      <c r="B1890" s="41" t="s">
        <v>722</v>
      </c>
      <c r="C1890" s="42" t="s">
        <v>1921</v>
      </c>
      <c r="D1890" s="42" t="s">
        <v>1453</v>
      </c>
      <c r="E1890" s="42" t="s">
        <v>902</v>
      </c>
      <c r="F1890" s="42" t="s">
        <v>1918</v>
      </c>
      <c r="G1890" s="42" t="s">
        <v>1909</v>
      </c>
      <c r="H1890" s="43"/>
      <c r="I1890" s="43"/>
      <c r="J1890" s="43"/>
      <c r="K1890" s="43"/>
      <c r="L1890" s="43"/>
      <c r="M1890" s="43"/>
      <c r="N1890" s="43"/>
      <c r="O1890" s="43"/>
      <c r="P1890" s="43"/>
      <c r="Q1890" s="43"/>
      <c r="R1890" s="43"/>
      <c r="S1890" s="43"/>
      <c r="T1890" s="43"/>
      <c r="U1890" s="43"/>
      <c r="V1890" s="43"/>
    </row>
    <row r="1891" spans="1:22" ht="15.75" customHeight="1" x14ac:dyDescent="0.2">
      <c r="A1891" s="48">
        <v>3001</v>
      </c>
      <c r="B1891" s="49" t="s">
        <v>290</v>
      </c>
      <c r="C1891" s="50" t="s">
        <v>1921</v>
      </c>
      <c r="D1891" s="50" t="s">
        <v>203</v>
      </c>
      <c r="E1891" s="50" t="s">
        <v>902</v>
      </c>
      <c r="F1891" s="42" t="s">
        <v>1918</v>
      </c>
      <c r="G1891" s="42" t="s">
        <v>1909</v>
      </c>
      <c r="H1891" s="43"/>
      <c r="I1891" s="43"/>
      <c r="J1891" s="43"/>
      <c r="K1891" s="43"/>
      <c r="L1891" s="43"/>
      <c r="M1891" s="43"/>
      <c r="N1891" s="43"/>
      <c r="O1891" s="43"/>
      <c r="P1891" s="43"/>
      <c r="Q1891" s="43"/>
      <c r="R1891" s="43"/>
      <c r="S1891" s="43"/>
      <c r="T1891" s="43"/>
      <c r="U1891" s="43"/>
      <c r="V1891" s="43"/>
    </row>
    <row r="1892" spans="1:22" ht="15.75" customHeight="1" x14ac:dyDescent="0.2">
      <c r="A1892" s="40"/>
      <c r="B1892" s="45" t="s">
        <v>118</v>
      </c>
      <c r="C1892" s="46" t="s">
        <v>1923</v>
      </c>
      <c r="D1892" s="46" t="s">
        <v>1924</v>
      </c>
      <c r="E1892" s="46" t="s">
        <v>1925</v>
      </c>
      <c r="F1892" s="46" t="s">
        <v>1918</v>
      </c>
      <c r="G1892" s="46" t="s">
        <v>1909</v>
      </c>
      <c r="H1892" s="43"/>
      <c r="I1892" s="43"/>
      <c r="J1892" s="43"/>
      <c r="K1892" s="43"/>
      <c r="L1892" s="43"/>
      <c r="M1892" s="43"/>
      <c r="N1892" s="43"/>
      <c r="O1892" s="43"/>
      <c r="P1892" s="43"/>
      <c r="Q1892" s="43"/>
      <c r="R1892" s="43"/>
      <c r="S1892" s="43"/>
      <c r="T1892" s="43"/>
      <c r="U1892" s="43"/>
      <c r="V1892" s="43"/>
    </row>
    <row r="1893" spans="1:22" ht="15.75" customHeight="1" x14ac:dyDescent="0.2">
      <c r="A1893" s="40"/>
      <c r="B1893" s="45" t="s">
        <v>94</v>
      </c>
      <c r="C1893" s="46" t="s">
        <v>1923</v>
      </c>
      <c r="D1893" s="46" t="s">
        <v>1924</v>
      </c>
      <c r="E1893" s="46" t="s">
        <v>1925</v>
      </c>
      <c r="F1893" s="46" t="s">
        <v>1918</v>
      </c>
      <c r="G1893" s="46" t="s">
        <v>1909</v>
      </c>
      <c r="H1893" s="43"/>
      <c r="I1893" s="43"/>
      <c r="J1893" s="43"/>
      <c r="K1893" s="43"/>
      <c r="L1893" s="43"/>
      <c r="M1893" s="43"/>
      <c r="N1893" s="43"/>
      <c r="O1893" s="43"/>
      <c r="P1893" s="43"/>
      <c r="Q1893" s="43"/>
      <c r="R1893" s="43"/>
      <c r="S1893" s="43"/>
      <c r="T1893" s="43"/>
      <c r="U1893" s="43"/>
      <c r="V1893" s="43"/>
    </row>
    <row r="1894" spans="1:22" ht="15.75" customHeight="1" x14ac:dyDescent="0.2">
      <c r="A1894" s="40">
        <v>613</v>
      </c>
      <c r="B1894" s="41" t="s">
        <v>428</v>
      </c>
      <c r="C1894" s="42" t="s">
        <v>1926</v>
      </c>
      <c r="D1894" s="42" t="s">
        <v>1595</v>
      </c>
      <c r="E1894" s="42" t="s">
        <v>1927</v>
      </c>
      <c r="F1894" s="42" t="s">
        <v>1918</v>
      </c>
      <c r="G1894" s="42" t="s">
        <v>1909</v>
      </c>
      <c r="H1894" s="43"/>
      <c r="I1894" s="43"/>
      <c r="J1894" s="43"/>
      <c r="K1894" s="43"/>
      <c r="L1894" s="43"/>
      <c r="M1894" s="43"/>
      <c r="N1894" s="43"/>
      <c r="O1894" s="43"/>
      <c r="P1894" s="43"/>
      <c r="Q1894" s="43"/>
      <c r="R1894" s="43"/>
      <c r="S1894" s="43"/>
      <c r="T1894" s="43"/>
      <c r="U1894" s="43"/>
      <c r="V1894" s="43"/>
    </row>
    <row r="1895" spans="1:22" ht="15.75" customHeight="1" x14ac:dyDescent="0.2">
      <c r="A1895" s="40">
        <v>1583</v>
      </c>
      <c r="B1895" s="41" t="s">
        <v>585</v>
      </c>
      <c r="C1895" s="42" t="s">
        <v>1926</v>
      </c>
      <c r="D1895" s="42" t="s">
        <v>1595</v>
      </c>
      <c r="E1895" s="42" t="s">
        <v>1927</v>
      </c>
      <c r="F1895" s="42" t="s">
        <v>1918</v>
      </c>
      <c r="G1895" s="42" t="s">
        <v>1909</v>
      </c>
      <c r="H1895" s="43"/>
      <c r="I1895" s="43"/>
      <c r="J1895" s="43"/>
      <c r="K1895" s="43"/>
      <c r="L1895" s="43"/>
      <c r="M1895" s="43"/>
      <c r="N1895" s="43"/>
      <c r="O1895" s="43"/>
      <c r="P1895" s="43"/>
      <c r="Q1895" s="43"/>
      <c r="R1895" s="43"/>
      <c r="S1895" s="43"/>
      <c r="T1895" s="43"/>
      <c r="U1895" s="43"/>
      <c r="V1895" s="43"/>
    </row>
    <row r="1896" spans="1:22" ht="15.75" customHeight="1" x14ac:dyDescent="0.2">
      <c r="A1896" s="40">
        <v>1359</v>
      </c>
      <c r="B1896" s="41" t="s">
        <v>601</v>
      </c>
      <c r="C1896" s="42" t="s">
        <v>1928</v>
      </c>
      <c r="D1896" s="42" t="s">
        <v>1461</v>
      </c>
      <c r="E1896" s="42" t="s">
        <v>1274</v>
      </c>
      <c r="F1896" s="42" t="s">
        <v>1918</v>
      </c>
      <c r="G1896" s="42" t="s">
        <v>1909</v>
      </c>
      <c r="H1896" s="43"/>
      <c r="I1896" s="43"/>
      <c r="J1896" s="43"/>
      <c r="K1896" s="43"/>
      <c r="L1896" s="43"/>
      <c r="M1896" s="43"/>
      <c r="N1896" s="43"/>
      <c r="O1896" s="43"/>
      <c r="P1896" s="43"/>
      <c r="Q1896" s="43"/>
      <c r="R1896" s="43"/>
      <c r="S1896" s="43"/>
      <c r="T1896" s="43"/>
      <c r="U1896" s="43"/>
      <c r="V1896" s="43"/>
    </row>
    <row r="1897" spans="1:22" ht="15.75" customHeight="1" x14ac:dyDescent="0.2">
      <c r="A1897" s="40">
        <v>2685</v>
      </c>
      <c r="B1897" s="41" t="s">
        <v>1098</v>
      </c>
      <c r="C1897" s="42" t="s">
        <v>1928</v>
      </c>
      <c r="D1897" s="42" t="s">
        <v>1461</v>
      </c>
      <c r="E1897" s="42" t="s">
        <v>1274</v>
      </c>
      <c r="F1897" s="42" t="s">
        <v>1918</v>
      </c>
      <c r="G1897" s="42" t="s">
        <v>1909</v>
      </c>
      <c r="H1897" s="43"/>
      <c r="I1897" s="43"/>
      <c r="J1897" s="43"/>
      <c r="K1897" s="43"/>
      <c r="L1897" s="43"/>
      <c r="M1897" s="43"/>
      <c r="N1897" s="43"/>
      <c r="O1897" s="43"/>
      <c r="P1897" s="43"/>
      <c r="Q1897" s="43"/>
      <c r="R1897" s="43"/>
      <c r="S1897" s="43"/>
      <c r="T1897" s="43"/>
      <c r="U1897" s="43"/>
      <c r="V1897" s="43"/>
    </row>
    <row r="1898" spans="1:22" ht="15.75" customHeight="1" x14ac:dyDescent="0.2">
      <c r="A1898" s="40">
        <v>79</v>
      </c>
      <c r="B1898" s="41" t="s">
        <v>1301</v>
      </c>
      <c r="C1898" s="42" t="s">
        <v>1929</v>
      </c>
      <c r="D1898" s="42" t="s">
        <v>186</v>
      </c>
      <c r="E1898" s="42" t="s">
        <v>306</v>
      </c>
      <c r="F1898" s="42" t="s">
        <v>1918</v>
      </c>
      <c r="G1898" s="42" t="s">
        <v>1909</v>
      </c>
      <c r="H1898" s="43"/>
      <c r="I1898" s="43"/>
      <c r="J1898" s="43"/>
      <c r="K1898" s="43"/>
      <c r="L1898" s="43"/>
      <c r="M1898" s="43"/>
      <c r="N1898" s="43"/>
      <c r="O1898" s="43"/>
      <c r="P1898" s="43"/>
      <c r="Q1898" s="43"/>
      <c r="R1898" s="43"/>
      <c r="S1898" s="43"/>
      <c r="T1898" s="43"/>
      <c r="U1898" s="43"/>
      <c r="V1898" s="43"/>
    </row>
    <row r="1899" spans="1:22" ht="15.75" customHeight="1" x14ac:dyDescent="0.2">
      <c r="A1899" s="40">
        <v>947</v>
      </c>
      <c r="B1899" s="41" t="s">
        <v>709</v>
      </c>
      <c r="C1899" s="42" t="s">
        <v>1929</v>
      </c>
      <c r="D1899" s="42" t="s">
        <v>186</v>
      </c>
      <c r="E1899" s="42" t="s">
        <v>306</v>
      </c>
      <c r="F1899" s="42" t="s">
        <v>1918</v>
      </c>
      <c r="G1899" s="42" t="s">
        <v>1909</v>
      </c>
      <c r="H1899" s="43"/>
      <c r="I1899" s="43"/>
      <c r="J1899" s="43"/>
      <c r="K1899" s="43"/>
      <c r="L1899" s="43"/>
      <c r="M1899" s="43"/>
      <c r="N1899" s="43"/>
      <c r="O1899" s="43"/>
      <c r="P1899" s="43"/>
      <c r="Q1899" s="43"/>
      <c r="R1899" s="43"/>
      <c r="S1899" s="43"/>
      <c r="T1899" s="43"/>
      <c r="U1899" s="43"/>
      <c r="V1899" s="43"/>
    </row>
    <row r="1900" spans="1:22" ht="15.75" customHeight="1" x14ac:dyDescent="0.2">
      <c r="A1900" s="40">
        <v>593</v>
      </c>
      <c r="B1900" s="41" t="s">
        <v>428</v>
      </c>
      <c r="C1900" s="42" t="s">
        <v>1930</v>
      </c>
      <c r="D1900" s="42" t="s">
        <v>1931</v>
      </c>
      <c r="E1900" s="42" t="s">
        <v>1619</v>
      </c>
      <c r="F1900" s="42" t="s">
        <v>1918</v>
      </c>
      <c r="G1900" s="42" t="s">
        <v>1909</v>
      </c>
      <c r="H1900" s="43"/>
      <c r="I1900" s="43"/>
      <c r="J1900" s="43"/>
      <c r="K1900" s="43"/>
      <c r="L1900" s="43"/>
      <c r="M1900" s="43"/>
      <c r="N1900" s="43"/>
      <c r="O1900" s="43"/>
      <c r="P1900" s="43"/>
      <c r="Q1900" s="43"/>
      <c r="R1900" s="43"/>
      <c r="S1900" s="43"/>
      <c r="T1900" s="43"/>
      <c r="U1900" s="43"/>
      <c r="V1900" s="43"/>
    </row>
    <row r="1901" spans="1:22" ht="15.75" customHeight="1" x14ac:dyDescent="0.2">
      <c r="A1901" s="40">
        <v>2881</v>
      </c>
      <c r="B1901" s="41" t="s">
        <v>378</v>
      </c>
      <c r="C1901" s="42" t="s">
        <v>1930</v>
      </c>
      <c r="D1901" s="42" t="s">
        <v>1931</v>
      </c>
      <c r="E1901" s="42" t="s">
        <v>1619</v>
      </c>
      <c r="F1901" s="42" t="s">
        <v>1918</v>
      </c>
      <c r="G1901" s="42" t="s">
        <v>1909</v>
      </c>
      <c r="H1901" s="43"/>
      <c r="I1901" s="43"/>
      <c r="J1901" s="43"/>
      <c r="K1901" s="43"/>
      <c r="L1901" s="43"/>
      <c r="M1901" s="43"/>
      <c r="N1901" s="43"/>
      <c r="O1901" s="43"/>
      <c r="P1901" s="43"/>
      <c r="Q1901" s="43"/>
      <c r="R1901" s="43"/>
      <c r="S1901" s="43"/>
      <c r="T1901" s="43"/>
      <c r="U1901" s="43"/>
      <c r="V1901" s="43"/>
    </row>
    <row r="1902" spans="1:22" ht="15.75" customHeight="1" x14ac:dyDescent="0.2">
      <c r="A1902" s="40">
        <v>609</v>
      </c>
      <c r="B1902" s="41" t="s">
        <v>428</v>
      </c>
      <c r="C1902" s="42" t="s">
        <v>1932</v>
      </c>
      <c r="D1902" s="42" t="s">
        <v>1933</v>
      </c>
      <c r="E1902" s="42" t="s">
        <v>259</v>
      </c>
      <c r="F1902" s="42" t="s">
        <v>1918</v>
      </c>
      <c r="G1902" s="42" t="s">
        <v>1909</v>
      </c>
      <c r="H1902" s="43"/>
      <c r="I1902" s="43"/>
      <c r="J1902" s="43"/>
      <c r="K1902" s="43"/>
      <c r="L1902" s="43"/>
      <c r="M1902" s="43"/>
      <c r="N1902" s="43"/>
      <c r="O1902" s="43"/>
      <c r="P1902" s="43"/>
      <c r="Q1902" s="43"/>
      <c r="R1902" s="43"/>
      <c r="S1902" s="43"/>
      <c r="T1902" s="43"/>
      <c r="U1902" s="43"/>
      <c r="V1902" s="43"/>
    </row>
    <row r="1903" spans="1:22" ht="15.75" customHeight="1" x14ac:dyDescent="0.2">
      <c r="A1903" s="40">
        <v>2587</v>
      </c>
      <c r="B1903" s="41" t="s">
        <v>287</v>
      </c>
      <c r="C1903" s="42" t="s">
        <v>1932</v>
      </c>
      <c r="D1903" s="42" t="s">
        <v>1933</v>
      </c>
      <c r="E1903" s="42" t="s">
        <v>259</v>
      </c>
      <c r="F1903" s="42" t="s">
        <v>1918</v>
      </c>
      <c r="G1903" s="42" t="s">
        <v>1909</v>
      </c>
      <c r="H1903" s="43"/>
      <c r="I1903" s="43"/>
      <c r="J1903" s="43"/>
      <c r="K1903" s="43"/>
      <c r="L1903" s="43"/>
      <c r="M1903" s="43"/>
      <c r="N1903" s="43"/>
      <c r="O1903" s="43"/>
      <c r="P1903" s="43"/>
      <c r="Q1903" s="43"/>
      <c r="R1903" s="43"/>
      <c r="S1903" s="43"/>
      <c r="T1903" s="43"/>
      <c r="U1903" s="43"/>
      <c r="V1903" s="43"/>
    </row>
    <row r="1904" spans="1:22" ht="15.75" customHeight="1" x14ac:dyDescent="0.2">
      <c r="A1904" s="40">
        <v>2863</v>
      </c>
      <c r="B1904" s="41" t="s">
        <v>519</v>
      </c>
      <c r="C1904" s="42" t="s">
        <v>1932</v>
      </c>
      <c r="D1904" s="42" t="s">
        <v>1933</v>
      </c>
      <c r="E1904" s="42" t="s">
        <v>259</v>
      </c>
      <c r="F1904" s="42" t="s">
        <v>1918</v>
      </c>
      <c r="G1904" s="42" t="s">
        <v>1909</v>
      </c>
      <c r="H1904" s="43"/>
      <c r="I1904" s="43"/>
      <c r="J1904" s="43"/>
      <c r="K1904" s="43"/>
      <c r="L1904" s="43"/>
      <c r="M1904" s="43"/>
      <c r="N1904" s="43"/>
      <c r="O1904" s="43"/>
      <c r="P1904" s="43"/>
      <c r="Q1904" s="43"/>
      <c r="R1904" s="43"/>
      <c r="S1904" s="43"/>
      <c r="T1904" s="43"/>
      <c r="U1904" s="43"/>
      <c r="V1904" s="43"/>
    </row>
    <row r="1905" spans="1:22" ht="15.75" customHeight="1" x14ac:dyDescent="0.2">
      <c r="A1905" s="40">
        <v>1637</v>
      </c>
      <c r="B1905" s="41" t="s">
        <v>267</v>
      </c>
      <c r="C1905" s="42" t="s">
        <v>1934</v>
      </c>
      <c r="D1905" s="42" t="s">
        <v>1627</v>
      </c>
      <c r="E1905" s="42" t="s">
        <v>1935</v>
      </c>
      <c r="F1905" s="42" t="s">
        <v>1918</v>
      </c>
      <c r="G1905" s="42" t="s">
        <v>1909</v>
      </c>
      <c r="H1905" s="43"/>
      <c r="I1905" s="43"/>
      <c r="J1905" s="43"/>
      <c r="K1905" s="43"/>
      <c r="L1905" s="43"/>
      <c r="M1905" s="43"/>
      <c r="N1905" s="43"/>
      <c r="O1905" s="43"/>
      <c r="P1905" s="43"/>
      <c r="Q1905" s="43"/>
      <c r="R1905" s="43"/>
      <c r="S1905" s="43"/>
      <c r="T1905" s="43"/>
      <c r="U1905" s="43"/>
      <c r="V1905" s="43"/>
    </row>
    <row r="1906" spans="1:22" ht="15.75" customHeight="1" x14ac:dyDescent="0.2">
      <c r="A1906" s="48">
        <v>3003</v>
      </c>
      <c r="B1906" s="49" t="s">
        <v>290</v>
      </c>
      <c r="C1906" s="50" t="s">
        <v>1934</v>
      </c>
      <c r="D1906" s="50" t="s">
        <v>1627</v>
      </c>
      <c r="E1906" s="50" t="s">
        <v>1935</v>
      </c>
      <c r="F1906" s="42" t="s">
        <v>1918</v>
      </c>
      <c r="G1906" s="42" t="s">
        <v>1909</v>
      </c>
      <c r="H1906" s="43"/>
      <c r="I1906" s="43"/>
      <c r="J1906" s="43"/>
      <c r="K1906" s="43"/>
      <c r="L1906" s="43"/>
      <c r="M1906" s="43"/>
      <c r="N1906" s="43"/>
      <c r="O1906" s="43"/>
      <c r="P1906" s="43"/>
      <c r="Q1906" s="43"/>
      <c r="R1906" s="43"/>
      <c r="S1906" s="43"/>
      <c r="T1906" s="43"/>
      <c r="U1906" s="43"/>
      <c r="V1906" s="43"/>
    </row>
    <row r="1907" spans="1:22" ht="15.75" customHeight="1" x14ac:dyDescent="0.2">
      <c r="A1907" s="40">
        <v>1127</v>
      </c>
      <c r="B1907" s="41" t="s">
        <v>449</v>
      </c>
      <c r="C1907" s="42" t="s">
        <v>1936</v>
      </c>
      <c r="D1907" s="42" t="s">
        <v>1937</v>
      </c>
      <c r="E1907" s="42" t="s">
        <v>1408</v>
      </c>
      <c r="F1907" s="42" t="s">
        <v>1918</v>
      </c>
      <c r="G1907" s="42" t="s">
        <v>1909</v>
      </c>
      <c r="H1907" s="43"/>
      <c r="I1907" s="43"/>
      <c r="J1907" s="43"/>
      <c r="K1907" s="43"/>
      <c r="L1907" s="43"/>
      <c r="M1907" s="43"/>
      <c r="N1907" s="43"/>
      <c r="O1907" s="43"/>
      <c r="P1907" s="43"/>
      <c r="Q1907" s="43"/>
      <c r="R1907" s="43"/>
      <c r="S1907" s="43"/>
      <c r="T1907" s="43"/>
      <c r="U1907" s="43"/>
      <c r="V1907" s="43"/>
    </row>
    <row r="1908" spans="1:22" ht="15.75" customHeight="1" x14ac:dyDescent="0.2">
      <c r="A1908" s="40">
        <v>2831</v>
      </c>
      <c r="B1908" s="41" t="s">
        <v>518</v>
      </c>
      <c r="C1908" s="42" t="s">
        <v>1936</v>
      </c>
      <c r="D1908" s="42" t="s">
        <v>1937</v>
      </c>
      <c r="E1908" s="42" t="s">
        <v>1408</v>
      </c>
      <c r="F1908" s="42" t="s">
        <v>1918</v>
      </c>
      <c r="G1908" s="42" t="s">
        <v>1909</v>
      </c>
      <c r="H1908" s="43"/>
      <c r="I1908" s="43"/>
      <c r="J1908" s="43"/>
      <c r="K1908" s="43"/>
      <c r="L1908" s="43"/>
      <c r="M1908" s="43"/>
      <c r="N1908" s="43"/>
      <c r="O1908" s="43"/>
      <c r="P1908" s="43"/>
      <c r="Q1908" s="43"/>
      <c r="R1908" s="43"/>
      <c r="S1908" s="43"/>
      <c r="T1908" s="43"/>
      <c r="U1908" s="43"/>
      <c r="V1908" s="43"/>
    </row>
    <row r="1909" spans="1:22" ht="15.75" customHeight="1" x14ac:dyDescent="0.2">
      <c r="A1909" s="40">
        <v>437</v>
      </c>
      <c r="B1909" s="41" t="s">
        <v>672</v>
      </c>
      <c r="C1909" s="42" t="s">
        <v>1938</v>
      </c>
      <c r="D1909" s="42" t="s">
        <v>526</v>
      </c>
      <c r="E1909" s="42" t="s">
        <v>314</v>
      </c>
      <c r="F1909" s="42" t="s">
        <v>1918</v>
      </c>
      <c r="G1909" s="42" t="s">
        <v>1909</v>
      </c>
      <c r="H1909" s="43"/>
      <c r="I1909" s="43"/>
      <c r="J1909" s="43"/>
      <c r="K1909" s="43"/>
      <c r="L1909" s="43"/>
      <c r="M1909" s="43"/>
      <c r="N1909" s="43"/>
      <c r="O1909" s="43"/>
      <c r="P1909" s="43"/>
      <c r="Q1909" s="43"/>
      <c r="R1909" s="43"/>
      <c r="S1909" s="43"/>
      <c r="T1909" s="43"/>
      <c r="U1909" s="43"/>
      <c r="V1909" s="43"/>
    </row>
    <row r="1910" spans="1:22" ht="15.75" customHeight="1" x14ac:dyDescent="0.2">
      <c r="A1910" s="40">
        <v>977</v>
      </c>
      <c r="B1910" s="41" t="s">
        <v>698</v>
      </c>
      <c r="C1910" s="42" t="s">
        <v>1938</v>
      </c>
      <c r="D1910" s="42" t="s">
        <v>526</v>
      </c>
      <c r="E1910" s="42" t="s">
        <v>314</v>
      </c>
      <c r="F1910" s="42" t="s">
        <v>1918</v>
      </c>
      <c r="G1910" s="42" t="s">
        <v>1909</v>
      </c>
      <c r="H1910" s="43"/>
      <c r="I1910" s="43"/>
      <c r="J1910" s="43"/>
      <c r="K1910" s="43"/>
      <c r="L1910" s="43"/>
      <c r="M1910" s="43"/>
      <c r="N1910" s="43"/>
      <c r="O1910" s="43"/>
      <c r="P1910" s="43"/>
      <c r="Q1910" s="43"/>
      <c r="R1910" s="43"/>
      <c r="S1910" s="43"/>
      <c r="T1910" s="43"/>
      <c r="U1910" s="43"/>
      <c r="V1910" s="43"/>
    </row>
    <row r="1911" spans="1:22" ht="15.75" customHeight="1" x14ac:dyDescent="0.2">
      <c r="A1911" s="40">
        <v>2255</v>
      </c>
      <c r="B1911" s="41" t="s">
        <v>627</v>
      </c>
      <c r="C1911" s="42" t="s">
        <v>1938</v>
      </c>
      <c r="D1911" s="42" t="s">
        <v>526</v>
      </c>
      <c r="E1911" s="42" t="s">
        <v>314</v>
      </c>
      <c r="F1911" s="42" t="s">
        <v>1918</v>
      </c>
      <c r="G1911" s="42" t="s">
        <v>1909</v>
      </c>
      <c r="H1911" s="43"/>
      <c r="I1911" s="43"/>
      <c r="J1911" s="43"/>
      <c r="K1911" s="43"/>
      <c r="L1911" s="43"/>
      <c r="M1911" s="43"/>
      <c r="N1911" s="43"/>
      <c r="O1911" s="43"/>
      <c r="P1911" s="43"/>
      <c r="Q1911" s="43"/>
      <c r="R1911" s="43"/>
      <c r="S1911" s="43"/>
      <c r="T1911" s="43"/>
      <c r="U1911" s="43"/>
      <c r="V1911" s="43"/>
    </row>
    <row r="1912" spans="1:22" ht="15.75" customHeight="1" x14ac:dyDescent="0.2">
      <c r="A1912" s="40">
        <v>241</v>
      </c>
      <c r="B1912" s="41" t="s">
        <v>178</v>
      </c>
      <c r="C1912" s="42" t="s">
        <v>1939</v>
      </c>
      <c r="D1912" s="42" t="s">
        <v>1385</v>
      </c>
      <c r="E1912" s="42" t="s">
        <v>1940</v>
      </c>
      <c r="F1912" s="42" t="s">
        <v>1941</v>
      </c>
      <c r="G1912" s="42" t="s">
        <v>1909</v>
      </c>
      <c r="H1912" s="43"/>
      <c r="I1912" s="43"/>
      <c r="J1912" s="43"/>
      <c r="K1912" s="43"/>
      <c r="L1912" s="43"/>
      <c r="M1912" s="43"/>
      <c r="N1912" s="43"/>
      <c r="O1912" s="43"/>
      <c r="P1912" s="43"/>
      <c r="Q1912" s="43"/>
      <c r="R1912" s="43"/>
      <c r="S1912" s="43"/>
      <c r="T1912" s="43"/>
      <c r="U1912" s="43"/>
      <c r="V1912" s="43"/>
    </row>
    <row r="1913" spans="1:22" ht="15.75" customHeight="1" x14ac:dyDescent="0.2">
      <c r="A1913" s="40"/>
      <c r="B1913" s="45" t="s">
        <v>45</v>
      </c>
      <c r="C1913" s="46" t="s">
        <v>1939</v>
      </c>
      <c r="D1913" s="46" t="s">
        <v>1385</v>
      </c>
      <c r="E1913" s="46" t="s">
        <v>1940</v>
      </c>
      <c r="F1913" s="46" t="s">
        <v>1941</v>
      </c>
      <c r="G1913" s="46" t="s">
        <v>1909</v>
      </c>
      <c r="H1913" s="43"/>
      <c r="I1913" s="43"/>
      <c r="J1913" s="43"/>
      <c r="K1913" s="43"/>
      <c r="L1913" s="43"/>
      <c r="M1913" s="43"/>
      <c r="N1913" s="43"/>
      <c r="O1913" s="43"/>
      <c r="P1913" s="43"/>
      <c r="Q1913" s="43"/>
      <c r="R1913" s="43"/>
      <c r="S1913" s="43"/>
      <c r="T1913" s="43"/>
      <c r="U1913" s="43"/>
      <c r="V1913" s="43"/>
    </row>
    <row r="1914" spans="1:22" ht="15.75" customHeight="1" x14ac:dyDescent="0.2">
      <c r="A1914" s="40"/>
      <c r="B1914" s="45" t="s">
        <v>37</v>
      </c>
      <c r="C1914" s="46" t="s">
        <v>1942</v>
      </c>
      <c r="D1914" s="46" t="s">
        <v>557</v>
      </c>
      <c r="E1914" s="46" t="s">
        <v>393</v>
      </c>
      <c r="F1914" s="46" t="s">
        <v>1941</v>
      </c>
      <c r="G1914" s="46" t="s">
        <v>1909</v>
      </c>
      <c r="H1914" s="43"/>
      <c r="I1914" s="43"/>
      <c r="J1914" s="43"/>
      <c r="K1914" s="43"/>
      <c r="L1914" s="43"/>
      <c r="M1914" s="43"/>
      <c r="N1914" s="43"/>
      <c r="O1914" s="43"/>
      <c r="P1914" s="43"/>
      <c r="Q1914" s="43"/>
      <c r="R1914" s="43"/>
      <c r="S1914" s="43"/>
      <c r="T1914" s="43"/>
      <c r="U1914" s="43"/>
      <c r="V1914" s="43"/>
    </row>
    <row r="1915" spans="1:22" ht="15.75" customHeight="1" x14ac:dyDescent="0.2">
      <c r="A1915" s="40"/>
      <c r="B1915" s="45" t="s">
        <v>45</v>
      </c>
      <c r="C1915" s="46" t="s">
        <v>1942</v>
      </c>
      <c r="D1915" s="46" t="s">
        <v>557</v>
      </c>
      <c r="E1915" s="46" t="s">
        <v>393</v>
      </c>
      <c r="F1915" s="46" t="s">
        <v>1941</v>
      </c>
      <c r="G1915" s="46" t="s">
        <v>1909</v>
      </c>
      <c r="H1915" s="43"/>
      <c r="I1915" s="43"/>
      <c r="J1915" s="43"/>
      <c r="K1915" s="43"/>
      <c r="L1915" s="43"/>
      <c r="M1915" s="43"/>
      <c r="N1915" s="43"/>
      <c r="O1915" s="43"/>
      <c r="P1915" s="43"/>
      <c r="Q1915" s="43"/>
      <c r="R1915" s="43"/>
      <c r="S1915" s="43"/>
      <c r="T1915" s="43"/>
      <c r="U1915" s="43"/>
      <c r="V1915" s="43"/>
    </row>
    <row r="1916" spans="1:22" ht="15.75" customHeight="1" x14ac:dyDescent="0.2">
      <c r="A1916" s="40"/>
      <c r="B1916" s="45" t="s">
        <v>80</v>
      </c>
      <c r="C1916" s="46" t="s">
        <v>1943</v>
      </c>
      <c r="D1916" s="46" t="s">
        <v>1439</v>
      </c>
      <c r="E1916" s="46" t="s">
        <v>567</v>
      </c>
      <c r="F1916" s="46" t="s">
        <v>1941</v>
      </c>
      <c r="G1916" s="46" t="s">
        <v>1909</v>
      </c>
      <c r="H1916" s="43"/>
      <c r="I1916" s="43"/>
      <c r="J1916" s="43"/>
      <c r="K1916" s="43"/>
      <c r="L1916" s="43"/>
      <c r="M1916" s="43"/>
      <c r="N1916" s="43"/>
      <c r="O1916" s="43"/>
      <c r="P1916" s="43"/>
      <c r="Q1916" s="43"/>
      <c r="R1916" s="43"/>
      <c r="S1916" s="43"/>
      <c r="T1916" s="43"/>
      <c r="U1916" s="43"/>
      <c r="V1916" s="43"/>
    </row>
    <row r="1917" spans="1:22" ht="15.75" customHeight="1" x14ac:dyDescent="0.2">
      <c r="A1917" s="40"/>
      <c r="B1917" s="45" t="s">
        <v>45</v>
      </c>
      <c r="C1917" s="46" t="s">
        <v>1943</v>
      </c>
      <c r="D1917" s="46" t="s">
        <v>1439</v>
      </c>
      <c r="E1917" s="46" t="s">
        <v>567</v>
      </c>
      <c r="F1917" s="46" t="s">
        <v>1941</v>
      </c>
      <c r="G1917" s="46" t="s">
        <v>1909</v>
      </c>
      <c r="H1917" s="43"/>
      <c r="I1917" s="43"/>
      <c r="J1917" s="43"/>
      <c r="K1917" s="43"/>
      <c r="L1917" s="43"/>
      <c r="M1917" s="43"/>
      <c r="N1917" s="43"/>
      <c r="O1917" s="43"/>
      <c r="P1917" s="43"/>
      <c r="Q1917" s="43"/>
      <c r="R1917" s="43"/>
      <c r="S1917" s="43"/>
      <c r="T1917" s="43"/>
      <c r="U1917" s="43"/>
      <c r="V1917" s="43"/>
    </row>
    <row r="1918" spans="1:22" ht="15.75" customHeight="1" x14ac:dyDescent="0.2">
      <c r="A1918" s="40"/>
      <c r="B1918" s="45" t="s">
        <v>26</v>
      </c>
      <c r="C1918" s="46" t="s">
        <v>1944</v>
      </c>
      <c r="D1918" s="46" t="s">
        <v>51</v>
      </c>
      <c r="E1918" s="46" t="s">
        <v>567</v>
      </c>
      <c r="F1918" s="46" t="s">
        <v>1941</v>
      </c>
      <c r="G1918" s="46" t="s">
        <v>1909</v>
      </c>
      <c r="H1918" s="43"/>
      <c r="I1918" s="43"/>
      <c r="J1918" s="43"/>
      <c r="K1918" s="43"/>
      <c r="L1918" s="43"/>
      <c r="M1918" s="43"/>
      <c r="N1918" s="43"/>
      <c r="O1918" s="43"/>
      <c r="P1918" s="43"/>
      <c r="Q1918" s="43"/>
      <c r="R1918" s="43"/>
      <c r="S1918" s="43"/>
      <c r="T1918" s="43"/>
      <c r="U1918" s="43"/>
      <c r="V1918" s="43"/>
    </row>
    <row r="1919" spans="1:22" ht="15.75" customHeight="1" x14ac:dyDescent="0.2">
      <c r="A1919" s="40"/>
      <c r="B1919" s="45" t="s">
        <v>80</v>
      </c>
      <c r="C1919" s="46" t="s">
        <v>858</v>
      </c>
      <c r="D1919" s="46" t="s">
        <v>266</v>
      </c>
      <c r="E1919" s="46" t="s">
        <v>87</v>
      </c>
      <c r="F1919" s="46" t="s">
        <v>1941</v>
      </c>
      <c r="G1919" s="46" t="s">
        <v>1909</v>
      </c>
      <c r="H1919" s="43"/>
      <c r="I1919" s="43"/>
      <c r="J1919" s="43"/>
      <c r="K1919" s="43"/>
      <c r="L1919" s="43"/>
      <c r="M1919" s="43"/>
      <c r="N1919" s="43"/>
      <c r="O1919" s="43"/>
      <c r="P1919" s="43"/>
      <c r="Q1919" s="43"/>
      <c r="R1919" s="43"/>
      <c r="S1919" s="43"/>
      <c r="T1919" s="43"/>
      <c r="U1919" s="43"/>
      <c r="V1919" s="43"/>
    </row>
    <row r="1920" spans="1:22" ht="15.75" customHeight="1" x14ac:dyDescent="0.2">
      <c r="A1920" s="40">
        <v>2439</v>
      </c>
      <c r="B1920" s="41" t="s">
        <v>161</v>
      </c>
      <c r="C1920" s="42" t="s">
        <v>1144</v>
      </c>
      <c r="D1920" s="42" t="s">
        <v>116</v>
      </c>
      <c r="E1920" s="42" t="s">
        <v>87</v>
      </c>
      <c r="F1920" s="42" t="s">
        <v>1941</v>
      </c>
      <c r="G1920" s="42" t="s">
        <v>1909</v>
      </c>
      <c r="H1920" s="43"/>
      <c r="I1920" s="43"/>
      <c r="J1920" s="43"/>
      <c r="K1920" s="43"/>
      <c r="L1920" s="43"/>
      <c r="M1920" s="43"/>
      <c r="N1920" s="43"/>
      <c r="O1920" s="43"/>
      <c r="P1920" s="43"/>
      <c r="Q1920" s="43"/>
      <c r="R1920" s="43"/>
      <c r="S1920" s="43"/>
      <c r="T1920" s="43"/>
      <c r="U1920" s="43"/>
      <c r="V1920" s="43"/>
    </row>
    <row r="1921" spans="1:22" ht="15.75" customHeight="1" x14ac:dyDescent="0.2">
      <c r="A1921" s="40"/>
      <c r="B1921" s="45" t="s">
        <v>46</v>
      </c>
      <c r="C1921" s="46" t="s">
        <v>1144</v>
      </c>
      <c r="D1921" s="46" t="s">
        <v>120</v>
      </c>
      <c r="E1921" s="46" t="s">
        <v>87</v>
      </c>
      <c r="F1921" s="46" t="s">
        <v>1941</v>
      </c>
      <c r="G1921" s="46" t="s">
        <v>1909</v>
      </c>
      <c r="H1921" s="43"/>
      <c r="I1921" s="43"/>
      <c r="J1921" s="43"/>
      <c r="K1921" s="43"/>
      <c r="L1921" s="43"/>
      <c r="M1921" s="43"/>
      <c r="N1921" s="43"/>
      <c r="O1921" s="43"/>
      <c r="P1921" s="43"/>
      <c r="Q1921" s="43"/>
      <c r="R1921" s="43"/>
      <c r="S1921" s="43"/>
      <c r="T1921" s="43"/>
      <c r="U1921" s="43"/>
      <c r="V1921" s="43"/>
    </row>
    <row r="1922" spans="1:22" ht="15.75" customHeight="1" x14ac:dyDescent="0.2">
      <c r="A1922" s="40">
        <v>2365</v>
      </c>
      <c r="B1922" s="41" t="s">
        <v>137</v>
      </c>
      <c r="C1922" s="42" t="s">
        <v>63</v>
      </c>
      <c r="D1922" s="42" t="s">
        <v>75</v>
      </c>
      <c r="E1922" s="42" t="s">
        <v>306</v>
      </c>
      <c r="F1922" s="42" t="s">
        <v>1941</v>
      </c>
      <c r="G1922" s="42" t="s">
        <v>1909</v>
      </c>
      <c r="H1922" s="43"/>
      <c r="I1922" s="43"/>
      <c r="J1922" s="43"/>
      <c r="K1922" s="43"/>
      <c r="L1922" s="43"/>
      <c r="M1922" s="43"/>
      <c r="N1922" s="43"/>
      <c r="O1922" s="43"/>
      <c r="P1922" s="43"/>
      <c r="Q1922" s="43"/>
      <c r="R1922" s="43"/>
      <c r="S1922" s="43"/>
      <c r="T1922" s="43"/>
      <c r="U1922" s="43"/>
      <c r="V1922" s="43"/>
    </row>
    <row r="1923" spans="1:22" ht="15.75" customHeight="1" x14ac:dyDescent="0.2">
      <c r="A1923" s="40">
        <v>269</v>
      </c>
      <c r="B1923" s="41" t="s">
        <v>896</v>
      </c>
      <c r="C1923" s="42" t="s">
        <v>1945</v>
      </c>
      <c r="D1923" s="42" t="s">
        <v>124</v>
      </c>
      <c r="E1923" s="42" t="s">
        <v>40</v>
      </c>
      <c r="F1923" s="42" t="s">
        <v>1941</v>
      </c>
      <c r="G1923" s="42" t="s">
        <v>1909</v>
      </c>
      <c r="H1923" s="43"/>
      <c r="I1923" s="43"/>
      <c r="J1923" s="43"/>
      <c r="K1923" s="43"/>
      <c r="L1923" s="43"/>
      <c r="M1923" s="43"/>
      <c r="N1923" s="43"/>
      <c r="O1923" s="43"/>
      <c r="P1923" s="43"/>
      <c r="Q1923" s="43"/>
      <c r="R1923" s="43"/>
      <c r="S1923" s="43"/>
      <c r="T1923" s="43"/>
      <c r="U1923" s="43"/>
      <c r="V1923" s="43"/>
    </row>
    <row r="1924" spans="1:22" ht="15.75" customHeight="1" x14ac:dyDescent="0.2">
      <c r="A1924" s="40"/>
      <c r="B1924" s="45" t="s">
        <v>80</v>
      </c>
      <c r="C1924" s="46" t="s">
        <v>1945</v>
      </c>
      <c r="D1924" s="46" t="s">
        <v>124</v>
      </c>
      <c r="E1924" s="46" t="s">
        <v>40</v>
      </c>
      <c r="F1924" s="46" t="s">
        <v>1941</v>
      </c>
      <c r="G1924" s="46" t="s">
        <v>1909</v>
      </c>
      <c r="H1924" s="43"/>
      <c r="I1924" s="43"/>
      <c r="J1924" s="43"/>
      <c r="K1924" s="43"/>
      <c r="L1924" s="43"/>
      <c r="M1924" s="43"/>
      <c r="N1924" s="43"/>
      <c r="O1924" s="43"/>
      <c r="P1924" s="43"/>
      <c r="Q1924" s="43"/>
      <c r="R1924" s="43"/>
      <c r="S1924" s="43"/>
      <c r="T1924" s="43"/>
      <c r="U1924" s="43"/>
      <c r="V1924" s="43"/>
    </row>
    <row r="1925" spans="1:22" ht="15.75" customHeight="1" x14ac:dyDescent="0.2">
      <c r="A1925" s="40"/>
      <c r="B1925" s="45" t="s">
        <v>45</v>
      </c>
      <c r="C1925" s="46" t="s">
        <v>1945</v>
      </c>
      <c r="D1925" s="46" t="s">
        <v>124</v>
      </c>
      <c r="E1925" s="46" t="s">
        <v>40</v>
      </c>
      <c r="F1925" s="46" t="s">
        <v>1941</v>
      </c>
      <c r="G1925" s="46" t="s">
        <v>1909</v>
      </c>
      <c r="H1925" s="43"/>
      <c r="I1925" s="43"/>
      <c r="J1925" s="43"/>
      <c r="K1925" s="43"/>
      <c r="L1925" s="43"/>
      <c r="M1925" s="43"/>
      <c r="N1925" s="43"/>
      <c r="O1925" s="43"/>
      <c r="P1925" s="43"/>
      <c r="Q1925" s="43"/>
      <c r="R1925" s="43"/>
      <c r="S1925" s="43"/>
      <c r="T1925" s="43"/>
      <c r="U1925" s="43"/>
      <c r="V1925" s="43"/>
    </row>
    <row r="1926" spans="1:22" ht="15.75" customHeight="1" x14ac:dyDescent="0.2">
      <c r="A1926" s="40">
        <v>819</v>
      </c>
      <c r="B1926" s="41" t="s">
        <v>971</v>
      </c>
      <c r="C1926" s="42" t="s">
        <v>1946</v>
      </c>
      <c r="D1926" s="42" t="s">
        <v>1369</v>
      </c>
      <c r="E1926" s="42" t="s">
        <v>306</v>
      </c>
      <c r="F1926" s="42" t="s">
        <v>1941</v>
      </c>
      <c r="G1926" s="42" t="s">
        <v>1909</v>
      </c>
      <c r="H1926" s="43"/>
      <c r="I1926" s="43"/>
      <c r="J1926" s="43"/>
      <c r="K1926" s="43"/>
      <c r="L1926" s="43"/>
      <c r="M1926" s="43"/>
      <c r="N1926" s="43"/>
      <c r="O1926" s="43"/>
      <c r="P1926" s="43"/>
      <c r="Q1926" s="43"/>
      <c r="R1926" s="43"/>
      <c r="S1926" s="43"/>
      <c r="T1926" s="43"/>
      <c r="U1926" s="43"/>
      <c r="V1926" s="43"/>
    </row>
    <row r="1927" spans="1:22" ht="15.75" customHeight="1" x14ac:dyDescent="0.2">
      <c r="A1927" s="40">
        <v>2441</v>
      </c>
      <c r="B1927" s="41" t="s">
        <v>161</v>
      </c>
      <c r="C1927" s="42" t="s">
        <v>1946</v>
      </c>
      <c r="D1927" s="42" t="s">
        <v>1369</v>
      </c>
      <c r="E1927" s="42" t="s">
        <v>306</v>
      </c>
      <c r="F1927" s="42" t="s">
        <v>1941</v>
      </c>
      <c r="G1927" s="42" t="s">
        <v>1909</v>
      </c>
      <c r="H1927" s="43"/>
      <c r="I1927" s="43"/>
      <c r="J1927" s="43"/>
      <c r="K1927" s="43"/>
      <c r="L1927" s="43"/>
      <c r="M1927" s="43"/>
      <c r="N1927" s="43"/>
      <c r="O1927" s="43"/>
      <c r="P1927" s="43"/>
      <c r="Q1927" s="43"/>
      <c r="R1927" s="43"/>
      <c r="S1927" s="43"/>
      <c r="T1927" s="43"/>
      <c r="U1927" s="43"/>
      <c r="V1927" s="43"/>
    </row>
    <row r="1928" spans="1:22" ht="15.75" customHeight="1" x14ac:dyDescent="0.2">
      <c r="A1928" s="40"/>
      <c r="B1928" s="45" t="s">
        <v>71</v>
      </c>
      <c r="C1928" s="46" t="s">
        <v>1946</v>
      </c>
      <c r="D1928" s="46" t="s">
        <v>441</v>
      </c>
      <c r="E1928" s="46" t="s">
        <v>306</v>
      </c>
      <c r="F1928" s="46" t="s">
        <v>1941</v>
      </c>
      <c r="G1928" s="46" t="s">
        <v>1909</v>
      </c>
      <c r="H1928" s="43"/>
      <c r="I1928" s="43"/>
      <c r="J1928" s="43"/>
      <c r="K1928" s="43"/>
      <c r="L1928" s="43"/>
      <c r="M1928" s="43"/>
      <c r="N1928" s="43"/>
      <c r="O1928" s="43"/>
      <c r="P1928" s="43"/>
      <c r="Q1928" s="43"/>
      <c r="R1928" s="43"/>
      <c r="S1928" s="43"/>
      <c r="T1928" s="43"/>
      <c r="U1928" s="43"/>
      <c r="V1928" s="43"/>
    </row>
    <row r="1929" spans="1:22" ht="15.75" customHeight="1" x14ac:dyDescent="0.2">
      <c r="A1929" s="40"/>
      <c r="B1929" s="45" t="s">
        <v>45</v>
      </c>
      <c r="C1929" s="46" t="s">
        <v>1946</v>
      </c>
      <c r="D1929" s="46" t="s">
        <v>441</v>
      </c>
      <c r="E1929" s="46" t="s">
        <v>306</v>
      </c>
      <c r="F1929" s="46" t="s">
        <v>1941</v>
      </c>
      <c r="G1929" s="46" t="s">
        <v>1909</v>
      </c>
      <c r="H1929" s="43"/>
      <c r="I1929" s="43"/>
      <c r="J1929" s="43"/>
      <c r="K1929" s="43"/>
      <c r="L1929" s="43"/>
      <c r="M1929" s="43"/>
      <c r="N1929" s="43"/>
      <c r="O1929" s="43"/>
      <c r="P1929" s="43"/>
      <c r="Q1929" s="43"/>
      <c r="R1929" s="43"/>
      <c r="S1929" s="43"/>
      <c r="T1929" s="43"/>
      <c r="U1929" s="43"/>
      <c r="V1929" s="43"/>
    </row>
    <row r="1930" spans="1:22" ht="15.75" customHeight="1" x14ac:dyDescent="0.2">
      <c r="A1930" s="40"/>
      <c r="B1930" s="45" t="s">
        <v>336</v>
      </c>
      <c r="C1930" s="46" t="s">
        <v>1459</v>
      </c>
      <c r="D1930" s="46" t="s">
        <v>1430</v>
      </c>
      <c r="E1930" s="46" t="s">
        <v>1215</v>
      </c>
      <c r="F1930" s="46" t="s">
        <v>1941</v>
      </c>
      <c r="G1930" s="46" t="s">
        <v>1909</v>
      </c>
      <c r="H1930" s="43"/>
      <c r="I1930" s="43"/>
      <c r="J1930" s="43"/>
      <c r="K1930" s="43"/>
      <c r="L1930" s="43"/>
      <c r="M1930" s="43"/>
      <c r="N1930" s="43"/>
      <c r="O1930" s="43"/>
      <c r="P1930" s="43"/>
      <c r="Q1930" s="43"/>
      <c r="R1930" s="43"/>
      <c r="S1930" s="43"/>
      <c r="T1930" s="43"/>
      <c r="U1930" s="43"/>
      <c r="V1930" s="43"/>
    </row>
    <row r="1931" spans="1:22" ht="15.75" customHeight="1" x14ac:dyDescent="0.2">
      <c r="A1931" s="40">
        <v>859</v>
      </c>
      <c r="B1931" s="41" t="s">
        <v>975</v>
      </c>
      <c r="C1931" s="42" t="s">
        <v>1947</v>
      </c>
      <c r="D1931" s="42" t="s">
        <v>1948</v>
      </c>
      <c r="E1931" s="42" t="s">
        <v>319</v>
      </c>
      <c r="F1931" s="42" t="s">
        <v>1941</v>
      </c>
      <c r="G1931" s="42" t="s">
        <v>1909</v>
      </c>
      <c r="H1931" s="43"/>
      <c r="I1931" s="43"/>
      <c r="J1931" s="43"/>
      <c r="K1931" s="43"/>
      <c r="L1931" s="43"/>
      <c r="M1931" s="43"/>
      <c r="N1931" s="43"/>
      <c r="O1931" s="43"/>
      <c r="P1931" s="43"/>
      <c r="Q1931" s="43"/>
      <c r="R1931" s="43"/>
      <c r="S1931" s="43"/>
      <c r="T1931" s="43"/>
      <c r="U1931" s="43"/>
      <c r="V1931" s="43"/>
    </row>
    <row r="1932" spans="1:22" ht="15.75" customHeight="1" x14ac:dyDescent="0.2">
      <c r="A1932" s="40">
        <v>2481</v>
      </c>
      <c r="B1932" s="41" t="s">
        <v>16</v>
      </c>
      <c r="C1932" s="42" t="s">
        <v>1947</v>
      </c>
      <c r="D1932" s="42" t="s">
        <v>1948</v>
      </c>
      <c r="E1932" s="42" t="s">
        <v>319</v>
      </c>
      <c r="F1932" s="42" t="s">
        <v>1941</v>
      </c>
      <c r="G1932" s="42" t="s">
        <v>1909</v>
      </c>
      <c r="H1932" s="43"/>
      <c r="I1932" s="43"/>
      <c r="J1932" s="43"/>
      <c r="K1932" s="43"/>
      <c r="L1932" s="43"/>
      <c r="M1932" s="43"/>
      <c r="N1932" s="43"/>
      <c r="O1932" s="43"/>
      <c r="P1932" s="43"/>
      <c r="Q1932" s="43"/>
      <c r="R1932" s="43"/>
      <c r="S1932" s="43"/>
      <c r="T1932" s="43"/>
      <c r="U1932" s="43"/>
      <c r="V1932" s="43"/>
    </row>
    <row r="1933" spans="1:22" ht="15.75" customHeight="1" x14ac:dyDescent="0.2">
      <c r="A1933" s="40"/>
      <c r="B1933" s="45" t="s">
        <v>71</v>
      </c>
      <c r="C1933" s="46" t="s">
        <v>1949</v>
      </c>
      <c r="D1933" s="46" t="s">
        <v>39</v>
      </c>
      <c r="E1933" s="46" t="s">
        <v>32</v>
      </c>
      <c r="F1933" s="46" t="s">
        <v>1941</v>
      </c>
      <c r="G1933" s="46" t="s">
        <v>1909</v>
      </c>
      <c r="H1933" s="43"/>
      <c r="I1933" s="43"/>
      <c r="J1933" s="43"/>
      <c r="K1933" s="43"/>
      <c r="L1933" s="43"/>
      <c r="M1933" s="43"/>
      <c r="N1933" s="43"/>
      <c r="O1933" s="43"/>
      <c r="P1933" s="43"/>
      <c r="Q1933" s="43"/>
      <c r="R1933" s="43"/>
      <c r="S1933" s="43"/>
      <c r="T1933" s="43"/>
      <c r="U1933" s="43"/>
      <c r="V1933" s="43"/>
    </row>
    <row r="1934" spans="1:22" ht="15.75" customHeight="1" x14ac:dyDescent="0.2">
      <c r="A1934" s="40"/>
      <c r="B1934" s="45" t="s">
        <v>45</v>
      </c>
      <c r="C1934" s="46" t="s">
        <v>1949</v>
      </c>
      <c r="D1934" s="46" t="s">
        <v>39</v>
      </c>
      <c r="E1934" s="46" t="s">
        <v>32</v>
      </c>
      <c r="F1934" s="46" t="s">
        <v>1941</v>
      </c>
      <c r="G1934" s="46" t="s">
        <v>1909</v>
      </c>
      <c r="H1934" s="43"/>
      <c r="I1934" s="43"/>
      <c r="J1934" s="43"/>
      <c r="K1934" s="43"/>
      <c r="L1934" s="43"/>
      <c r="M1934" s="43"/>
      <c r="N1934" s="43"/>
      <c r="O1934" s="43"/>
      <c r="P1934" s="43"/>
      <c r="Q1934" s="43"/>
      <c r="R1934" s="43"/>
      <c r="S1934" s="43"/>
      <c r="T1934" s="43"/>
      <c r="U1934" s="43"/>
      <c r="V1934" s="43"/>
    </row>
    <row r="1935" spans="1:22" ht="15.75" customHeight="1" x14ac:dyDescent="0.2">
      <c r="A1935" s="40"/>
      <c r="B1935" s="45" t="s">
        <v>84</v>
      </c>
      <c r="C1935" s="46" t="s">
        <v>1950</v>
      </c>
      <c r="D1935" s="46" t="s">
        <v>574</v>
      </c>
      <c r="E1935" s="46" t="s">
        <v>1951</v>
      </c>
      <c r="F1935" s="46" t="s">
        <v>1941</v>
      </c>
      <c r="G1935" s="46" t="s">
        <v>1909</v>
      </c>
      <c r="H1935" s="43"/>
      <c r="I1935" s="43"/>
      <c r="J1935" s="43"/>
      <c r="K1935" s="43"/>
      <c r="L1935" s="43"/>
      <c r="M1935" s="43"/>
      <c r="N1935" s="43"/>
      <c r="O1935" s="43"/>
      <c r="P1935" s="43"/>
      <c r="Q1935" s="43"/>
      <c r="R1935" s="43"/>
      <c r="S1935" s="43"/>
      <c r="T1935" s="43"/>
      <c r="U1935" s="43"/>
      <c r="V1935" s="43"/>
    </row>
    <row r="1936" spans="1:22" ht="15.75" customHeight="1" x14ac:dyDescent="0.2">
      <c r="A1936" s="40"/>
      <c r="B1936" s="45" t="s">
        <v>45</v>
      </c>
      <c r="C1936" s="46" t="s">
        <v>1950</v>
      </c>
      <c r="D1936" s="46" t="s">
        <v>574</v>
      </c>
      <c r="E1936" s="46" t="s">
        <v>1951</v>
      </c>
      <c r="F1936" s="46" t="s">
        <v>1941</v>
      </c>
      <c r="G1936" s="46" t="s">
        <v>1909</v>
      </c>
      <c r="H1936" s="43"/>
      <c r="I1936" s="43"/>
      <c r="J1936" s="43"/>
      <c r="K1936" s="43"/>
      <c r="L1936" s="43"/>
      <c r="M1936" s="43"/>
      <c r="N1936" s="43"/>
      <c r="O1936" s="43"/>
      <c r="P1936" s="43"/>
      <c r="Q1936" s="43"/>
      <c r="R1936" s="43"/>
      <c r="S1936" s="43"/>
      <c r="T1936" s="43"/>
      <c r="U1936" s="43"/>
      <c r="V1936" s="43"/>
    </row>
    <row r="1937" spans="1:22" ht="15.75" customHeight="1" x14ac:dyDescent="0.2">
      <c r="A1937" s="40"/>
      <c r="B1937" s="45" t="s">
        <v>26</v>
      </c>
      <c r="C1937" s="46" t="s">
        <v>1464</v>
      </c>
      <c r="D1937" s="46" t="s">
        <v>1952</v>
      </c>
      <c r="E1937" s="46" t="s">
        <v>70</v>
      </c>
      <c r="F1937" s="46" t="s">
        <v>1941</v>
      </c>
      <c r="G1937" s="46" t="s">
        <v>1909</v>
      </c>
      <c r="H1937" s="43"/>
      <c r="I1937" s="43"/>
      <c r="J1937" s="43"/>
      <c r="K1937" s="43"/>
      <c r="L1937" s="43"/>
      <c r="M1937" s="43"/>
      <c r="N1937" s="43"/>
      <c r="O1937" s="43"/>
      <c r="P1937" s="43"/>
      <c r="Q1937" s="43"/>
      <c r="R1937" s="43"/>
      <c r="S1937" s="43"/>
      <c r="T1937" s="43"/>
      <c r="U1937" s="43"/>
      <c r="V1937" s="43"/>
    </row>
    <row r="1938" spans="1:22" ht="15.75" customHeight="1" x14ac:dyDescent="0.2">
      <c r="A1938" s="40"/>
      <c r="B1938" s="45" t="s">
        <v>45</v>
      </c>
      <c r="C1938" s="46" t="s">
        <v>1464</v>
      </c>
      <c r="D1938" s="46" t="s">
        <v>1952</v>
      </c>
      <c r="E1938" s="46" t="s">
        <v>70</v>
      </c>
      <c r="F1938" s="46" t="s">
        <v>1941</v>
      </c>
      <c r="G1938" s="46" t="s">
        <v>1909</v>
      </c>
      <c r="H1938" s="43"/>
      <c r="I1938" s="43"/>
      <c r="J1938" s="43"/>
      <c r="K1938" s="43"/>
      <c r="L1938" s="43"/>
      <c r="M1938" s="43"/>
      <c r="N1938" s="43"/>
      <c r="O1938" s="43"/>
      <c r="P1938" s="43"/>
      <c r="Q1938" s="43"/>
      <c r="R1938" s="43"/>
      <c r="S1938" s="43"/>
      <c r="T1938" s="43"/>
      <c r="U1938" s="43"/>
      <c r="V1938" s="43"/>
    </row>
    <row r="1939" spans="1:22" ht="15.75" customHeight="1" x14ac:dyDescent="0.2">
      <c r="A1939" s="40"/>
      <c r="B1939" s="45" t="s">
        <v>84</v>
      </c>
      <c r="C1939" s="46" t="s">
        <v>1953</v>
      </c>
      <c r="D1939" s="46" t="s">
        <v>309</v>
      </c>
      <c r="E1939" s="46" t="s">
        <v>424</v>
      </c>
      <c r="F1939" s="46" t="s">
        <v>1941</v>
      </c>
      <c r="G1939" s="46" t="s">
        <v>1909</v>
      </c>
      <c r="H1939" s="43"/>
      <c r="I1939" s="43"/>
      <c r="J1939" s="43"/>
      <c r="K1939" s="43"/>
      <c r="L1939" s="43"/>
      <c r="M1939" s="43"/>
      <c r="N1939" s="43"/>
      <c r="O1939" s="43"/>
      <c r="P1939" s="43"/>
      <c r="Q1939" s="43"/>
      <c r="R1939" s="43"/>
      <c r="S1939" s="43"/>
      <c r="T1939" s="43"/>
      <c r="U1939" s="43"/>
      <c r="V1939" s="43"/>
    </row>
    <row r="1940" spans="1:22" ht="15.75" customHeight="1" x14ac:dyDescent="0.2">
      <c r="A1940" s="40">
        <v>2407</v>
      </c>
      <c r="B1940" s="41" t="s">
        <v>154</v>
      </c>
      <c r="C1940" s="42" t="s">
        <v>1954</v>
      </c>
      <c r="D1940" s="42" t="s">
        <v>1955</v>
      </c>
      <c r="E1940" s="42" t="s">
        <v>125</v>
      </c>
      <c r="F1940" s="42" t="s">
        <v>1956</v>
      </c>
      <c r="G1940" s="42" t="s">
        <v>1909</v>
      </c>
      <c r="H1940" s="43"/>
      <c r="I1940" s="43"/>
      <c r="J1940" s="43"/>
      <c r="K1940" s="43"/>
      <c r="L1940" s="43"/>
      <c r="M1940" s="43"/>
      <c r="N1940" s="43"/>
      <c r="O1940" s="43"/>
      <c r="P1940" s="43"/>
      <c r="Q1940" s="43"/>
      <c r="R1940" s="43"/>
      <c r="S1940" s="43"/>
      <c r="T1940" s="43"/>
      <c r="U1940" s="43"/>
      <c r="V1940" s="43"/>
    </row>
    <row r="1941" spans="1:22" ht="15.75" customHeight="1" x14ac:dyDescent="0.2">
      <c r="A1941" s="40">
        <v>2409</v>
      </c>
      <c r="B1941" s="41" t="s">
        <v>154</v>
      </c>
      <c r="C1941" s="42" t="s">
        <v>1929</v>
      </c>
      <c r="D1941" s="42" t="s">
        <v>1957</v>
      </c>
      <c r="E1941" s="42" t="s">
        <v>1750</v>
      </c>
      <c r="F1941" s="42" t="s">
        <v>1956</v>
      </c>
      <c r="G1941" s="42" t="s">
        <v>1909</v>
      </c>
      <c r="H1941" s="43"/>
      <c r="I1941" s="43"/>
      <c r="J1941" s="43"/>
      <c r="K1941" s="43"/>
      <c r="L1941" s="43"/>
      <c r="M1941" s="43"/>
      <c r="N1941" s="43"/>
      <c r="O1941" s="43"/>
      <c r="P1941" s="43"/>
      <c r="Q1941" s="43"/>
      <c r="R1941" s="43"/>
      <c r="S1941" s="43"/>
      <c r="T1941" s="43"/>
      <c r="U1941" s="43"/>
      <c r="V1941" s="43"/>
    </row>
    <row r="1942" spans="1:22" ht="15.75" customHeight="1" x14ac:dyDescent="0.2">
      <c r="A1942" s="40">
        <v>231</v>
      </c>
      <c r="B1942" s="41" t="s">
        <v>19</v>
      </c>
      <c r="C1942" s="42" t="s">
        <v>1958</v>
      </c>
      <c r="D1942" s="42" t="s">
        <v>1959</v>
      </c>
      <c r="E1942" s="42" t="s">
        <v>1330</v>
      </c>
      <c r="F1942" s="42" t="s">
        <v>1956</v>
      </c>
      <c r="G1942" s="42" t="s">
        <v>1909</v>
      </c>
      <c r="H1942" s="43"/>
      <c r="I1942" s="43"/>
      <c r="J1942" s="43"/>
      <c r="K1942" s="43"/>
      <c r="L1942" s="43"/>
      <c r="M1942" s="43"/>
      <c r="N1942" s="43"/>
      <c r="O1942" s="43"/>
      <c r="P1942" s="43"/>
      <c r="Q1942" s="43"/>
      <c r="R1942" s="43"/>
      <c r="S1942" s="43"/>
      <c r="T1942" s="43"/>
      <c r="U1942" s="43"/>
      <c r="V1942" s="43"/>
    </row>
    <row r="1943" spans="1:22" ht="15.75" customHeight="1" x14ac:dyDescent="0.2">
      <c r="A1943" s="40"/>
      <c r="B1943" s="45" t="s">
        <v>41</v>
      </c>
      <c r="C1943" s="46" t="s">
        <v>1960</v>
      </c>
      <c r="D1943" s="46" t="s">
        <v>1020</v>
      </c>
      <c r="E1943" s="46" t="s">
        <v>1961</v>
      </c>
      <c r="F1943" s="46" t="s">
        <v>1956</v>
      </c>
      <c r="G1943" s="46" t="s">
        <v>1909</v>
      </c>
      <c r="H1943" s="43"/>
      <c r="I1943" s="43"/>
      <c r="J1943" s="43"/>
      <c r="K1943" s="43"/>
      <c r="L1943" s="43"/>
      <c r="M1943" s="43"/>
      <c r="N1943" s="43"/>
      <c r="O1943" s="43"/>
      <c r="P1943" s="43"/>
      <c r="Q1943" s="43"/>
      <c r="R1943" s="43"/>
      <c r="S1943" s="43"/>
      <c r="T1943" s="43"/>
      <c r="U1943" s="43"/>
      <c r="V1943" s="43"/>
    </row>
    <row r="1944" spans="1:22" ht="15.75" customHeight="1" x14ac:dyDescent="0.2">
      <c r="A1944" s="40"/>
      <c r="B1944" s="45" t="s">
        <v>41</v>
      </c>
      <c r="C1944" s="46" t="s">
        <v>1960</v>
      </c>
      <c r="D1944" s="46" t="s">
        <v>1020</v>
      </c>
      <c r="E1944" s="46" t="s">
        <v>1961</v>
      </c>
      <c r="F1944" s="46" t="s">
        <v>1956</v>
      </c>
      <c r="G1944" s="46" t="s">
        <v>1909</v>
      </c>
      <c r="H1944" s="43"/>
      <c r="I1944" s="43"/>
      <c r="J1944" s="43"/>
      <c r="K1944" s="43"/>
      <c r="L1944" s="43"/>
      <c r="M1944" s="43"/>
      <c r="N1944" s="43"/>
      <c r="O1944" s="43"/>
      <c r="P1944" s="43"/>
      <c r="Q1944" s="43"/>
      <c r="R1944" s="43"/>
      <c r="S1944" s="43"/>
      <c r="T1944" s="43"/>
      <c r="U1944" s="43"/>
      <c r="V1944" s="43"/>
    </row>
    <row r="1945" spans="1:22" ht="15.75" customHeight="1" x14ac:dyDescent="0.2">
      <c r="A1945" s="40"/>
      <c r="B1945" s="45" t="s">
        <v>71</v>
      </c>
      <c r="C1945" s="46" t="s">
        <v>1500</v>
      </c>
      <c r="D1945" s="46" t="s">
        <v>574</v>
      </c>
      <c r="E1945" s="46" t="s">
        <v>357</v>
      </c>
      <c r="F1945" s="46" t="s">
        <v>1956</v>
      </c>
      <c r="G1945" s="46" t="s">
        <v>1909</v>
      </c>
      <c r="H1945" s="43"/>
      <c r="I1945" s="43"/>
      <c r="J1945" s="43"/>
      <c r="K1945" s="43"/>
      <c r="L1945" s="43"/>
      <c r="M1945" s="43"/>
      <c r="N1945" s="43"/>
      <c r="O1945" s="43"/>
      <c r="P1945" s="43"/>
      <c r="Q1945" s="43"/>
      <c r="R1945" s="43"/>
      <c r="S1945" s="43"/>
      <c r="T1945" s="43"/>
      <c r="U1945" s="43"/>
      <c r="V1945" s="43"/>
    </row>
    <row r="1946" spans="1:22" ht="15.75" customHeight="1" x14ac:dyDescent="0.2">
      <c r="A1946" s="40"/>
      <c r="B1946" s="45" t="s">
        <v>45</v>
      </c>
      <c r="C1946" s="46" t="s">
        <v>1962</v>
      </c>
      <c r="D1946" s="46" t="s">
        <v>1401</v>
      </c>
      <c r="E1946" s="46" t="s">
        <v>129</v>
      </c>
      <c r="F1946" s="46" t="s">
        <v>1956</v>
      </c>
      <c r="G1946" s="46" t="s">
        <v>1909</v>
      </c>
      <c r="H1946" s="43"/>
      <c r="I1946" s="43"/>
      <c r="J1946" s="43"/>
      <c r="K1946" s="43"/>
      <c r="L1946" s="43"/>
      <c r="M1946" s="43"/>
      <c r="N1946" s="43"/>
      <c r="O1946" s="43"/>
      <c r="P1946" s="43"/>
      <c r="Q1946" s="43"/>
      <c r="R1946" s="43"/>
      <c r="S1946" s="43"/>
      <c r="T1946" s="43"/>
      <c r="U1946" s="43"/>
      <c r="V1946" s="43"/>
    </row>
    <row r="1947" spans="1:22" ht="15.75" customHeight="1" x14ac:dyDescent="0.2">
      <c r="A1947" s="40">
        <v>1251</v>
      </c>
      <c r="B1947" s="41" t="s">
        <v>699</v>
      </c>
      <c r="C1947" s="42" t="s">
        <v>1963</v>
      </c>
      <c r="D1947" s="42" t="s">
        <v>86</v>
      </c>
      <c r="E1947" s="42" t="s">
        <v>337</v>
      </c>
      <c r="F1947" s="42" t="s">
        <v>1964</v>
      </c>
      <c r="G1947" s="42" t="s">
        <v>1909</v>
      </c>
      <c r="H1947" s="43"/>
      <c r="I1947" s="43"/>
      <c r="J1947" s="43"/>
      <c r="K1947" s="43"/>
      <c r="L1947" s="43"/>
      <c r="M1947" s="43"/>
      <c r="N1947" s="43"/>
      <c r="O1947" s="43"/>
      <c r="P1947" s="43"/>
      <c r="Q1947" s="43"/>
      <c r="R1947" s="43"/>
      <c r="S1947" s="43"/>
      <c r="T1947" s="43"/>
      <c r="U1947" s="43"/>
      <c r="V1947" s="43"/>
    </row>
    <row r="1948" spans="1:22" ht="15.75" customHeight="1" x14ac:dyDescent="0.2">
      <c r="A1948" s="40">
        <v>2747</v>
      </c>
      <c r="B1948" s="41" t="s">
        <v>944</v>
      </c>
      <c r="C1948" s="42" t="s">
        <v>1963</v>
      </c>
      <c r="D1948" s="42" t="s">
        <v>128</v>
      </c>
      <c r="E1948" s="42" t="s">
        <v>337</v>
      </c>
      <c r="F1948" s="42" t="s">
        <v>1964</v>
      </c>
      <c r="G1948" s="42" t="s">
        <v>1909</v>
      </c>
      <c r="H1948" s="43"/>
      <c r="I1948" s="43"/>
      <c r="J1948" s="43"/>
      <c r="K1948" s="43"/>
      <c r="L1948" s="43"/>
      <c r="M1948" s="43"/>
      <c r="N1948" s="43"/>
      <c r="O1948" s="43"/>
      <c r="P1948" s="43"/>
      <c r="Q1948" s="43"/>
      <c r="R1948" s="43"/>
      <c r="S1948" s="43"/>
      <c r="T1948" s="43"/>
      <c r="U1948" s="43"/>
      <c r="V1948" s="43"/>
    </row>
    <row r="1949" spans="1:22" ht="15.75" customHeight="1" x14ac:dyDescent="0.2">
      <c r="A1949" s="40">
        <v>1377</v>
      </c>
      <c r="B1949" s="41" t="s">
        <v>601</v>
      </c>
      <c r="C1949" s="42" t="s">
        <v>1965</v>
      </c>
      <c r="D1949" s="42" t="s">
        <v>1401</v>
      </c>
      <c r="E1949" s="42" t="s">
        <v>32</v>
      </c>
      <c r="F1949" s="42" t="s">
        <v>1964</v>
      </c>
      <c r="G1949" s="42" t="s">
        <v>1909</v>
      </c>
      <c r="H1949" s="43"/>
      <c r="I1949" s="43"/>
      <c r="J1949" s="43"/>
      <c r="K1949" s="43"/>
      <c r="L1949" s="43"/>
      <c r="M1949" s="43"/>
      <c r="N1949" s="43"/>
      <c r="O1949" s="43"/>
      <c r="P1949" s="43"/>
      <c r="Q1949" s="43"/>
      <c r="R1949" s="43"/>
      <c r="S1949" s="43"/>
      <c r="T1949" s="43"/>
      <c r="U1949" s="43"/>
      <c r="V1949" s="43"/>
    </row>
    <row r="1950" spans="1:22" ht="15.75" customHeight="1" x14ac:dyDescent="0.2">
      <c r="A1950" s="40">
        <v>1863</v>
      </c>
      <c r="B1950" s="41" t="s">
        <v>604</v>
      </c>
      <c r="C1950" s="42" t="s">
        <v>1965</v>
      </c>
      <c r="D1950" s="42" t="s">
        <v>1401</v>
      </c>
      <c r="E1950" s="42" t="s">
        <v>32</v>
      </c>
      <c r="F1950" s="42" t="s">
        <v>1964</v>
      </c>
      <c r="G1950" s="42" t="s">
        <v>1909</v>
      </c>
      <c r="H1950" s="43"/>
      <c r="I1950" s="43"/>
      <c r="J1950" s="43"/>
      <c r="K1950" s="43"/>
      <c r="L1950" s="43"/>
      <c r="M1950" s="43"/>
      <c r="N1950" s="43"/>
      <c r="O1950" s="43"/>
      <c r="P1950" s="43"/>
      <c r="Q1950" s="43"/>
      <c r="R1950" s="43"/>
      <c r="S1950" s="43"/>
      <c r="T1950" s="43"/>
      <c r="U1950" s="43"/>
      <c r="V1950" s="43"/>
    </row>
    <row r="1951" spans="1:22" ht="15.75" customHeight="1" x14ac:dyDescent="0.2">
      <c r="A1951" s="40">
        <v>2661</v>
      </c>
      <c r="B1951" s="41" t="s">
        <v>1055</v>
      </c>
      <c r="C1951" s="42" t="s">
        <v>1965</v>
      </c>
      <c r="D1951" s="42" t="s">
        <v>1401</v>
      </c>
      <c r="E1951" s="42" t="s">
        <v>32</v>
      </c>
      <c r="F1951" s="42" t="s">
        <v>1964</v>
      </c>
      <c r="G1951" s="42" t="s">
        <v>1909</v>
      </c>
      <c r="H1951" s="43"/>
      <c r="I1951" s="43"/>
      <c r="J1951" s="43"/>
      <c r="K1951" s="43"/>
      <c r="L1951" s="43"/>
      <c r="M1951" s="43"/>
      <c r="N1951" s="43"/>
      <c r="O1951" s="43"/>
      <c r="P1951" s="43"/>
      <c r="Q1951" s="43"/>
      <c r="R1951" s="43"/>
      <c r="S1951" s="43"/>
      <c r="T1951" s="43"/>
      <c r="U1951" s="43"/>
      <c r="V1951" s="43"/>
    </row>
    <row r="1952" spans="1:22" ht="15.75" customHeight="1" x14ac:dyDescent="0.2">
      <c r="A1952" s="40">
        <v>1557</v>
      </c>
      <c r="B1952" s="41" t="s">
        <v>377</v>
      </c>
      <c r="C1952" s="42" t="s">
        <v>1966</v>
      </c>
      <c r="D1952" s="42" t="s">
        <v>1967</v>
      </c>
      <c r="E1952" s="42" t="s">
        <v>1151</v>
      </c>
      <c r="F1952" s="42" t="s">
        <v>1964</v>
      </c>
      <c r="G1952" s="42" t="s">
        <v>1909</v>
      </c>
      <c r="H1952" s="43"/>
      <c r="I1952" s="43"/>
      <c r="J1952" s="43"/>
      <c r="K1952" s="43"/>
      <c r="L1952" s="43"/>
      <c r="M1952" s="43"/>
      <c r="N1952" s="43"/>
      <c r="O1952" s="43"/>
      <c r="P1952" s="43"/>
      <c r="Q1952" s="43"/>
      <c r="R1952" s="43"/>
      <c r="S1952" s="43"/>
      <c r="T1952" s="43"/>
      <c r="U1952" s="43"/>
      <c r="V1952" s="43"/>
    </row>
    <row r="1953" spans="1:22" ht="15.75" customHeight="1" x14ac:dyDescent="0.2">
      <c r="A1953" s="40">
        <v>2299</v>
      </c>
      <c r="B1953" s="41" t="s">
        <v>284</v>
      </c>
      <c r="C1953" s="42" t="s">
        <v>1966</v>
      </c>
      <c r="D1953" s="42" t="s">
        <v>1967</v>
      </c>
      <c r="E1953" s="42" t="s">
        <v>1151</v>
      </c>
      <c r="F1953" s="42" t="s">
        <v>1964</v>
      </c>
      <c r="G1953" s="42" t="s">
        <v>1909</v>
      </c>
      <c r="H1953" s="43"/>
      <c r="I1953" s="43"/>
      <c r="J1953" s="43"/>
      <c r="K1953" s="43"/>
      <c r="L1953" s="43"/>
      <c r="M1953" s="43"/>
      <c r="N1953" s="43"/>
      <c r="O1953" s="43"/>
      <c r="P1953" s="43"/>
      <c r="Q1953" s="43"/>
      <c r="R1953" s="43"/>
      <c r="S1953" s="43"/>
      <c r="T1953" s="43"/>
      <c r="U1953" s="43"/>
      <c r="V1953" s="43"/>
    </row>
    <row r="1954" spans="1:22" ht="15.75" customHeight="1" x14ac:dyDescent="0.2">
      <c r="A1954" s="40">
        <v>2591</v>
      </c>
      <c r="B1954" s="41" t="s">
        <v>287</v>
      </c>
      <c r="C1954" s="42" t="s">
        <v>1966</v>
      </c>
      <c r="D1954" s="42" t="s">
        <v>1967</v>
      </c>
      <c r="E1954" s="42" t="s">
        <v>1151</v>
      </c>
      <c r="F1954" s="42" t="s">
        <v>1964</v>
      </c>
      <c r="G1954" s="42" t="s">
        <v>1909</v>
      </c>
      <c r="H1954" s="43"/>
      <c r="I1954" s="43"/>
      <c r="J1954" s="43"/>
      <c r="K1954" s="43"/>
      <c r="L1954" s="43"/>
      <c r="M1954" s="43"/>
      <c r="N1954" s="43"/>
      <c r="O1954" s="43"/>
      <c r="P1954" s="43"/>
      <c r="Q1954" s="43"/>
      <c r="R1954" s="43"/>
      <c r="S1954" s="43"/>
      <c r="T1954" s="43"/>
      <c r="U1954" s="43"/>
      <c r="V1954" s="43"/>
    </row>
    <row r="1955" spans="1:22" ht="15.75" customHeight="1" x14ac:dyDescent="0.2">
      <c r="A1955" s="40">
        <v>125</v>
      </c>
      <c r="B1955" s="41" t="s">
        <v>504</v>
      </c>
      <c r="C1955" s="42" t="s">
        <v>1968</v>
      </c>
      <c r="D1955" s="42" t="s">
        <v>183</v>
      </c>
      <c r="E1955" s="42" t="s">
        <v>87</v>
      </c>
      <c r="F1955" s="42" t="s">
        <v>1964</v>
      </c>
      <c r="G1955" s="42" t="s">
        <v>1909</v>
      </c>
      <c r="H1955" s="43"/>
      <c r="I1955" s="43"/>
      <c r="J1955" s="43"/>
      <c r="K1955" s="43"/>
      <c r="L1955" s="43"/>
      <c r="M1955" s="43"/>
      <c r="N1955" s="43"/>
      <c r="O1955" s="43"/>
      <c r="P1955" s="43"/>
      <c r="Q1955" s="43"/>
      <c r="R1955" s="43"/>
      <c r="S1955" s="43"/>
      <c r="T1955" s="43"/>
      <c r="U1955" s="43"/>
      <c r="V1955" s="43"/>
    </row>
    <row r="1956" spans="1:22" ht="15.75" customHeight="1" x14ac:dyDescent="0.2">
      <c r="A1956" s="40">
        <v>1049</v>
      </c>
      <c r="B1956" s="41" t="s">
        <v>464</v>
      </c>
      <c r="C1956" s="42" t="s">
        <v>1968</v>
      </c>
      <c r="D1956" s="42" t="s">
        <v>183</v>
      </c>
      <c r="E1956" s="42" t="s">
        <v>87</v>
      </c>
      <c r="F1956" s="42" t="s">
        <v>1964</v>
      </c>
      <c r="G1956" s="42" t="s">
        <v>1909</v>
      </c>
      <c r="H1956" s="43"/>
      <c r="I1956" s="43"/>
      <c r="J1956" s="43"/>
      <c r="K1956" s="43"/>
      <c r="L1956" s="43"/>
      <c r="M1956" s="43"/>
      <c r="N1956" s="43"/>
      <c r="O1956" s="43"/>
      <c r="P1956" s="43"/>
      <c r="Q1956" s="43"/>
      <c r="R1956" s="43"/>
      <c r="S1956" s="43"/>
      <c r="T1956" s="43"/>
      <c r="U1956" s="43"/>
      <c r="V1956" s="43"/>
    </row>
    <row r="1957" spans="1:22" ht="15.75" customHeight="1" x14ac:dyDescent="0.2">
      <c r="A1957" s="40">
        <v>1761</v>
      </c>
      <c r="B1957" s="41" t="s">
        <v>459</v>
      </c>
      <c r="C1957" s="42" t="s">
        <v>1968</v>
      </c>
      <c r="D1957" s="42" t="s">
        <v>183</v>
      </c>
      <c r="E1957" s="42" t="s">
        <v>87</v>
      </c>
      <c r="F1957" s="42" t="s">
        <v>1964</v>
      </c>
      <c r="G1957" s="42" t="s">
        <v>1909</v>
      </c>
      <c r="H1957" s="43"/>
      <c r="I1957" s="43"/>
      <c r="J1957" s="43"/>
      <c r="K1957" s="43"/>
      <c r="L1957" s="43"/>
      <c r="M1957" s="43"/>
      <c r="N1957" s="43"/>
      <c r="O1957" s="43"/>
      <c r="P1957" s="43"/>
      <c r="Q1957" s="43"/>
      <c r="R1957" s="43"/>
      <c r="S1957" s="43"/>
      <c r="T1957" s="43"/>
      <c r="U1957" s="43"/>
      <c r="V1957" s="43"/>
    </row>
    <row r="1958" spans="1:22" ht="15.75" customHeight="1" x14ac:dyDescent="0.2">
      <c r="A1958" s="40">
        <v>1639</v>
      </c>
      <c r="B1958" s="41" t="s">
        <v>267</v>
      </c>
      <c r="C1958" s="42" t="s">
        <v>1969</v>
      </c>
      <c r="D1958" s="42" t="s">
        <v>1277</v>
      </c>
      <c r="E1958" s="42" t="s">
        <v>1395</v>
      </c>
      <c r="F1958" s="42" t="s">
        <v>1964</v>
      </c>
      <c r="G1958" s="42" t="s">
        <v>1909</v>
      </c>
      <c r="H1958" s="43"/>
      <c r="I1958" s="43"/>
      <c r="J1958" s="43"/>
      <c r="K1958" s="43"/>
      <c r="L1958" s="43"/>
      <c r="M1958" s="43"/>
      <c r="N1958" s="43"/>
      <c r="O1958" s="43"/>
      <c r="P1958" s="43"/>
      <c r="Q1958" s="43"/>
      <c r="R1958" s="43"/>
      <c r="S1958" s="43"/>
      <c r="T1958" s="43"/>
      <c r="U1958" s="43"/>
      <c r="V1958" s="43"/>
    </row>
    <row r="1959" spans="1:22" ht="15.75" customHeight="1" x14ac:dyDescent="0.2">
      <c r="A1959" s="40">
        <v>1951</v>
      </c>
      <c r="B1959" s="41" t="s">
        <v>278</v>
      </c>
      <c r="C1959" s="42" t="s">
        <v>1969</v>
      </c>
      <c r="D1959" s="42" t="s">
        <v>1277</v>
      </c>
      <c r="E1959" s="42" t="s">
        <v>1395</v>
      </c>
      <c r="F1959" s="42" t="s">
        <v>1964</v>
      </c>
      <c r="G1959" s="42" t="s">
        <v>1909</v>
      </c>
      <c r="H1959" s="43"/>
      <c r="I1959" s="43"/>
      <c r="J1959" s="43"/>
      <c r="K1959" s="43"/>
      <c r="L1959" s="43"/>
      <c r="M1959" s="43"/>
      <c r="N1959" s="43"/>
      <c r="O1959" s="43"/>
      <c r="P1959" s="43"/>
      <c r="Q1959" s="43"/>
      <c r="R1959" s="43"/>
      <c r="S1959" s="43"/>
      <c r="T1959" s="43"/>
      <c r="U1959" s="43"/>
      <c r="V1959" s="43"/>
    </row>
    <row r="1960" spans="1:22" ht="15.75" customHeight="1" x14ac:dyDescent="0.2">
      <c r="A1960" s="40">
        <v>1373</v>
      </c>
      <c r="B1960" s="41" t="s">
        <v>601</v>
      </c>
      <c r="C1960" s="42" t="s">
        <v>1970</v>
      </c>
      <c r="D1960" s="42" t="s">
        <v>1289</v>
      </c>
      <c r="E1960" s="42" t="s">
        <v>65</v>
      </c>
      <c r="F1960" s="42" t="s">
        <v>1964</v>
      </c>
      <c r="G1960" s="42" t="s">
        <v>1909</v>
      </c>
      <c r="H1960" s="43"/>
      <c r="I1960" s="43"/>
      <c r="J1960" s="43"/>
      <c r="K1960" s="43"/>
      <c r="L1960" s="43"/>
      <c r="M1960" s="43"/>
      <c r="N1960" s="43"/>
      <c r="O1960" s="43"/>
      <c r="P1960" s="43"/>
      <c r="Q1960" s="43"/>
      <c r="R1960" s="43"/>
      <c r="S1960" s="43"/>
      <c r="T1960" s="43"/>
      <c r="U1960" s="43"/>
      <c r="V1960" s="43"/>
    </row>
    <row r="1961" spans="1:22" ht="15.75" customHeight="1" x14ac:dyDescent="0.2">
      <c r="A1961" s="40">
        <v>1859</v>
      </c>
      <c r="B1961" s="41" t="s">
        <v>604</v>
      </c>
      <c r="C1961" s="42" t="s">
        <v>1970</v>
      </c>
      <c r="D1961" s="42" t="s">
        <v>1289</v>
      </c>
      <c r="E1961" s="42" t="s">
        <v>65</v>
      </c>
      <c r="F1961" s="42" t="s">
        <v>1964</v>
      </c>
      <c r="G1961" s="42" t="s">
        <v>1909</v>
      </c>
      <c r="H1961" s="43"/>
      <c r="I1961" s="43"/>
      <c r="J1961" s="43"/>
      <c r="K1961" s="43"/>
      <c r="L1961" s="43"/>
      <c r="M1961" s="43"/>
      <c r="N1961" s="43"/>
      <c r="O1961" s="43"/>
      <c r="P1961" s="43"/>
      <c r="Q1961" s="43"/>
      <c r="R1961" s="43"/>
      <c r="S1961" s="43"/>
      <c r="T1961" s="43"/>
      <c r="U1961" s="43"/>
      <c r="V1961" s="43"/>
    </row>
    <row r="1962" spans="1:22" ht="15.75" customHeight="1" x14ac:dyDescent="0.2">
      <c r="A1962" s="40">
        <v>1459</v>
      </c>
      <c r="B1962" s="41" t="s">
        <v>261</v>
      </c>
      <c r="C1962" s="42" t="s">
        <v>1971</v>
      </c>
      <c r="D1962" s="42" t="s">
        <v>75</v>
      </c>
      <c r="E1962" s="42" t="s">
        <v>65</v>
      </c>
      <c r="F1962" s="42" t="s">
        <v>1964</v>
      </c>
      <c r="G1962" s="42" t="s">
        <v>1909</v>
      </c>
      <c r="H1962" s="43"/>
      <c r="I1962" s="43"/>
      <c r="J1962" s="43"/>
      <c r="K1962" s="43"/>
      <c r="L1962" s="43"/>
      <c r="M1962" s="43"/>
      <c r="N1962" s="43"/>
      <c r="O1962" s="43"/>
      <c r="P1962" s="43"/>
      <c r="Q1962" s="43"/>
      <c r="R1962" s="43"/>
      <c r="S1962" s="43"/>
      <c r="T1962" s="43"/>
      <c r="U1962" s="43"/>
      <c r="V1962" s="43"/>
    </row>
    <row r="1963" spans="1:22" ht="15.75" customHeight="1" x14ac:dyDescent="0.2">
      <c r="A1963" s="40">
        <v>1905</v>
      </c>
      <c r="B1963" s="41" t="s">
        <v>277</v>
      </c>
      <c r="C1963" s="42" t="s">
        <v>1971</v>
      </c>
      <c r="D1963" s="42" t="s">
        <v>75</v>
      </c>
      <c r="E1963" s="42" t="s">
        <v>65</v>
      </c>
      <c r="F1963" s="42" t="s">
        <v>1964</v>
      </c>
      <c r="G1963" s="42" t="s">
        <v>1909</v>
      </c>
      <c r="H1963" s="43"/>
      <c r="I1963" s="43"/>
      <c r="J1963" s="43"/>
      <c r="K1963" s="43"/>
      <c r="L1963" s="43"/>
      <c r="M1963" s="43"/>
      <c r="N1963" s="43"/>
      <c r="O1963" s="43"/>
      <c r="P1963" s="43"/>
      <c r="Q1963" s="43"/>
      <c r="R1963" s="43"/>
      <c r="S1963" s="43"/>
      <c r="T1963" s="43"/>
      <c r="U1963" s="43"/>
      <c r="V1963" s="43"/>
    </row>
    <row r="1964" spans="1:22" ht="15.75" customHeight="1" x14ac:dyDescent="0.2">
      <c r="A1964" s="40"/>
      <c r="B1964" s="45" t="s">
        <v>815</v>
      </c>
      <c r="C1964" s="46" t="s">
        <v>1972</v>
      </c>
      <c r="D1964" s="46" t="s">
        <v>852</v>
      </c>
      <c r="E1964" s="46" t="s">
        <v>836</v>
      </c>
      <c r="F1964" s="46" t="s">
        <v>1973</v>
      </c>
      <c r="G1964" s="46" t="s">
        <v>1909</v>
      </c>
      <c r="H1964" s="43"/>
      <c r="I1964" s="43"/>
      <c r="J1964" s="43"/>
      <c r="K1964" s="43"/>
      <c r="L1964" s="43"/>
      <c r="M1964" s="43"/>
      <c r="N1964" s="43"/>
      <c r="O1964" s="43"/>
      <c r="P1964" s="43"/>
      <c r="Q1964" s="43"/>
      <c r="R1964" s="43"/>
      <c r="S1964" s="43"/>
      <c r="T1964" s="43"/>
      <c r="U1964" s="43"/>
      <c r="V1964" s="43"/>
    </row>
    <row r="1965" spans="1:22" ht="15.75" customHeight="1" x14ac:dyDescent="0.2">
      <c r="A1965" s="40"/>
      <c r="B1965" s="45" t="s">
        <v>523</v>
      </c>
      <c r="C1965" s="46" t="s">
        <v>1974</v>
      </c>
      <c r="D1965" s="46" t="s">
        <v>78</v>
      </c>
      <c r="E1965" s="46" t="s">
        <v>326</v>
      </c>
      <c r="F1965" s="46" t="s">
        <v>1973</v>
      </c>
      <c r="G1965" s="46" t="s">
        <v>1909</v>
      </c>
      <c r="H1965" s="43"/>
      <c r="I1965" s="43"/>
      <c r="J1965" s="43"/>
      <c r="K1965" s="43"/>
      <c r="L1965" s="43"/>
      <c r="M1965" s="43"/>
      <c r="N1965" s="43"/>
      <c r="O1965" s="43"/>
      <c r="P1965" s="43"/>
      <c r="Q1965" s="43"/>
      <c r="R1965" s="43"/>
      <c r="S1965" s="43"/>
      <c r="T1965" s="43"/>
      <c r="U1965" s="43"/>
      <c r="V1965" s="43"/>
    </row>
    <row r="1966" spans="1:22" ht="15.75" customHeight="1" x14ac:dyDescent="0.2">
      <c r="A1966" s="40"/>
      <c r="B1966" s="45" t="s">
        <v>1975</v>
      </c>
      <c r="C1966" s="46" t="s">
        <v>1976</v>
      </c>
      <c r="D1966" s="46" t="s">
        <v>78</v>
      </c>
      <c r="E1966" s="46" t="s">
        <v>306</v>
      </c>
      <c r="F1966" s="46" t="s">
        <v>1973</v>
      </c>
      <c r="G1966" s="46" t="s">
        <v>1909</v>
      </c>
      <c r="H1966" s="43"/>
      <c r="I1966" s="43"/>
      <c r="J1966" s="43"/>
      <c r="K1966" s="43"/>
      <c r="L1966" s="43"/>
      <c r="M1966" s="43"/>
      <c r="N1966" s="43"/>
      <c r="O1966" s="43"/>
      <c r="P1966" s="43"/>
      <c r="Q1966" s="43"/>
      <c r="R1966" s="43"/>
      <c r="S1966" s="43"/>
      <c r="T1966" s="43"/>
      <c r="U1966" s="43"/>
      <c r="V1966" s="43"/>
    </row>
    <row r="1967" spans="1:22" ht="15.75" customHeight="1" x14ac:dyDescent="0.2">
      <c r="A1967" s="40"/>
      <c r="B1967" s="45" t="s">
        <v>815</v>
      </c>
      <c r="C1967" s="46" t="s">
        <v>57</v>
      </c>
      <c r="D1967" s="46" t="s">
        <v>58</v>
      </c>
      <c r="E1967" s="46" t="s">
        <v>334</v>
      </c>
      <c r="F1967" s="46" t="s">
        <v>1973</v>
      </c>
      <c r="G1967" s="46" t="s">
        <v>1909</v>
      </c>
      <c r="H1967" s="43"/>
      <c r="I1967" s="43"/>
      <c r="J1967" s="43"/>
      <c r="K1967" s="43"/>
      <c r="L1967" s="43"/>
      <c r="M1967" s="43"/>
      <c r="N1967" s="43"/>
      <c r="O1967" s="43"/>
      <c r="P1967" s="43"/>
      <c r="Q1967" s="43"/>
      <c r="R1967" s="43"/>
      <c r="S1967" s="43"/>
      <c r="T1967" s="43"/>
      <c r="U1967" s="43"/>
      <c r="V1967" s="43"/>
    </row>
    <row r="1968" spans="1:22" ht="15.75" customHeight="1" x14ac:dyDescent="0.2">
      <c r="A1968" s="40"/>
      <c r="B1968" s="45" t="s">
        <v>807</v>
      </c>
      <c r="C1968" s="46" t="s">
        <v>1163</v>
      </c>
      <c r="D1968" s="46" t="s">
        <v>557</v>
      </c>
      <c r="E1968" s="46" t="s">
        <v>306</v>
      </c>
      <c r="F1968" s="46" t="s">
        <v>1973</v>
      </c>
      <c r="G1968" s="46" t="s">
        <v>1909</v>
      </c>
      <c r="H1968" s="43"/>
      <c r="I1968" s="43"/>
      <c r="J1968" s="43"/>
      <c r="K1968" s="43"/>
      <c r="L1968" s="43"/>
      <c r="M1968" s="43"/>
      <c r="N1968" s="43"/>
      <c r="O1968" s="43"/>
      <c r="P1968" s="43"/>
      <c r="Q1968" s="43"/>
      <c r="R1968" s="43"/>
      <c r="S1968" s="43"/>
      <c r="T1968" s="43"/>
      <c r="U1968" s="43"/>
      <c r="V1968" s="43"/>
    </row>
    <row r="1969" spans="1:22" ht="15.75" customHeight="1" x14ac:dyDescent="0.2">
      <c r="A1969" s="40"/>
      <c r="B1969" s="45" t="s">
        <v>736</v>
      </c>
      <c r="C1969" s="46" t="s">
        <v>1455</v>
      </c>
      <c r="D1969" s="46" t="s">
        <v>809</v>
      </c>
      <c r="E1969" s="46" t="s">
        <v>424</v>
      </c>
      <c r="F1969" s="46" t="s">
        <v>1973</v>
      </c>
      <c r="G1969" s="46" t="s">
        <v>1909</v>
      </c>
      <c r="H1969" s="43"/>
      <c r="I1969" s="43"/>
      <c r="J1969" s="43"/>
      <c r="K1969" s="43"/>
      <c r="L1969" s="43"/>
      <c r="M1969" s="43"/>
      <c r="N1969" s="43"/>
      <c r="O1969" s="43"/>
      <c r="P1969" s="43"/>
      <c r="Q1969" s="43"/>
      <c r="R1969" s="43"/>
      <c r="S1969" s="43"/>
      <c r="T1969" s="43"/>
      <c r="U1969" s="43"/>
      <c r="V1969" s="43"/>
    </row>
    <row r="1970" spans="1:22" ht="15.75" customHeight="1" x14ac:dyDescent="0.2">
      <c r="A1970" s="40"/>
      <c r="B1970" s="45" t="s">
        <v>1977</v>
      </c>
      <c r="C1970" s="46" t="s">
        <v>1978</v>
      </c>
      <c r="D1970" s="46" t="s">
        <v>21</v>
      </c>
      <c r="E1970" s="46" t="s">
        <v>571</v>
      </c>
      <c r="F1970" s="46" t="s">
        <v>1973</v>
      </c>
      <c r="G1970" s="46" t="s">
        <v>1909</v>
      </c>
      <c r="H1970" s="43"/>
      <c r="I1970" s="43"/>
      <c r="J1970" s="43"/>
      <c r="K1970" s="43"/>
      <c r="L1970" s="43"/>
      <c r="M1970" s="43"/>
      <c r="N1970" s="43"/>
      <c r="O1970" s="43"/>
      <c r="P1970" s="43"/>
      <c r="Q1970" s="43"/>
      <c r="R1970" s="43"/>
      <c r="S1970" s="43"/>
      <c r="T1970" s="43"/>
      <c r="U1970" s="43"/>
      <c r="V1970" s="43"/>
    </row>
    <row r="1971" spans="1:22" ht="15.75" customHeight="1" x14ac:dyDescent="0.2">
      <c r="A1971" s="40"/>
      <c r="B1971" s="45" t="s">
        <v>815</v>
      </c>
      <c r="C1971" s="46" t="s">
        <v>1979</v>
      </c>
      <c r="D1971" s="46" t="s">
        <v>1980</v>
      </c>
      <c r="E1971" s="46" t="s">
        <v>1981</v>
      </c>
      <c r="F1971" s="46" t="s">
        <v>1973</v>
      </c>
      <c r="G1971" s="46" t="s">
        <v>1909</v>
      </c>
      <c r="H1971" s="43"/>
      <c r="I1971" s="43"/>
      <c r="J1971" s="43"/>
      <c r="K1971" s="43"/>
      <c r="L1971" s="43"/>
      <c r="M1971" s="43"/>
      <c r="N1971" s="43"/>
      <c r="O1971" s="43"/>
      <c r="P1971" s="43"/>
      <c r="Q1971" s="43"/>
      <c r="R1971" s="43"/>
      <c r="S1971" s="43"/>
      <c r="T1971" s="43"/>
      <c r="U1971" s="43"/>
      <c r="V1971" s="43"/>
    </row>
    <row r="1972" spans="1:22" ht="15.75" customHeight="1" x14ac:dyDescent="0.2">
      <c r="A1972" s="40"/>
      <c r="B1972" s="45" t="s">
        <v>807</v>
      </c>
      <c r="C1972" s="46" t="s">
        <v>1982</v>
      </c>
      <c r="D1972" s="46" t="s">
        <v>266</v>
      </c>
      <c r="E1972" s="46" t="s">
        <v>567</v>
      </c>
      <c r="F1972" s="46" t="s">
        <v>1973</v>
      </c>
      <c r="G1972" s="46" t="s">
        <v>1909</v>
      </c>
      <c r="H1972" s="43"/>
      <c r="I1972" s="43"/>
      <c r="J1972" s="43"/>
      <c r="K1972" s="43"/>
      <c r="L1972" s="43"/>
      <c r="M1972" s="43"/>
      <c r="N1972" s="43"/>
      <c r="O1972" s="43"/>
      <c r="P1972" s="43"/>
      <c r="Q1972" s="43"/>
      <c r="R1972" s="43"/>
      <c r="S1972" s="43"/>
      <c r="T1972" s="43"/>
      <c r="U1972" s="43"/>
      <c r="V1972" s="43"/>
    </row>
    <row r="1973" spans="1:22" ht="15.75" customHeight="1" x14ac:dyDescent="0.2">
      <c r="A1973" s="40"/>
      <c r="B1973" s="45" t="s">
        <v>815</v>
      </c>
      <c r="C1973" s="46" t="s">
        <v>1983</v>
      </c>
      <c r="D1973" s="46" t="s">
        <v>28</v>
      </c>
      <c r="E1973" s="46" t="s">
        <v>1217</v>
      </c>
      <c r="F1973" s="46" t="s">
        <v>1973</v>
      </c>
      <c r="G1973" s="46" t="s">
        <v>1909</v>
      </c>
      <c r="H1973" s="43"/>
      <c r="I1973" s="43"/>
      <c r="J1973" s="43"/>
      <c r="K1973" s="43"/>
      <c r="L1973" s="43"/>
      <c r="M1973" s="43"/>
      <c r="N1973" s="43"/>
      <c r="O1973" s="43"/>
      <c r="P1973" s="43"/>
      <c r="Q1973" s="43"/>
      <c r="R1973" s="43"/>
      <c r="S1973" s="43"/>
      <c r="T1973" s="43"/>
      <c r="U1973" s="43"/>
      <c r="V1973" s="43"/>
    </row>
    <row r="1974" spans="1:22" ht="15.75" customHeight="1" x14ac:dyDescent="0.2">
      <c r="A1974" s="40"/>
      <c r="B1974" s="45" t="s">
        <v>736</v>
      </c>
      <c r="C1974" s="46" t="s">
        <v>366</v>
      </c>
      <c r="D1974" s="46" t="s">
        <v>186</v>
      </c>
      <c r="E1974" s="46" t="s">
        <v>237</v>
      </c>
      <c r="F1974" s="46" t="s">
        <v>1973</v>
      </c>
      <c r="G1974" s="46" t="s">
        <v>1909</v>
      </c>
      <c r="H1974" s="43"/>
      <c r="I1974" s="43"/>
      <c r="J1974" s="43"/>
      <c r="K1974" s="43"/>
      <c r="L1974" s="43"/>
      <c r="M1974" s="43"/>
      <c r="N1974" s="43"/>
      <c r="O1974" s="43"/>
      <c r="P1974" s="43"/>
      <c r="Q1974" s="43"/>
      <c r="R1974" s="43"/>
      <c r="S1974" s="43"/>
      <c r="T1974" s="43"/>
      <c r="U1974" s="43"/>
      <c r="V1974" s="43"/>
    </row>
    <row r="1975" spans="1:22" ht="15.75" customHeight="1" x14ac:dyDescent="0.2">
      <c r="A1975" s="40">
        <v>127</v>
      </c>
      <c r="B1975" s="41" t="s">
        <v>360</v>
      </c>
      <c r="C1975" s="42" t="s">
        <v>1343</v>
      </c>
      <c r="D1975" s="42" t="s">
        <v>1984</v>
      </c>
      <c r="E1975" s="42" t="s">
        <v>1985</v>
      </c>
      <c r="F1975" s="42" t="s">
        <v>1986</v>
      </c>
      <c r="G1975" s="42" t="s">
        <v>1909</v>
      </c>
      <c r="H1975" s="43"/>
      <c r="I1975" s="43"/>
      <c r="J1975" s="43"/>
      <c r="K1975" s="43"/>
      <c r="L1975" s="43"/>
      <c r="M1975" s="43"/>
      <c r="N1975" s="43"/>
      <c r="O1975" s="43"/>
      <c r="P1975" s="43"/>
      <c r="Q1975" s="43"/>
      <c r="R1975" s="43"/>
      <c r="S1975" s="43"/>
      <c r="T1975" s="43"/>
      <c r="U1975" s="43"/>
      <c r="V1975" s="43"/>
    </row>
    <row r="1976" spans="1:22" ht="15.75" customHeight="1" x14ac:dyDescent="0.2">
      <c r="A1976" s="40"/>
      <c r="B1976" s="45" t="s">
        <v>114</v>
      </c>
      <c r="C1976" s="46" t="s">
        <v>1987</v>
      </c>
      <c r="D1976" s="46" t="s">
        <v>1627</v>
      </c>
      <c r="E1976" s="46" t="s">
        <v>1352</v>
      </c>
      <c r="F1976" s="46" t="s">
        <v>1986</v>
      </c>
      <c r="G1976" s="46" t="s">
        <v>1909</v>
      </c>
      <c r="H1976" s="43"/>
      <c r="I1976" s="43"/>
      <c r="J1976" s="43"/>
      <c r="K1976" s="43"/>
      <c r="L1976" s="43"/>
      <c r="M1976" s="43"/>
      <c r="N1976" s="43"/>
      <c r="O1976" s="43"/>
      <c r="P1976" s="43"/>
      <c r="Q1976" s="43"/>
      <c r="R1976" s="43"/>
      <c r="S1976" s="43"/>
      <c r="T1976" s="43"/>
      <c r="U1976" s="43"/>
      <c r="V1976" s="43"/>
    </row>
    <row r="1977" spans="1:22" ht="15.75" customHeight="1" x14ac:dyDescent="0.2">
      <c r="A1977" s="40"/>
      <c r="B1977" s="45" t="s">
        <v>300</v>
      </c>
      <c r="C1977" s="46" t="s">
        <v>1343</v>
      </c>
      <c r="D1977" s="46" t="s">
        <v>1984</v>
      </c>
      <c r="E1977" s="46" t="s">
        <v>1985</v>
      </c>
      <c r="F1977" s="46" t="s">
        <v>1986</v>
      </c>
      <c r="G1977" s="46" t="s">
        <v>1909</v>
      </c>
      <c r="H1977" s="43"/>
      <c r="I1977" s="43"/>
      <c r="J1977" s="43"/>
      <c r="K1977" s="43"/>
      <c r="L1977" s="43"/>
      <c r="M1977" s="43"/>
      <c r="N1977" s="43"/>
      <c r="O1977" s="43"/>
      <c r="P1977" s="43"/>
      <c r="Q1977" s="43"/>
      <c r="R1977" s="43"/>
      <c r="S1977" s="43"/>
      <c r="T1977" s="43"/>
      <c r="U1977" s="43"/>
      <c r="V1977" s="43"/>
    </row>
    <row r="1978" spans="1:22" ht="15.75" customHeight="1" x14ac:dyDescent="0.2">
      <c r="A1978" s="40"/>
      <c r="B1978" s="45" t="s">
        <v>102</v>
      </c>
      <c r="C1978" s="46" t="s">
        <v>1343</v>
      </c>
      <c r="D1978" s="46" t="s">
        <v>1984</v>
      </c>
      <c r="E1978" s="46" t="s">
        <v>1985</v>
      </c>
      <c r="F1978" s="46" t="s">
        <v>1986</v>
      </c>
      <c r="G1978" s="46" t="s">
        <v>1909</v>
      </c>
      <c r="H1978" s="43"/>
      <c r="I1978" s="43"/>
      <c r="J1978" s="43"/>
      <c r="K1978" s="43"/>
      <c r="L1978" s="43"/>
      <c r="M1978" s="43"/>
      <c r="N1978" s="43"/>
      <c r="O1978" s="43"/>
      <c r="P1978" s="43"/>
      <c r="Q1978" s="43"/>
      <c r="R1978" s="43"/>
      <c r="S1978" s="43"/>
      <c r="T1978" s="43"/>
      <c r="U1978" s="43"/>
      <c r="V1978" s="43"/>
    </row>
    <row r="1979" spans="1:22" ht="15.75" customHeight="1" x14ac:dyDescent="0.2">
      <c r="A1979" s="40"/>
      <c r="B1979" s="45" t="s">
        <v>297</v>
      </c>
      <c r="C1979" s="46" t="s">
        <v>1988</v>
      </c>
      <c r="D1979" s="46" t="s">
        <v>75</v>
      </c>
      <c r="E1979" s="46" t="s">
        <v>1989</v>
      </c>
      <c r="F1979" s="46" t="s">
        <v>1986</v>
      </c>
      <c r="G1979" s="46" t="s">
        <v>1909</v>
      </c>
      <c r="H1979" s="43"/>
      <c r="I1979" s="43"/>
      <c r="J1979" s="43"/>
      <c r="K1979" s="43"/>
      <c r="L1979" s="43"/>
      <c r="M1979" s="43"/>
      <c r="N1979" s="43"/>
      <c r="O1979" s="43"/>
      <c r="P1979" s="43"/>
      <c r="Q1979" s="43"/>
      <c r="R1979" s="43"/>
      <c r="S1979" s="43"/>
      <c r="T1979" s="43"/>
      <c r="U1979" s="43"/>
      <c r="V1979" s="43"/>
    </row>
    <row r="1980" spans="1:22" ht="15.75" customHeight="1" x14ac:dyDescent="0.2">
      <c r="A1980" s="40"/>
      <c r="B1980" s="45" t="s">
        <v>126</v>
      </c>
      <c r="C1980" s="46" t="s">
        <v>1990</v>
      </c>
      <c r="D1980" s="46" t="s">
        <v>1627</v>
      </c>
      <c r="E1980" s="46" t="s">
        <v>1981</v>
      </c>
      <c r="F1980" s="46" t="s">
        <v>1986</v>
      </c>
      <c r="G1980" s="46" t="s">
        <v>1909</v>
      </c>
      <c r="H1980" s="43"/>
      <c r="I1980" s="43"/>
      <c r="J1980" s="43"/>
      <c r="K1980" s="43"/>
      <c r="L1980" s="43"/>
      <c r="M1980" s="43"/>
      <c r="N1980" s="43"/>
      <c r="O1980" s="43"/>
      <c r="P1980" s="43"/>
      <c r="Q1980" s="43"/>
      <c r="R1980" s="43"/>
      <c r="S1980" s="43"/>
      <c r="T1980" s="43"/>
      <c r="U1980" s="43"/>
      <c r="V1980" s="43"/>
    </row>
    <row r="1981" spans="1:22" ht="15.75" customHeight="1" x14ac:dyDescent="0.2">
      <c r="A1981" s="40"/>
      <c r="B1981" s="45" t="s">
        <v>131</v>
      </c>
      <c r="C1981" s="46" t="s">
        <v>1990</v>
      </c>
      <c r="D1981" s="46" t="s">
        <v>1627</v>
      </c>
      <c r="E1981" s="46" t="s">
        <v>1981</v>
      </c>
      <c r="F1981" s="46" t="s">
        <v>1986</v>
      </c>
      <c r="G1981" s="46" t="s">
        <v>1909</v>
      </c>
      <c r="H1981" s="43"/>
      <c r="I1981" s="43"/>
      <c r="J1981" s="43"/>
      <c r="K1981" s="43"/>
      <c r="L1981" s="43"/>
      <c r="M1981" s="43"/>
      <c r="N1981" s="43"/>
      <c r="O1981" s="43"/>
      <c r="P1981" s="43"/>
      <c r="Q1981" s="43"/>
      <c r="R1981" s="43"/>
      <c r="S1981" s="43"/>
      <c r="T1981" s="43"/>
      <c r="U1981" s="43"/>
      <c r="V1981" s="43"/>
    </row>
    <row r="1982" spans="1:22" ht="15.75" customHeight="1" x14ac:dyDescent="0.2">
      <c r="A1982" s="40"/>
      <c r="B1982" s="45" t="s">
        <v>316</v>
      </c>
      <c r="C1982" s="46" t="s">
        <v>1991</v>
      </c>
      <c r="D1982" s="46" t="s">
        <v>373</v>
      </c>
      <c r="E1982" s="46" t="s">
        <v>1925</v>
      </c>
      <c r="F1982" s="46" t="s">
        <v>1986</v>
      </c>
      <c r="G1982" s="46" t="s">
        <v>1909</v>
      </c>
      <c r="H1982" s="43"/>
      <c r="I1982" s="43"/>
      <c r="J1982" s="43"/>
      <c r="K1982" s="43"/>
      <c r="L1982" s="43"/>
      <c r="M1982" s="43"/>
      <c r="N1982" s="43"/>
      <c r="O1982" s="43"/>
      <c r="P1982" s="43"/>
      <c r="Q1982" s="43"/>
      <c r="R1982" s="43"/>
      <c r="S1982" s="43"/>
      <c r="T1982" s="43"/>
      <c r="U1982" s="43"/>
      <c r="V1982" s="43"/>
    </row>
    <row r="1983" spans="1:22" ht="15.75" customHeight="1" x14ac:dyDescent="0.2">
      <c r="A1983" s="40"/>
      <c r="B1983" s="45" t="s">
        <v>102</v>
      </c>
      <c r="C1983" s="46" t="s">
        <v>1991</v>
      </c>
      <c r="D1983" s="46" t="s">
        <v>373</v>
      </c>
      <c r="E1983" s="46" t="s">
        <v>1925</v>
      </c>
      <c r="F1983" s="46" t="s">
        <v>1986</v>
      </c>
      <c r="G1983" s="46" t="s">
        <v>1909</v>
      </c>
      <c r="H1983" s="43"/>
      <c r="I1983" s="43"/>
      <c r="J1983" s="43"/>
      <c r="K1983" s="43"/>
      <c r="L1983" s="43"/>
      <c r="M1983" s="43"/>
      <c r="N1983" s="43"/>
      <c r="O1983" s="43"/>
      <c r="P1983" s="43"/>
      <c r="Q1983" s="43"/>
      <c r="R1983" s="43"/>
      <c r="S1983" s="43"/>
      <c r="T1983" s="43"/>
      <c r="U1983" s="43"/>
      <c r="V1983" s="43"/>
    </row>
    <row r="1984" spans="1:22" ht="15.75" customHeight="1" x14ac:dyDescent="0.2">
      <c r="A1984" s="40"/>
      <c r="B1984" s="45" t="s">
        <v>818</v>
      </c>
      <c r="C1984" s="46" t="s">
        <v>1992</v>
      </c>
      <c r="D1984" s="46" t="s">
        <v>809</v>
      </c>
      <c r="E1984" s="46" t="s">
        <v>112</v>
      </c>
      <c r="F1984" s="46" t="s">
        <v>1986</v>
      </c>
      <c r="G1984" s="46" t="s">
        <v>1909</v>
      </c>
      <c r="H1984" s="43"/>
      <c r="I1984" s="43"/>
      <c r="J1984" s="43"/>
      <c r="K1984" s="43"/>
      <c r="L1984" s="43"/>
      <c r="M1984" s="43"/>
      <c r="N1984" s="43"/>
      <c r="O1984" s="43"/>
      <c r="P1984" s="43"/>
      <c r="Q1984" s="43"/>
      <c r="R1984" s="43"/>
      <c r="S1984" s="43"/>
      <c r="T1984" s="43"/>
      <c r="U1984" s="43"/>
      <c r="V1984" s="43"/>
    </row>
    <row r="1985" spans="1:22" ht="15.75" customHeight="1" x14ac:dyDescent="0.2">
      <c r="A1985" s="40"/>
      <c r="B1985" s="45" t="s">
        <v>315</v>
      </c>
      <c r="C1985" s="46" t="s">
        <v>253</v>
      </c>
      <c r="D1985" s="46" t="s">
        <v>376</v>
      </c>
      <c r="E1985" s="46" t="s">
        <v>1993</v>
      </c>
      <c r="F1985" s="46" t="s">
        <v>1986</v>
      </c>
      <c r="G1985" s="46" t="s">
        <v>1909</v>
      </c>
      <c r="H1985" s="43"/>
      <c r="I1985" s="43"/>
      <c r="J1985" s="43"/>
      <c r="K1985" s="43"/>
      <c r="L1985" s="43"/>
      <c r="M1985" s="43"/>
      <c r="N1985" s="43"/>
      <c r="O1985" s="43"/>
      <c r="P1985" s="43"/>
      <c r="Q1985" s="43"/>
      <c r="R1985" s="43"/>
      <c r="S1985" s="43"/>
      <c r="T1985" s="43"/>
      <c r="U1985" s="43"/>
      <c r="V1985" s="43"/>
    </row>
    <row r="1986" spans="1:22" ht="15.75" customHeight="1" x14ac:dyDescent="0.2">
      <c r="A1986" s="40"/>
      <c r="B1986" s="45" t="s">
        <v>300</v>
      </c>
      <c r="C1986" s="46" t="s">
        <v>1994</v>
      </c>
      <c r="D1986" s="46" t="s">
        <v>441</v>
      </c>
      <c r="E1986" s="46" t="s">
        <v>32</v>
      </c>
      <c r="F1986" s="46" t="s">
        <v>1986</v>
      </c>
      <c r="G1986" s="46" t="s">
        <v>1909</v>
      </c>
      <c r="H1986" s="43"/>
      <c r="I1986" s="43"/>
      <c r="J1986" s="43"/>
      <c r="K1986" s="43"/>
      <c r="L1986" s="43"/>
      <c r="M1986" s="43"/>
      <c r="N1986" s="43"/>
      <c r="O1986" s="43"/>
      <c r="P1986" s="43"/>
      <c r="Q1986" s="43"/>
      <c r="R1986" s="43"/>
      <c r="S1986" s="43"/>
      <c r="T1986" s="43"/>
      <c r="U1986" s="43"/>
      <c r="V1986" s="43"/>
    </row>
    <row r="1987" spans="1:22" ht="15.75" customHeight="1" x14ac:dyDescent="0.2">
      <c r="A1987" s="40"/>
      <c r="B1987" s="45" t="s">
        <v>102</v>
      </c>
      <c r="C1987" s="46" t="s">
        <v>1994</v>
      </c>
      <c r="D1987" s="46" t="s">
        <v>441</v>
      </c>
      <c r="E1987" s="46" t="s">
        <v>32</v>
      </c>
      <c r="F1987" s="46" t="s">
        <v>1986</v>
      </c>
      <c r="G1987" s="46" t="s">
        <v>1909</v>
      </c>
      <c r="H1987" s="43"/>
      <c r="I1987" s="43"/>
      <c r="J1987" s="43"/>
      <c r="K1987" s="43"/>
      <c r="L1987" s="43"/>
      <c r="M1987" s="43"/>
      <c r="N1987" s="43"/>
      <c r="O1987" s="43"/>
      <c r="P1987" s="43"/>
      <c r="Q1987" s="43"/>
      <c r="R1987" s="43"/>
      <c r="S1987" s="43"/>
      <c r="T1987" s="43"/>
      <c r="U1987" s="43"/>
      <c r="V1987" s="43"/>
    </row>
    <row r="1988" spans="1:22" ht="15.75" customHeight="1" x14ac:dyDescent="0.2">
      <c r="A1988" s="40"/>
      <c r="B1988" s="45" t="s">
        <v>323</v>
      </c>
      <c r="C1988" s="46" t="s">
        <v>1995</v>
      </c>
      <c r="D1988" s="46" t="s">
        <v>906</v>
      </c>
      <c r="E1988" s="46" t="s">
        <v>1811</v>
      </c>
      <c r="F1988" s="46" t="s">
        <v>1996</v>
      </c>
      <c r="G1988" s="46" t="s">
        <v>1909</v>
      </c>
      <c r="H1988" s="43"/>
      <c r="I1988" s="43"/>
      <c r="J1988" s="43"/>
      <c r="K1988" s="43"/>
      <c r="L1988" s="43"/>
      <c r="M1988" s="43"/>
      <c r="N1988" s="43"/>
      <c r="O1988" s="43"/>
      <c r="P1988" s="43"/>
      <c r="Q1988" s="43"/>
      <c r="R1988" s="43"/>
      <c r="S1988" s="43"/>
      <c r="T1988" s="43"/>
      <c r="U1988" s="43"/>
      <c r="V1988" s="43"/>
    </row>
    <row r="1989" spans="1:22" ht="15.75" customHeight="1" x14ac:dyDescent="0.2">
      <c r="A1989" s="40"/>
      <c r="B1989" s="45" t="s">
        <v>108</v>
      </c>
      <c r="C1989" s="46" t="s">
        <v>1995</v>
      </c>
      <c r="D1989" s="46" t="s">
        <v>906</v>
      </c>
      <c r="E1989" s="46" t="s">
        <v>1811</v>
      </c>
      <c r="F1989" s="46" t="s">
        <v>1996</v>
      </c>
      <c r="G1989" s="46" t="s">
        <v>1909</v>
      </c>
      <c r="H1989" s="43"/>
      <c r="I1989" s="43"/>
      <c r="J1989" s="43"/>
      <c r="K1989" s="43"/>
      <c r="L1989" s="43"/>
      <c r="M1989" s="43"/>
      <c r="N1989" s="43"/>
      <c r="O1989" s="43"/>
      <c r="P1989" s="43"/>
      <c r="Q1989" s="43"/>
      <c r="R1989" s="43"/>
      <c r="S1989" s="43"/>
      <c r="T1989" s="43"/>
      <c r="U1989" s="43"/>
      <c r="V1989" s="43"/>
    </row>
    <row r="1990" spans="1:22" ht="15.75" customHeight="1" x14ac:dyDescent="0.2">
      <c r="A1990" s="40"/>
      <c r="B1990" s="45" t="s">
        <v>303</v>
      </c>
      <c r="C1990" s="46" t="s">
        <v>1995</v>
      </c>
      <c r="D1990" s="46" t="s">
        <v>906</v>
      </c>
      <c r="E1990" s="46" t="s">
        <v>1811</v>
      </c>
      <c r="F1990" s="46" t="s">
        <v>1996</v>
      </c>
      <c r="G1990" s="46" t="s">
        <v>1909</v>
      </c>
      <c r="H1990" s="43"/>
      <c r="I1990" s="43"/>
      <c r="J1990" s="43"/>
      <c r="K1990" s="43"/>
      <c r="L1990" s="43"/>
      <c r="M1990" s="43"/>
      <c r="N1990" s="43"/>
      <c r="O1990" s="43"/>
      <c r="P1990" s="43"/>
      <c r="Q1990" s="43"/>
      <c r="R1990" s="43"/>
      <c r="S1990" s="43"/>
      <c r="T1990" s="43"/>
      <c r="U1990" s="43"/>
      <c r="V1990" s="43"/>
    </row>
    <row r="1991" spans="1:22" ht="15.75" customHeight="1" x14ac:dyDescent="0.2">
      <c r="A1991" s="40"/>
      <c r="B1991" s="45" t="s">
        <v>315</v>
      </c>
      <c r="C1991" s="46" t="s">
        <v>1997</v>
      </c>
      <c r="D1991" s="46" t="s">
        <v>1998</v>
      </c>
      <c r="E1991" s="46" t="s">
        <v>83</v>
      </c>
      <c r="F1991" s="46" t="s">
        <v>1999</v>
      </c>
      <c r="G1991" s="46" t="s">
        <v>1909</v>
      </c>
    </row>
    <row r="1992" spans="1:22" ht="15.75" customHeight="1" x14ac:dyDescent="0.2">
      <c r="A1992" s="40"/>
      <c r="B1992" s="45" t="s">
        <v>316</v>
      </c>
      <c r="C1992" s="46" t="s">
        <v>1997</v>
      </c>
      <c r="D1992" s="46" t="s">
        <v>1998</v>
      </c>
      <c r="E1992" s="46" t="s">
        <v>83</v>
      </c>
      <c r="F1992" s="46" t="s">
        <v>1999</v>
      </c>
      <c r="G1992" s="46" t="s">
        <v>1909</v>
      </c>
      <c r="H1992" s="43"/>
      <c r="I1992" s="43"/>
      <c r="J1992" s="43"/>
      <c r="K1992" s="43"/>
      <c r="L1992" s="43"/>
      <c r="M1992" s="43"/>
      <c r="N1992" s="43"/>
      <c r="O1992" s="43"/>
      <c r="P1992" s="43"/>
      <c r="Q1992" s="43"/>
      <c r="R1992" s="43"/>
      <c r="S1992" s="43"/>
      <c r="T1992" s="43"/>
      <c r="U1992" s="43"/>
      <c r="V1992" s="43"/>
    </row>
    <row r="1993" spans="1:22" ht="15.75" customHeight="1" x14ac:dyDescent="0.2">
      <c r="A1993" s="40">
        <v>1607</v>
      </c>
      <c r="B1993" s="41" t="s">
        <v>264</v>
      </c>
      <c r="C1993" s="42" t="s">
        <v>2000</v>
      </c>
      <c r="D1993" s="42" t="s">
        <v>2001</v>
      </c>
      <c r="E1993" s="42" t="s">
        <v>2002</v>
      </c>
      <c r="F1993" s="42" t="s">
        <v>1999</v>
      </c>
      <c r="G1993" s="42" t="s">
        <v>1909</v>
      </c>
      <c r="H1993" s="43"/>
      <c r="I1993" s="43"/>
      <c r="J1993" s="43"/>
      <c r="K1993" s="43"/>
      <c r="L1993" s="43"/>
      <c r="M1993" s="43"/>
      <c r="N1993" s="43"/>
      <c r="O1993" s="43"/>
      <c r="P1993" s="43"/>
      <c r="Q1993" s="43"/>
      <c r="R1993" s="43"/>
      <c r="S1993" s="43"/>
      <c r="T1993" s="43"/>
      <c r="U1993" s="43"/>
      <c r="V1993" s="43"/>
    </row>
    <row r="1994" spans="1:22" ht="15.75" customHeight="1" x14ac:dyDescent="0.2">
      <c r="A1994" s="40"/>
      <c r="B1994" s="45" t="s">
        <v>102</v>
      </c>
      <c r="C1994" s="46" t="s">
        <v>2000</v>
      </c>
      <c r="D1994" s="46" t="s">
        <v>2003</v>
      </c>
      <c r="E1994" s="46" t="s">
        <v>2002</v>
      </c>
      <c r="F1994" s="46" t="s">
        <v>1999</v>
      </c>
      <c r="G1994" s="46" t="s">
        <v>1909</v>
      </c>
    </row>
    <row r="1995" spans="1:22" ht="15.75" customHeight="1" x14ac:dyDescent="0.2">
      <c r="A1995" s="40"/>
      <c r="B1995" s="45" t="s">
        <v>315</v>
      </c>
      <c r="C1995" s="46" t="s">
        <v>2004</v>
      </c>
      <c r="D1995" s="46" t="s">
        <v>2005</v>
      </c>
      <c r="E1995" s="46" t="s">
        <v>2006</v>
      </c>
      <c r="F1995" s="46" t="s">
        <v>1999</v>
      </c>
      <c r="G1995" s="46" t="s">
        <v>1909</v>
      </c>
      <c r="H1995" s="43"/>
      <c r="I1995" s="43"/>
      <c r="J1995" s="43"/>
      <c r="K1995" s="43"/>
      <c r="L1995" s="43"/>
      <c r="M1995" s="43"/>
      <c r="N1995" s="43"/>
      <c r="O1995" s="43"/>
      <c r="P1995" s="43"/>
      <c r="Q1995" s="43"/>
      <c r="R1995" s="43"/>
      <c r="S1995" s="43"/>
      <c r="T1995" s="43"/>
      <c r="U1995" s="43"/>
      <c r="V1995" s="43"/>
    </row>
    <row r="1996" spans="1:22" ht="15.75" customHeight="1" x14ac:dyDescent="0.2">
      <c r="A1996" s="40"/>
      <c r="B1996" s="45" t="s">
        <v>323</v>
      </c>
      <c r="C1996" s="46" t="s">
        <v>2004</v>
      </c>
      <c r="D1996" s="46" t="s">
        <v>2005</v>
      </c>
      <c r="E1996" s="46" t="s">
        <v>2006</v>
      </c>
      <c r="F1996" s="46" t="s">
        <v>1999</v>
      </c>
      <c r="G1996" s="46" t="s">
        <v>1909</v>
      </c>
      <c r="H1996" s="43"/>
      <c r="I1996" s="43"/>
      <c r="J1996" s="43"/>
      <c r="K1996" s="43"/>
      <c r="L1996" s="43"/>
      <c r="M1996" s="43"/>
      <c r="N1996" s="43"/>
      <c r="O1996" s="43"/>
      <c r="P1996" s="43"/>
      <c r="Q1996" s="43"/>
      <c r="R1996" s="43"/>
      <c r="S1996" s="43"/>
      <c r="T1996" s="43"/>
      <c r="U1996" s="43"/>
      <c r="V1996" s="43"/>
    </row>
    <row r="1997" spans="1:22" ht="15.75" customHeight="1" x14ac:dyDescent="0.2">
      <c r="A1997" s="40"/>
      <c r="B1997" s="45" t="s">
        <v>102</v>
      </c>
      <c r="C1997" s="46" t="s">
        <v>2007</v>
      </c>
      <c r="D1997" s="46" t="s">
        <v>58</v>
      </c>
      <c r="E1997" s="46" t="s">
        <v>630</v>
      </c>
      <c r="F1997" s="46" t="s">
        <v>2008</v>
      </c>
      <c r="G1997" s="46" t="s">
        <v>2009</v>
      </c>
      <c r="H1997" s="43"/>
      <c r="I1997" s="43"/>
      <c r="J1997" s="43"/>
      <c r="K1997" s="43"/>
      <c r="L1997" s="43"/>
      <c r="M1997" s="43"/>
      <c r="N1997" s="43"/>
      <c r="O1997" s="43"/>
      <c r="P1997" s="43"/>
      <c r="Q1997" s="43"/>
      <c r="R1997" s="43"/>
      <c r="S1997" s="43"/>
      <c r="T1997" s="43"/>
      <c r="U1997" s="43"/>
      <c r="V1997" s="43"/>
    </row>
    <row r="1998" spans="1:22" ht="15.75" customHeight="1" x14ac:dyDescent="0.2">
      <c r="A1998" s="40"/>
      <c r="B1998" s="45" t="s">
        <v>232</v>
      </c>
      <c r="C1998" s="46" t="s">
        <v>2007</v>
      </c>
      <c r="D1998" s="46" t="s">
        <v>58</v>
      </c>
      <c r="E1998" s="46" t="s">
        <v>630</v>
      </c>
      <c r="F1998" s="46" t="s">
        <v>2008</v>
      </c>
      <c r="G1998" s="46" t="s">
        <v>2009</v>
      </c>
      <c r="H1998" s="43"/>
      <c r="I1998" s="43"/>
      <c r="J1998" s="43"/>
      <c r="K1998" s="43"/>
      <c r="L1998" s="43"/>
      <c r="M1998" s="43"/>
      <c r="N1998" s="43"/>
      <c r="O1998" s="43"/>
      <c r="P1998" s="43"/>
      <c r="Q1998" s="43"/>
      <c r="R1998" s="43"/>
      <c r="S1998" s="43"/>
      <c r="T1998" s="43"/>
      <c r="U1998" s="43"/>
      <c r="V1998" s="43"/>
    </row>
    <row r="1999" spans="1:22" ht="15.75" customHeight="1" x14ac:dyDescent="0.2">
      <c r="A1999" s="40"/>
      <c r="B1999" s="45" t="s">
        <v>303</v>
      </c>
      <c r="C1999" s="46" t="s">
        <v>2007</v>
      </c>
      <c r="D1999" s="46" t="s">
        <v>58</v>
      </c>
      <c r="E1999" s="46" t="s">
        <v>630</v>
      </c>
      <c r="F1999" s="46" t="s">
        <v>2008</v>
      </c>
      <c r="G1999" s="46" t="s">
        <v>2009</v>
      </c>
      <c r="H1999" s="43"/>
      <c r="I1999" s="43"/>
      <c r="J1999" s="43"/>
      <c r="K1999" s="43"/>
      <c r="L1999" s="43"/>
      <c r="M1999" s="43"/>
      <c r="N1999" s="43"/>
      <c r="O1999" s="43"/>
      <c r="P1999" s="43"/>
      <c r="Q1999" s="43"/>
      <c r="R1999" s="43"/>
      <c r="S1999" s="43"/>
      <c r="T1999" s="43"/>
      <c r="U1999" s="43"/>
      <c r="V1999" s="43"/>
    </row>
    <row r="2000" spans="1:22" ht="15.75" customHeight="1" x14ac:dyDescent="0.2">
      <c r="A2000" s="40"/>
      <c r="B2000" s="45" t="s">
        <v>94</v>
      </c>
      <c r="C2000" s="46" t="s">
        <v>2007</v>
      </c>
      <c r="D2000" s="46" t="s">
        <v>58</v>
      </c>
      <c r="E2000" s="46" t="s">
        <v>630</v>
      </c>
      <c r="F2000" s="46" t="s">
        <v>2008</v>
      </c>
      <c r="G2000" s="46" t="s">
        <v>2009</v>
      </c>
      <c r="H2000" s="43"/>
      <c r="I2000" s="43"/>
      <c r="J2000" s="43"/>
      <c r="K2000" s="43"/>
      <c r="L2000" s="43"/>
      <c r="M2000" s="43"/>
      <c r="N2000" s="43"/>
      <c r="O2000" s="43"/>
      <c r="P2000" s="43"/>
      <c r="Q2000" s="43"/>
      <c r="R2000" s="43"/>
      <c r="S2000" s="43"/>
      <c r="T2000" s="43"/>
      <c r="U2000" s="43"/>
      <c r="V2000" s="43"/>
    </row>
    <row r="2001" spans="1:22" ht="15.75" customHeight="1" x14ac:dyDescent="0.2">
      <c r="A2001" s="40"/>
      <c r="B2001" s="45" t="s">
        <v>126</v>
      </c>
      <c r="C2001" s="46" t="s">
        <v>2010</v>
      </c>
      <c r="D2001" s="46" t="s">
        <v>2011</v>
      </c>
      <c r="E2001" s="46" t="s">
        <v>1038</v>
      </c>
      <c r="F2001" s="46" t="s">
        <v>2008</v>
      </c>
      <c r="G2001" s="46" t="s">
        <v>2009</v>
      </c>
      <c r="H2001" s="43"/>
      <c r="I2001" s="43"/>
      <c r="J2001" s="43"/>
      <c r="K2001" s="43"/>
      <c r="L2001" s="43"/>
      <c r="M2001" s="43"/>
      <c r="N2001" s="43"/>
      <c r="O2001" s="43"/>
      <c r="P2001" s="43"/>
      <c r="Q2001" s="43"/>
      <c r="R2001" s="43"/>
      <c r="S2001" s="43"/>
      <c r="T2001" s="43"/>
      <c r="U2001" s="43"/>
      <c r="V2001" s="43"/>
    </row>
    <row r="2002" spans="1:22" ht="15.75" customHeight="1" x14ac:dyDescent="0.2">
      <c r="A2002" s="40"/>
      <c r="B2002" s="45" t="s">
        <v>131</v>
      </c>
      <c r="C2002" s="46" t="s">
        <v>2010</v>
      </c>
      <c r="D2002" s="46" t="s">
        <v>2011</v>
      </c>
      <c r="E2002" s="46" t="s">
        <v>1038</v>
      </c>
      <c r="F2002" s="46" t="s">
        <v>2008</v>
      </c>
      <c r="G2002" s="46" t="s">
        <v>2009</v>
      </c>
      <c r="H2002" s="43"/>
      <c r="I2002" s="43"/>
      <c r="J2002" s="43"/>
      <c r="K2002" s="43"/>
      <c r="L2002" s="43"/>
      <c r="M2002" s="43"/>
      <c r="N2002" s="43"/>
      <c r="O2002" s="43"/>
      <c r="P2002" s="43"/>
      <c r="Q2002" s="43"/>
      <c r="R2002" s="43"/>
      <c r="S2002" s="43"/>
      <c r="T2002" s="43"/>
      <c r="U2002" s="43"/>
      <c r="V2002" s="43"/>
    </row>
    <row r="2003" spans="1:22" ht="15.75" customHeight="1" x14ac:dyDescent="0.2">
      <c r="A2003" s="40"/>
      <c r="B2003" s="45" t="s">
        <v>303</v>
      </c>
      <c r="C2003" s="46" t="s">
        <v>2010</v>
      </c>
      <c r="D2003" s="46" t="s">
        <v>2011</v>
      </c>
      <c r="E2003" s="46" t="s">
        <v>1038</v>
      </c>
      <c r="F2003" s="46" t="s">
        <v>2008</v>
      </c>
      <c r="G2003" s="46" t="s">
        <v>2009</v>
      </c>
      <c r="H2003" s="43"/>
      <c r="I2003" s="43"/>
      <c r="J2003" s="43"/>
      <c r="K2003" s="43"/>
      <c r="L2003" s="43"/>
      <c r="M2003" s="43"/>
      <c r="N2003" s="43"/>
      <c r="O2003" s="43"/>
      <c r="P2003" s="43"/>
      <c r="Q2003" s="43"/>
      <c r="R2003" s="43"/>
      <c r="S2003" s="43"/>
      <c r="T2003" s="43"/>
      <c r="U2003" s="43"/>
      <c r="V2003" s="43"/>
    </row>
    <row r="2004" spans="1:22" ht="15.75" customHeight="1" x14ac:dyDescent="0.2">
      <c r="A2004" s="40"/>
      <c r="B2004" s="45" t="s">
        <v>94</v>
      </c>
      <c r="C2004" s="46" t="s">
        <v>2010</v>
      </c>
      <c r="D2004" s="46" t="s">
        <v>2011</v>
      </c>
      <c r="E2004" s="46" t="s">
        <v>1038</v>
      </c>
      <c r="F2004" s="46" t="s">
        <v>2008</v>
      </c>
      <c r="G2004" s="46" t="s">
        <v>2009</v>
      </c>
      <c r="H2004" s="43"/>
      <c r="I2004" s="43"/>
      <c r="J2004" s="43"/>
      <c r="K2004" s="43"/>
      <c r="L2004" s="43"/>
      <c r="M2004" s="43"/>
      <c r="N2004" s="43"/>
      <c r="O2004" s="43"/>
      <c r="P2004" s="43"/>
      <c r="Q2004" s="43"/>
      <c r="R2004" s="43"/>
      <c r="S2004" s="43"/>
      <c r="T2004" s="43"/>
      <c r="U2004" s="43"/>
      <c r="V2004" s="43"/>
    </row>
    <row r="2005" spans="1:22" ht="15.75" customHeight="1" x14ac:dyDescent="0.2">
      <c r="A2005" s="40"/>
      <c r="B2005" s="45" t="s">
        <v>316</v>
      </c>
      <c r="C2005" s="46" t="s">
        <v>2012</v>
      </c>
      <c r="D2005" s="46" t="s">
        <v>513</v>
      </c>
      <c r="E2005" s="46" t="s">
        <v>639</v>
      </c>
      <c r="F2005" s="46" t="s">
        <v>2008</v>
      </c>
      <c r="G2005" s="46" t="s">
        <v>2009</v>
      </c>
      <c r="H2005" s="43"/>
      <c r="I2005" s="43"/>
      <c r="J2005" s="43"/>
      <c r="K2005" s="43"/>
      <c r="L2005" s="43"/>
      <c r="M2005" s="43"/>
      <c r="N2005" s="43"/>
      <c r="O2005" s="43"/>
      <c r="P2005" s="43"/>
      <c r="Q2005" s="43"/>
      <c r="R2005" s="43"/>
      <c r="S2005" s="43"/>
      <c r="T2005" s="43"/>
      <c r="U2005" s="43"/>
      <c r="V2005" s="43"/>
    </row>
    <row r="2006" spans="1:22" ht="15.75" customHeight="1" x14ac:dyDescent="0.2">
      <c r="A2006" s="40"/>
      <c r="B2006" s="45" t="s">
        <v>102</v>
      </c>
      <c r="C2006" s="46" t="s">
        <v>2012</v>
      </c>
      <c r="D2006" s="46" t="s">
        <v>513</v>
      </c>
      <c r="E2006" s="46" t="s">
        <v>639</v>
      </c>
      <c r="F2006" s="46" t="s">
        <v>2008</v>
      </c>
      <c r="G2006" s="46" t="s">
        <v>2009</v>
      </c>
      <c r="H2006" s="43"/>
      <c r="I2006" s="43"/>
      <c r="J2006" s="43"/>
      <c r="K2006" s="43"/>
      <c r="L2006" s="43"/>
      <c r="M2006" s="43"/>
      <c r="N2006" s="43"/>
      <c r="O2006" s="43"/>
      <c r="P2006" s="43"/>
      <c r="Q2006" s="43"/>
      <c r="R2006" s="43"/>
      <c r="S2006" s="43"/>
      <c r="T2006" s="43"/>
      <c r="U2006" s="43"/>
      <c r="V2006" s="43"/>
    </row>
    <row r="2007" spans="1:22" ht="15.75" customHeight="1" x14ac:dyDescent="0.2">
      <c r="A2007" s="40"/>
      <c r="B2007" s="45" t="s">
        <v>303</v>
      </c>
      <c r="C2007" s="46" t="s">
        <v>2012</v>
      </c>
      <c r="D2007" s="46" t="s">
        <v>513</v>
      </c>
      <c r="E2007" s="46" t="s">
        <v>639</v>
      </c>
      <c r="F2007" s="46" t="s">
        <v>2008</v>
      </c>
      <c r="G2007" s="46" t="s">
        <v>2009</v>
      </c>
      <c r="H2007" s="43"/>
      <c r="I2007" s="43"/>
      <c r="J2007" s="43"/>
      <c r="K2007" s="43"/>
      <c r="L2007" s="43"/>
      <c r="M2007" s="43"/>
      <c r="N2007" s="43"/>
      <c r="O2007" s="43"/>
      <c r="P2007" s="43"/>
      <c r="Q2007" s="43"/>
      <c r="R2007" s="43"/>
      <c r="S2007" s="43"/>
      <c r="T2007" s="43"/>
      <c r="U2007" s="43"/>
      <c r="V2007" s="43"/>
    </row>
    <row r="2008" spans="1:22" ht="15.75" customHeight="1" x14ac:dyDescent="0.2">
      <c r="A2008" s="40"/>
      <c r="B2008" s="45" t="s">
        <v>94</v>
      </c>
      <c r="C2008" s="46" t="s">
        <v>2012</v>
      </c>
      <c r="D2008" s="46" t="s">
        <v>513</v>
      </c>
      <c r="E2008" s="46" t="s">
        <v>639</v>
      </c>
      <c r="F2008" s="46" t="s">
        <v>2008</v>
      </c>
      <c r="G2008" s="46" t="s">
        <v>2009</v>
      </c>
      <c r="H2008" s="43"/>
      <c r="I2008" s="43"/>
      <c r="J2008" s="43"/>
      <c r="K2008" s="43"/>
      <c r="L2008" s="43"/>
      <c r="M2008" s="43"/>
      <c r="N2008" s="43"/>
      <c r="O2008" s="43"/>
      <c r="P2008" s="43"/>
      <c r="Q2008" s="43"/>
      <c r="R2008" s="43"/>
      <c r="S2008" s="43"/>
      <c r="T2008" s="43"/>
      <c r="U2008" s="43"/>
      <c r="V2008" s="43"/>
    </row>
    <row r="2009" spans="1:22" ht="15.75" customHeight="1" x14ac:dyDescent="0.2">
      <c r="A2009" s="40"/>
      <c r="B2009" s="45" t="s">
        <v>297</v>
      </c>
      <c r="C2009" s="46" t="s">
        <v>2013</v>
      </c>
      <c r="D2009" s="46" t="s">
        <v>325</v>
      </c>
      <c r="E2009" s="46" t="s">
        <v>306</v>
      </c>
      <c r="F2009" s="46" t="s">
        <v>2008</v>
      </c>
      <c r="G2009" s="46" t="s">
        <v>2009</v>
      </c>
      <c r="H2009" s="43"/>
      <c r="I2009" s="43"/>
      <c r="J2009" s="43"/>
      <c r="K2009" s="43"/>
      <c r="L2009" s="43"/>
      <c r="M2009" s="43"/>
      <c r="N2009" s="43"/>
      <c r="O2009" s="43"/>
      <c r="P2009" s="43"/>
      <c r="Q2009" s="43"/>
      <c r="R2009" s="43"/>
      <c r="S2009" s="43"/>
      <c r="T2009" s="43"/>
      <c r="U2009" s="43"/>
      <c r="V2009" s="43"/>
    </row>
    <row r="2010" spans="1:22" ht="15.75" customHeight="1" x14ac:dyDescent="0.2">
      <c r="A2010" s="40"/>
      <c r="B2010" s="45" t="s">
        <v>300</v>
      </c>
      <c r="C2010" s="46" t="s">
        <v>2013</v>
      </c>
      <c r="D2010" s="46" t="s">
        <v>325</v>
      </c>
      <c r="E2010" s="46" t="s">
        <v>306</v>
      </c>
      <c r="F2010" s="46" t="s">
        <v>2008</v>
      </c>
      <c r="G2010" s="46" t="s">
        <v>2009</v>
      </c>
      <c r="H2010" s="43"/>
      <c r="I2010" s="43"/>
      <c r="J2010" s="43"/>
      <c r="K2010" s="43"/>
      <c r="L2010" s="43"/>
      <c r="M2010" s="43"/>
      <c r="N2010" s="43"/>
      <c r="O2010" s="43"/>
      <c r="P2010" s="43"/>
      <c r="Q2010" s="43"/>
      <c r="R2010" s="43"/>
      <c r="S2010" s="43"/>
      <c r="T2010" s="43"/>
      <c r="U2010" s="43"/>
      <c r="V2010" s="43"/>
    </row>
    <row r="2011" spans="1:22" ht="15.75" customHeight="1" x14ac:dyDescent="0.2">
      <c r="A2011" s="40"/>
      <c r="B2011" s="45" t="s">
        <v>94</v>
      </c>
      <c r="C2011" s="46" t="s">
        <v>2013</v>
      </c>
      <c r="D2011" s="46" t="s">
        <v>325</v>
      </c>
      <c r="E2011" s="46" t="s">
        <v>306</v>
      </c>
      <c r="F2011" s="46" t="s">
        <v>2008</v>
      </c>
      <c r="G2011" s="46" t="s">
        <v>2009</v>
      </c>
      <c r="H2011" s="43"/>
      <c r="I2011" s="43"/>
      <c r="J2011" s="43"/>
      <c r="K2011" s="43"/>
      <c r="L2011" s="43"/>
      <c r="M2011" s="43"/>
      <c r="N2011" s="43"/>
      <c r="O2011" s="43"/>
      <c r="P2011" s="43"/>
      <c r="Q2011" s="43"/>
      <c r="R2011" s="43"/>
      <c r="S2011" s="43"/>
      <c r="T2011" s="43"/>
      <c r="U2011" s="43"/>
      <c r="V2011" s="43"/>
    </row>
    <row r="2012" spans="1:22" ht="15.75" customHeight="1" x14ac:dyDescent="0.2">
      <c r="A2012" s="40"/>
      <c r="B2012" s="45" t="s">
        <v>315</v>
      </c>
      <c r="C2012" s="46" t="s">
        <v>2014</v>
      </c>
      <c r="D2012" s="46" t="s">
        <v>513</v>
      </c>
      <c r="E2012" s="46" t="s">
        <v>319</v>
      </c>
      <c r="F2012" s="46" t="s">
        <v>2015</v>
      </c>
      <c r="G2012" s="46" t="s">
        <v>2016</v>
      </c>
      <c r="H2012" s="43"/>
      <c r="I2012" s="43"/>
      <c r="J2012" s="43"/>
      <c r="K2012" s="43"/>
      <c r="L2012" s="43"/>
      <c r="M2012" s="43"/>
      <c r="N2012" s="43"/>
      <c r="O2012" s="43"/>
      <c r="P2012" s="43"/>
      <c r="Q2012" s="43"/>
      <c r="R2012" s="43"/>
      <c r="S2012" s="43"/>
      <c r="T2012" s="43"/>
      <c r="U2012" s="43"/>
      <c r="V2012" s="43"/>
    </row>
    <row r="2013" spans="1:22" ht="15.75" customHeight="1" x14ac:dyDescent="0.2">
      <c r="A2013" s="40"/>
      <c r="B2013" s="45" t="s">
        <v>88</v>
      </c>
      <c r="C2013" s="46" t="s">
        <v>2014</v>
      </c>
      <c r="D2013" s="46" t="s">
        <v>513</v>
      </c>
      <c r="E2013" s="46" t="s">
        <v>319</v>
      </c>
      <c r="F2013" s="46" t="s">
        <v>2015</v>
      </c>
      <c r="G2013" s="46" t="s">
        <v>2016</v>
      </c>
      <c r="H2013" s="43"/>
      <c r="I2013" s="43"/>
      <c r="J2013" s="43"/>
      <c r="K2013" s="43"/>
      <c r="L2013" s="43"/>
      <c r="M2013" s="43"/>
      <c r="N2013" s="43"/>
      <c r="O2013" s="43"/>
      <c r="P2013" s="43"/>
      <c r="Q2013" s="43"/>
      <c r="R2013" s="43"/>
      <c r="S2013" s="43"/>
      <c r="T2013" s="43"/>
      <c r="U2013" s="43"/>
      <c r="V2013" s="43"/>
    </row>
    <row r="2014" spans="1:22" ht="15.75" customHeight="1" x14ac:dyDescent="0.2">
      <c r="A2014" s="40"/>
      <c r="B2014" s="47" t="s">
        <v>94</v>
      </c>
      <c r="C2014" s="59" t="s">
        <v>2014</v>
      </c>
      <c r="D2014" s="59" t="s">
        <v>513</v>
      </c>
      <c r="E2014" s="46" t="s">
        <v>319</v>
      </c>
      <c r="F2014" s="46" t="s">
        <v>2015</v>
      </c>
      <c r="G2014" s="46" t="s">
        <v>2016</v>
      </c>
      <c r="H2014" s="43"/>
      <c r="I2014" s="43"/>
      <c r="J2014" s="43"/>
      <c r="K2014" s="43"/>
      <c r="L2014" s="43"/>
      <c r="M2014" s="43"/>
      <c r="N2014" s="43"/>
      <c r="O2014" s="43"/>
      <c r="P2014" s="43"/>
      <c r="Q2014" s="43"/>
      <c r="R2014" s="43"/>
      <c r="S2014" s="43"/>
      <c r="T2014" s="43"/>
      <c r="U2014" s="43"/>
      <c r="V2014" s="43"/>
    </row>
    <row r="2015" spans="1:22" ht="15.75" customHeight="1" x14ac:dyDescent="0.2">
      <c r="A2015" s="40"/>
      <c r="B2015" s="45" t="s">
        <v>297</v>
      </c>
      <c r="C2015" s="46" t="s">
        <v>2017</v>
      </c>
      <c r="D2015" s="46" t="s">
        <v>139</v>
      </c>
      <c r="E2015" s="46" t="s">
        <v>322</v>
      </c>
      <c r="F2015" s="46" t="s">
        <v>2018</v>
      </c>
      <c r="G2015" s="46" t="s">
        <v>2016</v>
      </c>
      <c r="H2015" s="43"/>
      <c r="I2015" s="43"/>
      <c r="J2015" s="43"/>
      <c r="K2015" s="43"/>
      <c r="L2015" s="43"/>
      <c r="M2015" s="43"/>
      <c r="N2015" s="43"/>
      <c r="O2015" s="43"/>
      <c r="P2015" s="43"/>
      <c r="Q2015" s="43"/>
      <c r="R2015" s="43"/>
      <c r="S2015" s="43"/>
      <c r="T2015" s="43"/>
      <c r="U2015" s="43"/>
      <c r="V2015" s="43"/>
    </row>
    <row r="2016" spans="1:22" ht="15.75" customHeight="1" x14ac:dyDescent="0.2">
      <c r="A2016" s="40"/>
      <c r="B2016" s="45" t="s">
        <v>88</v>
      </c>
      <c r="C2016" s="46" t="s">
        <v>2017</v>
      </c>
      <c r="D2016" s="46" t="s">
        <v>139</v>
      </c>
      <c r="E2016" s="46" t="s">
        <v>322</v>
      </c>
      <c r="F2016" s="46" t="s">
        <v>2018</v>
      </c>
      <c r="G2016" s="46" t="s">
        <v>2016</v>
      </c>
      <c r="H2016" s="43"/>
      <c r="I2016" s="43"/>
      <c r="J2016" s="43"/>
      <c r="K2016" s="43"/>
      <c r="L2016" s="43"/>
      <c r="M2016" s="43"/>
      <c r="N2016" s="43"/>
      <c r="O2016" s="43"/>
      <c r="P2016" s="43"/>
      <c r="Q2016" s="43"/>
      <c r="R2016" s="43"/>
      <c r="S2016" s="43"/>
      <c r="T2016" s="43"/>
      <c r="U2016" s="43"/>
      <c r="V2016" s="43"/>
    </row>
    <row r="2017" spans="1:22" ht="15.75" customHeight="1" x14ac:dyDescent="0.2">
      <c r="A2017" s="40"/>
      <c r="B2017" s="45" t="s">
        <v>94</v>
      </c>
      <c r="C2017" s="46" t="s">
        <v>2017</v>
      </c>
      <c r="D2017" s="46" t="s">
        <v>139</v>
      </c>
      <c r="E2017" s="46" t="s">
        <v>322</v>
      </c>
      <c r="F2017" s="46" t="s">
        <v>2018</v>
      </c>
      <c r="G2017" s="46" t="s">
        <v>2016</v>
      </c>
      <c r="H2017" s="43"/>
      <c r="I2017" s="43"/>
      <c r="J2017" s="43"/>
      <c r="K2017" s="43"/>
      <c r="L2017" s="43"/>
      <c r="M2017" s="43"/>
      <c r="N2017" s="43"/>
      <c r="O2017" s="43"/>
      <c r="P2017" s="43"/>
      <c r="Q2017" s="43"/>
      <c r="R2017" s="43"/>
      <c r="S2017" s="43"/>
      <c r="T2017" s="43"/>
      <c r="U2017" s="43"/>
      <c r="V2017" s="43"/>
    </row>
    <row r="2018" spans="1:22" ht="15.75" customHeight="1" x14ac:dyDescent="0.2">
      <c r="A2018" s="40">
        <v>369</v>
      </c>
      <c r="B2018" s="41" t="s">
        <v>246</v>
      </c>
      <c r="C2018" s="42" t="s">
        <v>2019</v>
      </c>
      <c r="D2018" s="42" t="s">
        <v>116</v>
      </c>
      <c r="E2018" s="42" t="s">
        <v>650</v>
      </c>
      <c r="F2018" s="42" t="s">
        <v>2020</v>
      </c>
      <c r="G2018" s="42" t="s">
        <v>2016</v>
      </c>
      <c r="H2018" s="43"/>
      <c r="I2018" s="43"/>
      <c r="J2018" s="43"/>
      <c r="K2018" s="43"/>
      <c r="L2018" s="43"/>
      <c r="M2018" s="43"/>
      <c r="N2018" s="43"/>
      <c r="O2018" s="43"/>
      <c r="P2018" s="43"/>
      <c r="Q2018" s="43"/>
      <c r="R2018" s="43"/>
      <c r="S2018" s="43"/>
      <c r="T2018" s="43"/>
      <c r="U2018" s="43"/>
      <c r="V2018" s="43"/>
    </row>
    <row r="2019" spans="1:22" ht="15.75" customHeight="1" x14ac:dyDescent="0.2">
      <c r="A2019" s="40">
        <v>703</v>
      </c>
      <c r="B2019" s="41" t="s">
        <v>1569</v>
      </c>
      <c r="C2019" s="42" t="s">
        <v>2019</v>
      </c>
      <c r="D2019" s="42" t="s">
        <v>116</v>
      </c>
      <c r="E2019" s="42" t="s">
        <v>650</v>
      </c>
      <c r="F2019" s="42" t="s">
        <v>2020</v>
      </c>
      <c r="G2019" s="42" t="s">
        <v>2016</v>
      </c>
      <c r="H2019" s="43"/>
      <c r="I2019" s="43"/>
      <c r="J2019" s="43"/>
      <c r="K2019" s="43"/>
      <c r="L2019" s="43"/>
      <c r="M2019" s="43"/>
      <c r="N2019" s="43"/>
      <c r="O2019" s="43"/>
      <c r="P2019" s="43"/>
      <c r="Q2019" s="43"/>
      <c r="R2019" s="43"/>
      <c r="S2019" s="43"/>
      <c r="T2019" s="43"/>
      <c r="U2019" s="43"/>
      <c r="V2019" s="43"/>
    </row>
    <row r="2020" spans="1:22" ht="15.75" customHeight="1" x14ac:dyDescent="0.2">
      <c r="A2020" s="40">
        <v>1441</v>
      </c>
      <c r="B2020" s="41" t="s">
        <v>261</v>
      </c>
      <c r="C2020" s="42" t="s">
        <v>2019</v>
      </c>
      <c r="D2020" s="42" t="s">
        <v>116</v>
      </c>
      <c r="E2020" s="42" t="s">
        <v>650</v>
      </c>
      <c r="F2020" s="42" t="s">
        <v>2020</v>
      </c>
      <c r="G2020" s="42" t="s">
        <v>2016</v>
      </c>
      <c r="H2020" s="43"/>
      <c r="I2020" s="43"/>
      <c r="J2020" s="43"/>
      <c r="K2020" s="43"/>
      <c r="L2020" s="43"/>
      <c r="M2020" s="43"/>
      <c r="N2020" s="43"/>
      <c r="O2020" s="43"/>
      <c r="P2020" s="43"/>
      <c r="Q2020" s="43"/>
      <c r="R2020" s="43"/>
      <c r="S2020" s="43"/>
      <c r="T2020" s="43"/>
      <c r="U2020" s="43"/>
      <c r="V2020" s="43"/>
    </row>
    <row r="2021" spans="1:22" ht="15.75" customHeight="1" x14ac:dyDescent="0.2">
      <c r="A2021" s="40">
        <v>1891</v>
      </c>
      <c r="B2021" s="41" t="s">
        <v>277</v>
      </c>
      <c r="C2021" s="42" t="s">
        <v>2019</v>
      </c>
      <c r="D2021" s="42" t="s">
        <v>116</v>
      </c>
      <c r="E2021" s="42" t="s">
        <v>650</v>
      </c>
      <c r="F2021" s="42" t="s">
        <v>2020</v>
      </c>
      <c r="G2021" s="42" t="s">
        <v>2016</v>
      </c>
      <c r="H2021" s="43"/>
      <c r="I2021" s="43"/>
      <c r="J2021" s="43"/>
      <c r="K2021" s="43"/>
      <c r="L2021" s="43"/>
      <c r="M2021" s="43"/>
      <c r="N2021" s="43"/>
      <c r="O2021" s="43"/>
      <c r="P2021" s="43"/>
      <c r="Q2021" s="43"/>
      <c r="R2021" s="43"/>
      <c r="S2021" s="43"/>
      <c r="T2021" s="43"/>
      <c r="U2021" s="43"/>
      <c r="V2021" s="43"/>
    </row>
    <row r="2022" spans="1:22" ht="15.75" customHeight="1" x14ac:dyDescent="0.2">
      <c r="A2022" s="40"/>
      <c r="B2022" s="45" t="s">
        <v>118</v>
      </c>
      <c r="C2022" s="46" t="s">
        <v>2021</v>
      </c>
      <c r="D2022" s="46" t="s">
        <v>656</v>
      </c>
      <c r="E2022" s="46" t="s">
        <v>259</v>
      </c>
      <c r="F2022" s="46" t="s">
        <v>2022</v>
      </c>
      <c r="G2022" s="46" t="s">
        <v>2016</v>
      </c>
      <c r="H2022" s="43"/>
      <c r="I2022" s="43"/>
      <c r="J2022" s="43"/>
      <c r="K2022" s="43"/>
      <c r="L2022" s="43"/>
      <c r="M2022" s="43"/>
      <c r="N2022" s="43"/>
      <c r="O2022" s="43"/>
      <c r="P2022" s="43"/>
      <c r="Q2022" s="43"/>
      <c r="R2022" s="43"/>
      <c r="S2022" s="43"/>
      <c r="T2022" s="43"/>
      <c r="U2022" s="43"/>
      <c r="V2022" s="43"/>
    </row>
    <row r="2023" spans="1:22" ht="15.75" customHeight="1" x14ac:dyDescent="0.2">
      <c r="A2023" s="40"/>
      <c r="B2023" s="47" t="s">
        <v>88</v>
      </c>
      <c r="C2023" s="51" t="s">
        <v>2021</v>
      </c>
      <c r="D2023" s="51" t="s">
        <v>656</v>
      </c>
      <c r="E2023" s="51" t="s">
        <v>259</v>
      </c>
      <c r="F2023" s="51" t="s">
        <v>2022</v>
      </c>
      <c r="G2023" s="51" t="s">
        <v>2016</v>
      </c>
      <c r="H2023" s="43"/>
      <c r="I2023" s="43"/>
      <c r="J2023" s="43"/>
      <c r="K2023" s="43"/>
      <c r="L2023" s="43"/>
      <c r="M2023" s="43"/>
      <c r="N2023" s="43"/>
      <c r="O2023" s="43"/>
      <c r="P2023" s="43"/>
      <c r="Q2023" s="43"/>
      <c r="R2023" s="43"/>
      <c r="S2023" s="43"/>
      <c r="T2023" s="43"/>
      <c r="U2023" s="43"/>
      <c r="V2023" s="43"/>
    </row>
    <row r="2024" spans="1:22" ht="15.75" customHeight="1" x14ac:dyDescent="0.2">
      <c r="A2024" s="40"/>
      <c r="B2024" s="45" t="s">
        <v>94</v>
      </c>
      <c r="C2024" s="46" t="s">
        <v>2021</v>
      </c>
      <c r="D2024" s="46" t="s">
        <v>656</v>
      </c>
      <c r="E2024" s="46" t="s">
        <v>259</v>
      </c>
      <c r="F2024" s="46" t="s">
        <v>2022</v>
      </c>
      <c r="G2024" s="46" t="s">
        <v>2016</v>
      </c>
      <c r="H2024" s="43"/>
      <c r="I2024" s="43"/>
      <c r="J2024" s="43"/>
      <c r="K2024" s="43"/>
      <c r="L2024" s="43"/>
      <c r="M2024" s="43"/>
      <c r="N2024" s="43"/>
      <c r="O2024" s="43"/>
      <c r="P2024" s="43"/>
      <c r="Q2024" s="43"/>
      <c r="R2024" s="43"/>
      <c r="S2024" s="43"/>
      <c r="T2024" s="43"/>
      <c r="U2024" s="43"/>
      <c r="V2024" s="43"/>
    </row>
    <row r="2025" spans="1:22" ht="15.75" customHeight="1" x14ac:dyDescent="0.2">
      <c r="A2025" s="40"/>
      <c r="B2025" s="45" t="s">
        <v>315</v>
      </c>
      <c r="C2025" s="46" t="s">
        <v>2023</v>
      </c>
      <c r="D2025" s="46" t="s">
        <v>529</v>
      </c>
      <c r="E2025" s="46" t="s">
        <v>319</v>
      </c>
      <c r="F2025" s="46" t="s">
        <v>2022</v>
      </c>
      <c r="G2025" s="46" t="s">
        <v>2016</v>
      </c>
      <c r="H2025" s="43"/>
      <c r="I2025" s="43"/>
      <c r="J2025" s="43"/>
      <c r="K2025" s="43"/>
      <c r="L2025" s="43"/>
      <c r="M2025" s="43"/>
      <c r="N2025" s="43"/>
      <c r="O2025" s="43"/>
      <c r="P2025" s="43"/>
      <c r="Q2025" s="43"/>
      <c r="R2025" s="43"/>
      <c r="S2025" s="43"/>
      <c r="T2025" s="43"/>
      <c r="U2025" s="43"/>
      <c r="V2025" s="43"/>
    </row>
    <row r="2026" spans="1:22" ht="15.75" customHeight="1" x14ac:dyDescent="0.2">
      <c r="A2026" s="40"/>
      <c r="B2026" s="45" t="s">
        <v>88</v>
      </c>
      <c r="C2026" s="46" t="s">
        <v>2023</v>
      </c>
      <c r="D2026" s="46" t="s">
        <v>529</v>
      </c>
      <c r="E2026" s="46" t="s">
        <v>319</v>
      </c>
      <c r="F2026" s="46" t="s">
        <v>2022</v>
      </c>
      <c r="G2026" s="46" t="s">
        <v>2016</v>
      </c>
      <c r="H2026" s="43"/>
      <c r="I2026" s="43"/>
      <c r="J2026" s="43"/>
      <c r="K2026" s="43"/>
      <c r="L2026" s="43"/>
      <c r="M2026" s="43"/>
      <c r="N2026" s="43"/>
      <c r="O2026" s="43"/>
      <c r="P2026" s="43"/>
      <c r="Q2026" s="43"/>
      <c r="R2026" s="43"/>
      <c r="S2026" s="43"/>
      <c r="T2026" s="43"/>
      <c r="U2026" s="43"/>
      <c r="V2026" s="43"/>
    </row>
    <row r="2027" spans="1:22" ht="15.75" customHeight="1" x14ac:dyDescent="0.2">
      <c r="A2027" s="40"/>
      <c r="B2027" s="45" t="s">
        <v>94</v>
      </c>
      <c r="C2027" s="46" t="s">
        <v>2023</v>
      </c>
      <c r="D2027" s="46" t="s">
        <v>529</v>
      </c>
      <c r="E2027" s="46" t="s">
        <v>319</v>
      </c>
      <c r="F2027" s="46" t="s">
        <v>2022</v>
      </c>
      <c r="G2027" s="46" t="s">
        <v>2016</v>
      </c>
      <c r="H2027" s="43"/>
      <c r="I2027" s="43"/>
      <c r="J2027" s="43"/>
      <c r="K2027" s="43"/>
      <c r="L2027" s="43"/>
      <c r="M2027" s="43"/>
      <c r="N2027" s="43"/>
      <c r="O2027" s="43"/>
      <c r="P2027" s="43"/>
      <c r="Q2027" s="43"/>
      <c r="R2027" s="43"/>
      <c r="S2027" s="43"/>
      <c r="T2027" s="43"/>
      <c r="U2027" s="43"/>
      <c r="V2027" s="43"/>
    </row>
    <row r="2028" spans="1:22" ht="15.75" customHeight="1" x14ac:dyDescent="0.2">
      <c r="A2028" s="40">
        <v>667</v>
      </c>
      <c r="B2028" s="41" t="s">
        <v>252</v>
      </c>
      <c r="C2028" s="42" t="s">
        <v>2024</v>
      </c>
      <c r="D2028" s="42" t="s">
        <v>2025</v>
      </c>
      <c r="E2028" s="42" t="s">
        <v>105</v>
      </c>
      <c r="F2028" s="42" t="s">
        <v>2026</v>
      </c>
      <c r="G2028" s="42" t="s">
        <v>2016</v>
      </c>
      <c r="H2028" s="43"/>
      <c r="I2028" s="43"/>
      <c r="J2028" s="43"/>
      <c r="K2028" s="43"/>
      <c r="L2028" s="43"/>
      <c r="M2028" s="43"/>
      <c r="N2028" s="43"/>
      <c r="O2028" s="43"/>
      <c r="P2028" s="43"/>
      <c r="Q2028" s="43"/>
      <c r="R2028" s="43"/>
      <c r="S2028" s="43"/>
      <c r="T2028" s="43"/>
      <c r="U2028" s="43"/>
      <c r="V2028" s="43"/>
    </row>
    <row r="2029" spans="1:22" ht="15.75" customHeight="1" x14ac:dyDescent="0.2">
      <c r="A2029" s="40">
        <v>735</v>
      </c>
      <c r="B2029" s="41" t="s">
        <v>686</v>
      </c>
      <c r="C2029" s="42" t="s">
        <v>2024</v>
      </c>
      <c r="D2029" s="42" t="s">
        <v>2025</v>
      </c>
      <c r="E2029" s="42" t="s">
        <v>105</v>
      </c>
      <c r="F2029" s="42" t="s">
        <v>2026</v>
      </c>
      <c r="G2029" s="42" t="s">
        <v>2016</v>
      </c>
      <c r="H2029" s="43"/>
      <c r="I2029" s="43"/>
      <c r="J2029" s="43"/>
      <c r="K2029" s="43"/>
      <c r="L2029" s="43"/>
      <c r="M2029" s="43"/>
      <c r="N2029" s="43"/>
      <c r="O2029" s="43"/>
      <c r="P2029" s="43"/>
      <c r="Q2029" s="43"/>
      <c r="R2029" s="43"/>
      <c r="S2029" s="43"/>
      <c r="T2029" s="43"/>
      <c r="U2029" s="43"/>
      <c r="V2029" s="43"/>
    </row>
    <row r="2030" spans="1:22" ht="15.75" customHeight="1" x14ac:dyDescent="0.2">
      <c r="A2030" s="40">
        <v>1527</v>
      </c>
      <c r="B2030" s="41" t="s">
        <v>263</v>
      </c>
      <c r="C2030" s="42" t="s">
        <v>2024</v>
      </c>
      <c r="D2030" s="42" t="s">
        <v>2025</v>
      </c>
      <c r="E2030" s="42" t="s">
        <v>105</v>
      </c>
      <c r="F2030" s="42" t="s">
        <v>2026</v>
      </c>
      <c r="G2030" s="42" t="s">
        <v>2016</v>
      </c>
      <c r="H2030" s="43"/>
      <c r="I2030" s="43"/>
      <c r="J2030" s="43"/>
      <c r="K2030" s="43"/>
      <c r="L2030" s="43"/>
      <c r="M2030" s="43"/>
      <c r="N2030" s="43"/>
      <c r="O2030" s="43"/>
      <c r="P2030" s="43"/>
      <c r="Q2030" s="43"/>
      <c r="R2030" s="43"/>
      <c r="S2030" s="43"/>
      <c r="T2030" s="43"/>
      <c r="U2030" s="43"/>
      <c r="V2030" s="43"/>
    </row>
    <row r="2031" spans="1:22" ht="15.75" customHeight="1" x14ac:dyDescent="0.2">
      <c r="A2031" s="40">
        <v>2577</v>
      </c>
      <c r="B2031" s="41" t="s">
        <v>287</v>
      </c>
      <c r="C2031" s="42" t="s">
        <v>2024</v>
      </c>
      <c r="D2031" s="42" t="s">
        <v>2025</v>
      </c>
      <c r="E2031" s="42" t="s">
        <v>105</v>
      </c>
      <c r="F2031" s="42" t="s">
        <v>2026</v>
      </c>
      <c r="G2031" s="42" t="s">
        <v>2016</v>
      </c>
      <c r="H2031" s="43"/>
      <c r="I2031" s="43"/>
      <c r="J2031" s="43"/>
      <c r="K2031" s="43"/>
      <c r="L2031" s="43"/>
      <c r="M2031" s="43"/>
      <c r="N2031" s="43"/>
      <c r="O2031" s="43"/>
      <c r="P2031" s="43"/>
      <c r="Q2031" s="43"/>
      <c r="R2031" s="43"/>
      <c r="S2031" s="43"/>
      <c r="T2031" s="43"/>
      <c r="U2031" s="43"/>
      <c r="V2031" s="43"/>
    </row>
    <row r="2032" spans="1:22" ht="15.75" customHeight="1" x14ac:dyDescent="0.2">
      <c r="A2032" s="40">
        <v>1577</v>
      </c>
      <c r="B2032" s="41" t="s">
        <v>585</v>
      </c>
      <c r="C2032" s="42" t="s">
        <v>2027</v>
      </c>
      <c r="D2032" s="42" t="s">
        <v>373</v>
      </c>
      <c r="E2032" s="42" t="s">
        <v>259</v>
      </c>
      <c r="F2032" s="42" t="s">
        <v>2028</v>
      </c>
      <c r="G2032" s="42" t="s">
        <v>2029</v>
      </c>
      <c r="H2032" s="43"/>
      <c r="I2032" s="43"/>
      <c r="J2032" s="43"/>
      <c r="K2032" s="43"/>
      <c r="L2032" s="43"/>
      <c r="M2032" s="43"/>
      <c r="N2032" s="43"/>
      <c r="O2032" s="43"/>
      <c r="P2032" s="43"/>
      <c r="Q2032" s="43"/>
      <c r="R2032" s="43"/>
      <c r="S2032" s="43"/>
      <c r="T2032" s="43"/>
      <c r="U2032" s="43"/>
      <c r="V2032" s="43"/>
    </row>
    <row r="2033" spans="1:22" ht="15.75" customHeight="1" x14ac:dyDescent="0.2">
      <c r="A2033" s="40">
        <v>2333</v>
      </c>
      <c r="B2033" s="41" t="s">
        <v>285</v>
      </c>
      <c r="C2033" s="42" t="s">
        <v>2027</v>
      </c>
      <c r="D2033" s="42" t="s">
        <v>373</v>
      </c>
      <c r="E2033" s="42" t="s">
        <v>259</v>
      </c>
      <c r="F2033" s="42" t="s">
        <v>2028</v>
      </c>
      <c r="G2033" s="42" t="s">
        <v>2029</v>
      </c>
      <c r="H2033" s="43"/>
      <c r="I2033" s="43"/>
      <c r="J2033" s="43"/>
      <c r="K2033" s="43"/>
      <c r="L2033" s="43"/>
      <c r="M2033" s="43"/>
      <c r="N2033" s="43"/>
      <c r="O2033" s="43"/>
      <c r="P2033" s="43"/>
      <c r="Q2033" s="43"/>
      <c r="R2033" s="43"/>
      <c r="S2033" s="43"/>
      <c r="T2033" s="43"/>
      <c r="U2033" s="43"/>
      <c r="V2033" s="43"/>
    </row>
    <row r="2034" spans="1:22" ht="15.75" customHeight="1" x14ac:dyDescent="0.2">
      <c r="A2034" s="40">
        <v>2583</v>
      </c>
      <c r="B2034" s="41" t="s">
        <v>287</v>
      </c>
      <c r="C2034" s="42" t="s">
        <v>2027</v>
      </c>
      <c r="D2034" s="42" t="s">
        <v>373</v>
      </c>
      <c r="E2034" s="42" t="s">
        <v>259</v>
      </c>
      <c r="F2034" s="42" t="s">
        <v>2028</v>
      </c>
      <c r="G2034" s="42" t="s">
        <v>2029</v>
      </c>
      <c r="H2034" s="43"/>
      <c r="I2034" s="43"/>
      <c r="J2034" s="43"/>
      <c r="K2034" s="43"/>
      <c r="L2034" s="43"/>
      <c r="M2034" s="43"/>
      <c r="N2034" s="43"/>
      <c r="O2034" s="43"/>
      <c r="P2034" s="43"/>
      <c r="Q2034" s="43"/>
      <c r="R2034" s="43"/>
      <c r="S2034" s="43"/>
      <c r="T2034" s="43"/>
      <c r="U2034" s="43"/>
      <c r="V2034" s="43"/>
    </row>
    <row r="2035" spans="1:22" ht="15.75" customHeight="1" x14ac:dyDescent="0.2">
      <c r="A2035" s="40">
        <v>2719</v>
      </c>
      <c r="B2035" s="41" t="s">
        <v>703</v>
      </c>
      <c r="C2035" s="42" t="s">
        <v>2027</v>
      </c>
      <c r="D2035" s="42" t="s">
        <v>373</v>
      </c>
      <c r="E2035" s="42" t="s">
        <v>259</v>
      </c>
      <c r="F2035" s="42" t="s">
        <v>2028</v>
      </c>
      <c r="G2035" s="42" t="s">
        <v>2029</v>
      </c>
      <c r="H2035" s="43"/>
      <c r="I2035" s="43"/>
      <c r="J2035" s="43"/>
      <c r="K2035" s="43"/>
      <c r="L2035" s="43"/>
      <c r="M2035" s="43"/>
      <c r="N2035" s="43"/>
      <c r="O2035" s="43"/>
      <c r="P2035" s="43"/>
      <c r="Q2035" s="43"/>
      <c r="R2035" s="43"/>
      <c r="S2035" s="43"/>
      <c r="T2035" s="43"/>
      <c r="U2035" s="43"/>
      <c r="V2035" s="43"/>
    </row>
    <row r="2036" spans="1:22" ht="15.75" customHeight="1" x14ac:dyDescent="0.2">
      <c r="A2036" s="40">
        <v>255</v>
      </c>
      <c r="B2036" s="41" t="s">
        <v>243</v>
      </c>
      <c r="C2036" s="42" t="s">
        <v>2030</v>
      </c>
      <c r="D2036" s="42" t="s">
        <v>325</v>
      </c>
      <c r="E2036" s="42" t="s">
        <v>32</v>
      </c>
      <c r="F2036" s="42" t="s">
        <v>2028</v>
      </c>
      <c r="G2036" s="42" t="s">
        <v>2029</v>
      </c>
      <c r="H2036" s="43"/>
      <c r="I2036" s="43"/>
      <c r="J2036" s="43"/>
      <c r="K2036" s="43"/>
      <c r="L2036" s="43"/>
      <c r="M2036" s="43"/>
      <c r="N2036" s="43"/>
      <c r="O2036" s="43"/>
      <c r="P2036" s="43"/>
      <c r="Q2036" s="43"/>
      <c r="R2036" s="43"/>
      <c r="S2036" s="43"/>
      <c r="T2036" s="43"/>
      <c r="U2036" s="43"/>
      <c r="V2036" s="43"/>
    </row>
    <row r="2037" spans="1:22" ht="15.75" customHeight="1" x14ac:dyDescent="0.2">
      <c r="A2037" s="40">
        <v>903</v>
      </c>
      <c r="B2037" s="41" t="s">
        <v>694</v>
      </c>
      <c r="C2037" s="42" t="s">
        <v>2030</v>
      </c>
      <c r="D2037" s="42" t="s">
        <v>39</v>
      </c>
      <c r="E2037" s="42" t="s">
        <v>32</v>
      </c>
      <c r="F2037" s="42" t="s">
        <v>2028</v>
      </c>
      <c r="G2037" s="42" t="s">
        <v>2029</v>
      </c>
      <c r="H2037" s="43"/>
      <c r="I2037" s="43"/>
      <c r="J2037" s="43"/>
      <c r="K2037" s="43"/>
      <c r="L2037" s="43"/>
      <c r="M2037" s="43"/>
      <c r="N2037" s="43"/>
      <c r="O2037" s="43"/>
      <c r="P2037" s="43"/>
      <c r="Q2037" s="43"/>
      <c r="R2037" s="43"/>
      <c r="S2037" s="43"/>
      <c r="T2037" s="43"/>
      <c r="U2037" s="43"/>
      <c r="V2037" s="43"/>
    </row>
    <row r="2038" spans="1:22" ht="15.75" customHeight="1" x14ac:dyDescent="0.2">
      <c r="A2038" s="40">
        <v>1241</v>
      </c>
      <c r="B2038" s="41" t="s">
        <v>699</v>
      </c>
      <c r="C2038" s="42" t="s">
        <v>2030</v>
      </c>
      <c r="D2038" s="42" t="s">
        <v>325</v>
      </c>
      <c r="E2038" s="42" t="s">
        <v>32</v>
      </c>
      <c r="F2038" s="42" t="s">
        <v>2028</v>
      </c>
      <c r="G2038" s="42" t="s">
        <v>2029</v>
      </c>
      <c r="H2038" s="43"/>
      <c r="I2038" s="43"/>
      <c r="J2038" s="43"/>
      <c r="K2038" s="43"/>
      <c r="L2038" s="43"/>
      <c r="M2038" s="43"/>
      <c r="N2038" s="43"/>
      <c r="O2038" s="43"/>
      <c r="P2038" s="43"/>
      <c r="Q2038" s="43"/>
      <c r="R2038" s="43"/>
      <c r="S2038" s="43"/>
      <c r="T2038" s="43"/>
      <c r="U2038" s="43"/>
      <c r="V2038" s="43"/>
    </row>
    <row r="2039" spans="1:22" ht="15.75" customHeight="1" x14ac:dyDescent="0.2">
      <c r="A2039" s="40">
        <v>1735</v>
      </c>
      <c r="B2039" s="41" t="s">
        <v>465</v>
      </c>
      <c r="C2039" s="42" t="s">
        <v>2030</v>
      </c>
      <c r="D2039" s="42" t="s">
        <v>325</v>
      </c>
      <c r="E2039" s="42" t="s">
        <v>32</v>
      </c>
      <c r="F2039" s="42" t="s">
        <v>2028</v>
      </c>
      <c r="G2039" s="42" t="s">
        <v>2029</v>
      </c>
      <c r="H2039" s="43"/>
      <c r="I2039" s="43"/>
      <c r="J2039" s="43"/>
      <c r="K2039" s="43"/>
      <c r="L2039" s="43"/>
      <c r="M2039" s="43"/>
      <c r="N2039" s="43"/>
      <c r="O2039" s="43"/>
      <c r="P2039" s="43"/>
      <c r="Q2039" s="43"/>
      <c r="R2039" s="43"/>
      <c r="S2039" s="43"/>
      <c r="T2039" s="43"/>
      <c r="U2039" s="43"/>
      <c r="V2039" s="43"/>
    </row>
    <row r="2040" spans="1:22" ht="15.75" customHeight="1" x14ac:dyDescent="0.2">
      <c r="A2040" s="40">
        <v>2017</v>
      </c>
      <c r="B2040" s="41" t="s">
        <v>701</v>
      </c>
      <c r="C2040" s="42" t="s">
        <v>2030</v>
      </c>
      <c r="D2040" s="42" t="s">
        <v>39</v>
      </c>
      <c r="E2040" s="42" t="s">
        <v>32</v>
      </c>
      <c r="F2040" s="42" t="s">
        <v>2028</v>
      </c>
      <c r="G2040" s="42" t="s">
        <v>2029</v>
      </c>
      <c r="H2040" s="43"/>
      <c r="I2040" s="43"/>
      <c r="J2040" s="43"/>
      <c r="K2040" s="43"/>
      <c r="L2040" s="43"/>
      <c r="M2040" s="43"/>
      <c r="N2040" s="43"/>
      <c r="O2040" s="43"/>
      <c r="P2040" s="43"/>
      <c r="Q2040" s="43"/>
      <c r="R2040" s="43"/>
      <c r="S2040" s="43"/>
      <c r="T2040" s="43"/>
      <c r="U2040" s="43"/>
      <c r="V2040" s="43"/>
    </row>
    <row r="2041" spans="1:22" ht="15.75" customHeight="1" x14ac:dyDescent="0.2">
      <c r="A2041" s="40">
        <v>2109</v>
      </c>
      <c r="B2041" s="41" t="s">
        <v>280</v>
      </c>
      <c r="C2041" s="42" t="s">
        <v>2030</v>
      </c>
      <c r="D2041" s="42" t="s">
        <v>325</v>
      </c>
      <c r="E2041" s="42" t="s">
        <v>32</v>
      </c>
      <c r="F2041" s="42" t="s">
        <v>2028</v>
      </c>
      <c r="G2041" s="42" t="s">
        <v>2029</v>
      </c>
      <c r="H2041" s="43"/>
      <c r="I2041" s="43"/>
      <c r="J2041" s="43"/>
      <c r="K2041" s="43"/>
      <c r="L2041" s="43"/>
      <c r="M2041" s="43"/>
      <c r="N2041" s="43"/>
      <c r="O2041" s="43"/>
      <c r="P2041" s="43"/>
      <c r="Q2041" s="43"/>
      <c r="R2041" s="43"/>
      <c r="S2041" s="43"/>
      <c r="T2041" s="43"/>
      <c r="U2041" s="43"/>
      <c r="V2041" s="43"/>
    </row>
    <row r="2042" spans="1:22" ht="15.75" customHeight="1" x14ac:dyDescent="0.2">
      <c r="A2042" s="40">
        <v>2621</v>
      </c>
      <c r="B2042" s="41" t="s">
        <v>702</v>
      </c>
      <c r="C2042" s="42" t="s">
        <v>2030</v>
      </c>
      <c r="D2042" s="42" t="s">
        <v>39</v>
      </c>
      <c r="E2042" s="42" t="s">
        <v>32</v>
      </c>
      <c r="F2042" s="42" t="s">
        <v>2028</v>
      </c>
      <c r="G2042" s="42" t="s">
        <v>2029</v>
      </c>
      <c r="H2042" s="43"/>
      <c r="I2042" s="43"/>
      <c r="J2042" s="43"/>
      <c r="K2042" s="43"/>
      <c r="L2042" s="43"/>
      <c r="M2042" s="43"/>
      <c r="N2042" s="43"/>
      <c r="O2042" s="43"/>
      <c r="P2042" s="43"/>
      <c r="Q2042" s="43"/>
      <c r="R2042" s="43"/>
      <c r="S2042" s="43"/>
      <c r="T2042" s="43"/>
      <c r="U2042" s="43"/>
      <c r="V2042" s="43"/>
    </row>
    <row r="2043" spans="1:22" ht="15.75" customHeight="1" x14ac:dyDescent="0.2">
      <c r="A2043" s="40"/>
      <c r="B2043" s="45" t="s">
        <v>300</v>
      </c>
      <c r="C2043" s="46" t="s">
        <v>2031</v>
      </c>
      <c r="D2043" s="46" t="s">
        <v>441</v>
      </c>
      <c r="E2043" s="46" t="s">
        <v>397</v>
      </c>
      <c r="F2043" s="51" t="s">
        <v>2028</v>
      </c>
      <c r="G2043" s="46" t="s">
        <v>2029</v>
      </c>
    </row>
    <row r="2044" spans="1:22" ht="15.75" customHeight="1" x14ac:dyDescent="0.2">
      <c r="A2044" s="40"/>
      <c r="B2044" s="45" t="s">
        <v>102</v>
      </c>
      <c r="C2044" s="46" t="s">
        <v>2031</v>
      </c>
      <c r="D2044" s="46" t="s">
        <v>441</v>
      </c>
      <c r="E2044" s="46" t="s">
        <v>397</v>
      </c>
      <c r="F2044" s="46" t="s">
        <v>2028</v>
      </c>
      <c r="G2044" s="46" t="s">
        <v>2029</v>
      </c>
    </row>
    <row r="2045" spans="1:22" ht="15.75" customHeight="1" x14ac:dyDescent="0.2">
      <c r="A2045" s="40"/>
      <c r="B2045" s="45" t="s">
        <v>296</v>
      </c>
      <c r="C2045" s="46" t="s">
        <v>2032</v>
      </c>
      <c r="D2045" s="46" t="s">
        <v>513</v>
      </c>
      <c r="E2045" s="46" t="s">
        <v>259</v>
      </c>
      <c r="F2045" s="46" t="s">
        <v>2028</v>
      </c>
      <c r="G2045" s="46" t="s">
        <v>2029</v>
      </c>
      <c r="H2045" s="43"/>
      <c r="I2045" s="43"/>
      <c r="J2045" s="43"/>
      <c r="K2045" s="43"/>
      <c r="L2045" s="43"/>
      <c r="M2045" s="43"/>
      <c r="N2045" s="43"/>
      <c r="O2045" s="43"/>
      <c r="P2045" s="43"/>
      <c r="Q2045" s="43"/>
      <c r="R2045" s="43"/>
      <c r="S2045" s="43"/>
      <c r="T2045" s="43"/>
      <c r="U2045" s="43"/>
      <c r="V2045" s="43"/>
    </row>
    <row r="2046" spans="1:22" ht="15.75" customHeight="1" x14ac:dyDescent="0.2">
      <c r="A2046" s="40"/>
      <c r="B2046" s="45" t="s">
        <v>108</v>
      </c>
      <c r="C2046" s="46" t="s">
        <v>2032</v>
      </c>
      <c r="D2046" s="46" t="s">
        <v>513</v>
      </c>
      <c r="E2046" s="46" t="s">
        <v>259</v>
      </c>
      <c r="F2046" s="46" t="s">
        <v>2028</v>
      </c>
      <c r="G2046" s="46" t="s">
        <v>2029</v>
      </c>
      <c r="H2046" s="43"/>
      <c r="I2046" s="43"/>
      <c r="J2046" s="43"/>
      <c r="K2046" s="43"/>
      <c r="L2046" s="43"/>
      <c r="M2046" s="43"/>
      <c r="N2046" s="43"/>
      <c r="O2046" s="43"/>
      <c r="P2046" s="43"/>
      <c r="Q2046" s="43"/>
      <c r="R2046" s="43"/>
      <c r="S2046" s="43"/>
      <c r="T2046" s="43"/>
      <c r="U2046" s="43"/>
      <c r="V2046" s="43"/>
    </row>
    <row r="2047" spans="1:22" ht="15.75" customHeight="1" x14ac:dyDescent="0.2">
      <c r="A2047" s="40">
        <v>1507</v>
      </c>
      <c r="B2047" s="41" t="s">
        <v>262</v>
      </c>
      <c r="C2047" s="42" t="s">
        <v>2033</v>
      </c>
      <c r="D2047" s="42" t="s">
        <v>713</v>
      </c>
      <c r="E2047" s="42" t="s">
        <v>259</v>
      </c>
      <c r="F2047" s="42" t="s">
        <v>2034</v>
      </c>
      <c r="G2047" s="42" t="s">
        <v>2029</v>
      </c>
      <c r="H2047" s="43"/>
      <c r="I2047" s="43"/>
      <c r="J2047" s="43"/>
      <c r="K2047" s="43"/>
      <c r="L2047" s="43"/>
      <c r="M2047" s="43"/>
      <c r="N2047" s="43"/>
      <c r="O2047" s="43"/>
      <c r="P2047" s="43"/>
      <c r="Q2047" s="43"/>
      <c r="R2047" s="43"/>
      <c r="S2047" s="43"/>
      <c r="T2047" s="43"/>
      <c r="U2047" s="43"/>
      <c r="V2047" s="43"/>
    </row>
    <row r="2048" spans="1:22" ht="15.75" customHeight="1" x14ac:dyDescent="0.2">
      <c r="A2048" s="40">
        <v>2295</v>
      </c>
      <c r="B2048" s="41" t="s">
        <v>284</v>
      </c>
      <c r="C2048" s="42" t="s">
        <v>2033</v>
      </c>
      <c r="D2048" s="42" t="s">
        <v>713</v>
      </c>
      <c r="E2048" s="42" t="s">
        <v>259</v>
      </c>
      <c r="F2048" s="42" t="s">
        <v>2034</v>
      </c>
      <c r="G2048" s="42" t="s">
        <v>2029</v>
      </c>
      <c r="H2048" s="43"/>
      <c r="I2048" s="43"/>
      <c r="J2048" s="43"/>
      <c r="K2048" s="43"/>
      <c r="L2048" s="43"/>
      <c r="M2048" s="43"/>
      <c r="N2048" s="43"/>
      <c r="O2048" s="43"/>
      <c r="P2048" s="43"/>
      <c r="Q2048" s="43"/>
      <c r="R2048" s="43"/>
      <c r="S2048" s="43"/>
      <c r="T2048" s="43"/>
      <c r="U2048" s="43"/>
      <c r="V2048" s="43"/>
    </row>
    <row r="2049" spans="1:22" ht="15.75" customHeight="1" x14ac:dyDescent="0.2">
      <c r="A2049" s="40">
        <v>2297</v>
      </c>
      <c r="B2049" s="41" t="s">
        <v>284</v>
      </c>
      <c r="C2049" s="42" t="s">
        <v>2035</v>
      </c>
      <c r="D2049" s="42" t="s">
        <v>426</v>
      </c>
      <c r="E2049" s="42" t="s">
        <v>259</v>
      </c>
      <c r="F2049" s="42" t="s">
        <v>2034</v>
      </c>
      <c r="G2049" s="42" t="s">
        <v>2029</v>
      </c>
      <c r="H2049" s="43"/>
      <c r="I2049" s="43"/>
      <c r="J2049" s="43"/>
      <c r="K2049" s="43"/>
      <c r="L2049" s="43"/>
      <c r="M2049" s="43"/>
      <c r="N2049" s="43"/>
      <c r="O2049" s="43"/>
      <c r="P2049" s="43"/>
      <c r="Q2049" s="43"/>
      <c r="R2049" s="43"/>
      <c r="S2049" s="43"/>
      <c r="T2049" s="43"/>
      <c r="U2049" s="43"/>
      <c r="V2049" s="43"/>
    </row>
    <row r="2050" spans="1:22" ht="15.75" customHeight="1" x14ac:dyDescent="0.2">
      <c r="A2050" s="40">
        <v>2857</v>
      </c>
      <c r="B2050" s="41" t="s">
        <v>519</v>
      </c>
      <c r="C2050" s="42" t="s">
        <v>2035</v>
      </c>
      <c r="D2050" s="42" t="s">
        <v>426</v>
      </c>
      <c r="E2050" s="42" t="s">
        <v>259</v>
      </c>
      <c r="F2050" s="42" t="s">
        <v>2034</v>
      </c>
      <c r="G2050" s="42" t="s">
        <v>2029</v>
      </c>
      <c r="H2050" s="43"/>
      <c r="I2050" s="43"/>
      <c r="J2050" s="43"/>
      <c r="K2050" s="43"/>
      <c r="L2050" s="43"/>
      <c r="M2050" s="43"/>
      <c r="N2050" s="43"/>
      <c r="O2050" s="43"/>
      <c r="P2050" s="43"/>
      <c r="Q2050" s="43"/>
      <c r="R2050" s="43"/>
      <c r="S2050" s="43"/>
      <c r="T2050" s="43"/>
      <c r="U2050" s="43"/>
      <c r="V2050" s="43"/>
    </row>
    <row r="2051" spans="1:22" ht="15.75" customHeight="1" x14ac:dyDescent="0.2">
      <c r="A2051" s="40">
        <v>1547</v>
      </c>
      <c r="B2051" s="41" t="s">
        <v>377</v>
      </c>
      <c r="C2051" s="42" t="s">
        <v>2036</v>
      </c>
      <c r="D2051" s="42" t="s">
        <v>430</v>
      </c>
      <c r="E2051" s="42" t="s">
        <v>502</v>
      </c>
      <c r="F2051" s="42" t="s">
        <v>2034</v>
      </c>
      <c r="G2051" s="42" t="s">
        <v>2029</v>
      </c>
      <c r="H2051" s="43"/>
      <c r="I2051" s="43"/>
      <c r="J2051" s="43"/>
      <c r="K2051" s="43"/>
      <c r="L2051" s="43"/>
      <c r="M2051" s="43"/>
      <c r="N2051" s="43"/>
      <c r="O2051" s="43"/>
      <c r="P2051" s="43"/>
      <c r="Q2051" s="43"/>
      <c r="R2051" s="43"/>
      <c r="S2051" s="43"/>
      <c r="T2051" s="43"/>
      <c r="U2051" s="43"/>
      <c r="V2051" s="43"/>
    </row>
    <row r="2052" spans="1:22" ht="15.75" customHeight="1" x14ac:dyDescent="0.2">
      <c r="A2052" s="40">
        <v>2327</v>
      </c>
      <c r="B2052" s="41" t="s">
        <v>285</v>
      </c>
      <c r="C2052" s="42" t="s">
        <v>2036</v>
      </c>
      <c r="D2052" s="42" t="s">
        <v>430</v>
      </c>
      <c r="E2052" s="42" t="s">
        <v>502</v>
      </c>
      <c r="F2052" s="42" t="s">
        <v>2034</v>
      </c>
      <c r="G2052" s="42" t="s">
        <v>2029</v>
      </c>
      <c r="H2052" s="43"/>
      <c r="I2052" s="43"/>
      <c r="J2052" s="43"/>
      <c r="K2052" s="43"/>
      <c r="L2052" s="43"/>
      <c r="M2052" s="43"/>
      <c r="N2052" s="43"/>
      <c r="O2052" s="43"/>
      <c r="P2052" s="43"/>
      <c r="Q2052" s="43"/>
      <c r="R2052" s="43"/>
      <c r="S2052" s="43"/>
      <c r="T2052" s="43"/>
      <c r="U2052" s="43"/>
      <c r="V2052" s="43"/>
    </row>
    <row r="2053" spans="1:22" ht="15.75" customHeight="1" x14ac:dyDescent="0.2">
      <c r="A2053" s="40"/>
      <c r="B2053" s="47" t="s">
        <v>102</v>
      </c>
      <c r="C2053" s="51" t="s">
        <v>2037</v>
      </c>
      <c r="D2053" s="51" t="s">
        <v>339</v>
      </c>
      <c r="E2053" s="51" t="s">
        <v>40</v>
      </c>
      <c r="F2053" s="51" t="s">
        <v>2034</v>
      </c>
      <c r="G2053" s="46" t="s">
        <v>2029</v>
      </c>
    </row>
    <row r="2054" spans="1:22" ht="15.75" customHeight="1" x14ac:dyDescent="0.2">
      <c r="A2054" s="40"/>
      <c r="B2054" s="45" t="s">
        <v>232</v>
      </c>
      <c r="C2054" s="46" t="s">
        <v>2037</v>
      </c>
      <c r="D2054" s="46" t="s">
        <v>339</v>
      </c>
      <c r="E2054" s="46" t="s">
        <v>40</v>
      </c>
      <c r="F2054" s="46" t="s">
        <v>2034</v>
      </c>
      <c r="G2054" s="46" t="s">
        <v>2029</v>
      </c>
    </row>
    <row r="2055" spans="1:22" ht="15.75" customHeight="1" x14ac:dyDescent="0.2">
      <c r="A2055" s="40"/>
      <c r="B2055" s="45" t="s">
        <v>126</v>
      </c>
      <c r="C2055" s="46" t="s">
        <v>2038</v>
      </c>
      <c r="D2055" s="46" t="s">
        <v>295</v>
      </c>
      <c r="E2055" s="46" t="s">
        <v>374</v>
      </c>
      <c r="F2055" s="46" t="s">
        <v>2034</v>
      </c>
      <c r="G2055" s="46" t="s">
        <v>2029</v>
      </c>
    </row>
    <row r="2056" spans="1:22" ht="15.75" customHeight="1" x14ac:dyDescent="0.2">
      <c r="A2056" s="40"/>
      <c r="B2056" s="45" t="s">
        <v>131</v>
      </c>
      <c r="C2056" s="46" t="s">
        <v>2038</v>
      </c>
      <c r="D2056" s="46" t="s">
        <v>295</v>
      </c>
      <c r="E2056" s="46" t="s">
        <v>374</v>
      </c>
      <c r="F2056" s="46" t="s">
        <v>2034</v>
      </c>
      <c r="G2056" s="46" t="s">
        <v>2029</v>
      </c>
    </row>
    <row r="2057" spans="1:22" ht="15.75" customHeight="1" x14ac:dyDescent="0.2">
      <c r="A2057" s="40"/>
      <c r="B2057" s="45" t="s">
        <v>118</v>
      </c>
      <c r="C2057" s="46" t="s">
        <v>2039</v>
      </c>
      <c r="D2057" s="46" t="s">
        <v>86</v>
      </c>
      <c r="E2057" s="46" t="s">
        <v>40</v>
      </c>
      <c r="F2057" s="46" t="s">
        <v>2034</v>
      </c>
      <c r="G2057" s="46" t="s">
        <v>2029</v>
      </c>
      <c r="H2057" s="43"/>
      <c r="I2057" s="43"/>
      <c r="J2057" s="43"/>
      <c r="K2057" s="43"/>
      <c r="L2057" s="43"/>
      <c r="M2057" s="43"/>
      <c r="N2057" s="43"/>
      <c r="O2057" s="43"/>
      <c r="P2057" s="43"/>
      <c r="Q2057" s="43"/>
      <c r="R2057" s="43"/>
      <c r="S2057" s="43"/>
      <c r="T2057" s="43"/>
      <c r="U2057" s="43"/>
      <c r="V2057" s="43"/>
    </row>
    <row r="2058" spans="1:22" ht="15.75" customHeight="1" x14ac:dyDescent="0.2">
      <c r="A2058" s="40"/>
      <c r="B2058" s="45" t="s">
        <v>121</v>
      </c>
      <c r="C2058" s="46" t="s">
        <v>2039</v>
      </c>
      <c r="D2058" s="46" t="s">
        <v>86</v>
      </c>
      <c r="E2058" s="46" t="s">
        <v>40</v>
      </c>
      <c r="F2058" s="46" t="s">
        <v>2034</v>
      </c>
      <c r="G2058" s="46" t="s">
        <v>2029</v>
      </c>
      <c r="H2058" s="43"/>
      <c r="I2058" s="43"/>
      <c r="J2058" s="43"/>
      <c r="K2058" s="43"/>
      <c r="L2058" s="43"/>
      <c r="M2058" s="43"/>
      <c r="N2058" s="43"/>
      <c r="O2058" s="43"/>
      <c r="P2058" s="43"/>
      <c r="Q2058" s="43"/>
      <c r="R2058" s="43"/>
      <c r="S2058" s="43"/>
      <c r="T2058" s="43"/>
      <c r="U2058" s="43"/>
      <c r="V2058" s="43"/>
    </row>
    <row r="2059" spans="1:22" ht="15.75" customHeight="1" x14ac:dyDescent="0.2">
      <c r="A2059" s="40"/>
      <c r="B2059" s="45" t="s">
        <v>315</v>
      </c>
      <c r="C2059" s="46" t="s">
        <v>2040</v>
      </c>
      <c r="D2059" s="46" t="s">
        <v>269</v>
      </c>
      <c r="E2059" s="46" t="s">
        <v>32</v>
      </c>
      <c r="F2059" s="46" t="s">
        <v>2034</v>
      </c>
      <c r="G2059" s="46" t="s">
        <v>2029</v>
      </c>
      <c r="H2059" s="43"/>
      <c r="I2059" s="43"/>
      <c r="J2059" s="43"/>
      <c r="K2059" s="43"/>
      <c r="L2059" s="43"/>
      <c r="M2059" s="43"/>
      <c r="N2059" s="43"/>
      <c r="O2059" s="43"/>
      <c r="P2059" s="43"/>
      <c r="Q2059" s="43"/>
      <c r="R2059" s="43"/>
      <c r="S2059" s="43"/>
      <c r="T2059" s="43"/>
      <c r="U2059" s="43"/>
      <c r="V2059" s="43"/>
    </row>
    <row r="2060" spans="1:22" ht="15.75" customHeight="1" x14ac:dyDescent="0.2">
      <c r="A2060" s="40"/>
      <c r="B2060" s="45" t="s">
        <v>323</v>
      </c>
      <c r="C2060" s="46" t="s">
        <v>2040</v>
      </c>
      <c r="D2060" s="46" t="s">
        <v>269</v>
      </c>
      <c r="E2060" s="46" t="s">
        <v>32</v>
      </c>
      <c r="F2060" s="46" t="s">
        <v>2034</v>
      </c>
      <c r="G2060" s="46" t="s">
        <v>2029</v>
      </c>
      <c r="H2060" s="43"/>
      <c r="I2060" s="43"/>
      <c r="J2060" s="43"/>
      <c r="K2060" s="43"/>
      <c r="L2060" s="43"/>
      <c r="M2060" s="43"/>
      <c r="N2060" s="43"/>
      <c r="O2060" s="43"/>
      <c r="P2060" s="43"/>
      <c r="Q2060" s="43"/>
      <c r="R2060" s="43"/>
      <c r="S2060" s="43"/>
      <c r="T2060" s="43"/>
      <c r="U2060" s="43"/>
      <c r="V2060" s="43"/>
    </row>
    <row r="2061" spans="1:22" ht="15.75" customHeight="1" x14ac:dyDescent="0.2">
      <c r="A2061" s="40">
        <v>1677</v>
      </c>
      <c r="B2061" s="41" t="s">
        <v>270</v>
      </c>
      <c r="C2061" s="42" t="s">
        <v>2041</v>
      </c>
      <c r="D2061" s="42" t="s">
        <v>78</v>
      </c>
      <c r="E2061" s="42" t="s">
        <v>87</v>
      </c>
      <c r="F2061" s="42" t="s">
        <v>2042</v>
      </c>
      <c r="G2061" s="42" t="s">
        <v>2029</v>
      </c>
      <c r="H2061" s="43"/>
      <c r="I2061" s="43"/>
      <c r="J2061" s="43"/>
      <c r="K2061" s="43"/>
      <c r="L2061" s="43"/>
      <c r="M2061" s="43"/>
      <c r="N2061" s="43"/>
      <c r="O2061" s="43"/>
      <c r="P2061" s="43"/>
      <c r="Q2061" s="43"/>
      <c r="R2061" s="43"/>
      <c r="S2061" s="43"/>
      <c r="T2061" s="43"/>
      <c r="U2061" s="43"/>
      <c r="V2061" s="43"/>
    </row>
    <row r="2062" spans="1:22" ht="15.75" customHeight="1" x14ac:dyDescent="0.2">
      <c r="A2062" s="40">
        <v>1931</v>
      </c>
      <c r="B2062" s="41" t="s">
        <v>278</v>
      </c>
      <c r="C2062" s="42" t="s">
        <v>2041</v>
      </c>
      <c r="D2062" s="42" t="s">
        <v>78</v>
      </c>
      <c r="E2062" s="42" t="s">
        <v>87</v>
      </c>
      <c r="F2062" s="42" t="s">
        <v>2042</v>
      </c>
      <c r="G2062" s="42" t="s">
        <v>2029</v>
      </c>
      <c r="H2062" s="43"/>
      <c r="I2062" s="43"/>
      <c r="J2062" s="43"/>
      <c r="K2062" s="43"/>
      <c r="L2062" s="43"/>
      <c r="M2062" s="43"/>
      <c r="N2062" s="43"/>
      <c r="O2062" s="43"/>
      <c r="P2062" s="43"/>
      <c r="Q2062" s="43"/>
      <c r="R2062" s="43"/>
      <c r="S2062" s="43"/>
      <c r="T2062" s="43"/>
      <c r="U2062" s="43"/>
      <c r="V2062" s="43"/>
    </row>
    <row r="2063" spans="1:22" ht="15.75" customHeight="1" x14ac:dyDescent="0.2">
      <c r="A2063" s="40">
        <v>2203</v>
      </c>
      <c r="B2063" s="41" t="s">
        <v>282</v>
      </c>
      <c r="C2063" s="42" t="s">
        <v>2041</v>
      </c>
      <c r="D2063" s="42" t="s">
        <v>78</v>
      </c>
      <c r="E2063" s="42" t="s">
        <v>87</v>
      </c>
      <c r="F2063" s="42" t="s">
        <v>2042</v>
      </c>
      <c r="G2063" s="42" t="s">
        <v>2029</v>
      </c>
      <c r="H2063" s="43"/>
      <c r="I2063" s="43"/>
      <c r="J2063" s="43"/>
      <c r="K2063" s="43"/>
      <c r="L2063" s="43"/>
      <c r="M2063" s="43"/>
      <c r="N2063" s="43"/>
      <c r="O2063" s="43"/>
      <c r="P2063" s="43"/>
      <c r="Q2063" s="43"/>
      <c r="R2063" s="43"/>
      <c r="S2063" s="43"/>
      <c r="T2063" s="43"/>
      <c r="U2063" s="43"/>
      <c r="V2063" s="43"/>
    </row>
    <row r="2064" spans="1:22" ht="15.75" customHeight="1" x14ac:dyDescent="0.2">
      <c r="A2064" s="40"/>
      <c r="B2064" s="45" t="s">
        <v>102</v>
      </c>
      <c r="C2064" s="46" t="s">
        <v>2043</v>
      </c>
      <c r="D2064" s="46" t="s">
        <v>1068</v>
      </c>
      <c r="E2064" s="46" t="s">
        <v>348</v>
      </c>
      <c r="F2064" s="46" t="s">
        <v>2042</v>
      </c>
      <c r="G2064" s="46" t="s">
        <v>2029</v>
      </c>
    </row>
    <row r="2065" spans="1:22" ht="15.75" customHeight="1" x14ac:dyDescent="0.2">
      <c r="A2065" s="40"/>
      <c r="B2065" s="45" t="s">
        <v>108</v>
      </c>
      <c r="C2065" s="46" t="s">
        <v>2043</v>
      </c>
      <c r="D2065" s="46" t="s">
        <v>1068</v>
      </c>
      <c r="E2065" s="46" t="s">
        <v>348</v>
      </c>
      <c r="F2065" s="46" t="s">
        <v>2042</v>
      </c>
      <c r="G2065" s="46" t="s">
        <v>2029</v>
      </c>
    </row>
    <row r="2066" spans="1:22" ht="15.75" customHeight="1" x14ac:dyDescent="0.2">
      <c r="A2066" s="40"/>
      <c r="B2066" s="45" t="s">
        <v>94</v>
      </c>
      <c r="C2066" s="46" t="s">
        <v>2043</v>
      </c>
      <c r="D2066" s="46" t="s">
        <v>1068</v>
      </c>
      <c r="E2066" s="46" t="s">
        <v>348</v>
      </c>
      <c r="F2066" s="46" t="s">
        <v>2042</v>
      </c>
      <c r="G2066" s="46" t="s">
        <v>2029</v>
      </c>
    </row>
    <row r="2067" spans="1:22" ht="15.75" customHeight="1" x14ac:dyDescent="0.2">
      <c r="A2067" s="40"/>
      <c r="B2067" s="45" t="s">
        <v>232</v>
      </c>
      <c r="C2067" s="46" t="s">
        <v>2044</v>
      </c>
      <c r="D2067" s="46" t="s">
        <v>474</v>
      </c>
      <c r="E2067" s="46" t="s">
        <v>720</v>
      </c>
      <c r="F2067" s="46" t="s">
        <v>2042</v>
      </c>
      <c r="G2067" s="46" t="s">
        <v>2029</v>
      </c>
      <c r="H2067" s="43"/>
      <c r="I2067" s="43"/>
      <c r="J2067" s="43"/>
      <c r="K2067" s="43"/>
      <c r="L2067" s="43"/>
      <c r="M2067" s="43"/>
      <c r="N2067" s="43"/>
      <c r="O2067" s="43"/>
      <c r="P2067" s="43"/>
      <c r="Q2067" s="43"/>
      <c r="R2067" s="43"/>
      <c r="S2067" s="43"/>
      <c r="T2067" s="43"/>
      <c r="U2067" s="43"/>
      <c r="V2067" s="43"/>
    </row>
    <row r="2068" spans="1:22" ht="15.75" customHeight="1" x14ac:dyDescent="0.2">
      <c r="A2068" s="40"/>
      <c r="B2068" s="45" t="s">
        <v>303</v>
      </c>
      <c r="C2068" s="46" t="s">
        <v>2044</v>
      </c>
      <c r="D2068" s="46" t="s">
        <v>474</v>
      </c>
      <c r="E2068" s="46" t="s">
        <v>720</v>
      </c>
      <c r="F2068" s="46" t="s">
        <v>2042</v>
      </c>
      <c r="G2068" s="46" t="s">
        <v>2029</v>
      </c>
      <c r="H2068" s="43"/>
      <c r="I2068" s="43"/>
      <c r="J2068" s="43"/>
      <c r="K2068" s="43"/>
      <c r="L2068" s="43"/>
      <c r="M2068" s="43"/>
      <c r="N2068" s="43"/>
      <c r="O2068" s="43"/>
      <c r="P2068" s="43"/>
      <c r="Q2068" s="43"/>
      <c r="R2068" s="43"/>
      <c r="S2068" s="43"/>
      <c r="T2068" s="43"/>
      <c r="U2068" s="43"/>
      <c r="V2068" s="43"/>
    </row>
    <row r="2069" spans="1:22" ht="15.75" customHeight="1" x14ac:dyDescent="0.2">
      <c r="A2069" s="40"/>
      <c r="B2069" s="45" t="s">
        <v>94</v>
      </c>
      <c r="C2069" s="46" t="s">
        <v>2044</v>
      </c>
      <c r="D2069" s="46" t="s">
        <v>474</v>
      </c>
      <c r="E2069" s="46" t="s">
        <v>720</v>
      </c>
      <c r="F2069" s="46" t="s">
        <v>2042</v>
      </c>
      <c r="G2069" s="46" t="s">
        <v>2029</v>
      </c>
      <c r="H2069" s="43"/>
      <c r="I2069" s="43"/>
      <c r="J2069" s="43"/>
      <c r="K2069" s="43"/>
      <c r="L2069" s="43"/>
      <c r="M2069" s="43"/>
      <c r="N2069" s="43"/>
      <c r="O2069" s="43"/>
      <c r="P2069" s="43"/>
      <c r="Q2069" s="43"/>
      <c r="R2069" s="43"/>
      <c r="S2069" s="43"/>
      <c r="T2069" s="43"/>
      <c r="U2069" s="43"/>
      <c r="V2069" s="43"/>
    </row>
    <row r="2070" spans="1:22" ht="15.75" customHeight="1" x14ac:dyDescent="0.2">
      <c r="A2070" s="40"/>
      <c r="B2070" s="45" t="s">
        <v>323</v>
      </c>
      <c r="C2070" s="46" t="s">
        <v>2045</v>
      </c>
      <c r="D2070" s="46" t="s">
        <v>822</v>
      </c>
      <c r="E2070" s="46" t="s">
        <v>637</v>
      </c>
      <c r="F2070" s="46" t="s">
        <v>2042</v>
      </c>
      <c r="G2070" s="46" t="s">
        <v>2029</v>
      </c>
      <c r="H2070" s="43"/>
      <c r="I2070" s="43"/>
      <c r="J2070" s="43"/>
      <c r="K2070" s="43"/>
      <c r="L2070" s="43"/>
      <c r="M2070" s="43"/>
      <c r="N2070" s="43"/>
      <c r="O2070" s="43"/>
      <c r="P2070" s="43"/>
      <c r="Q2070" s="43"/>
      <c r="R2070" s="43"/>
      <c r="S2070" s="43"/>
      <c r="T2070" s="43"/>
      <c r="U2070" s="43"/>
      <c r="V2070" s="43"/>
    </row>
    <row r="2071" spans="1:22" ht="15.75" customHeight="1" x14ac:dyDescent="0.2">
      <c r="A2071" s="40"/>
      <c r="B2071" s="45" t="s">
        <v>303</v>
      </c>
      <c r="C2071" s="46" t="s">
        <v>2045</v>
      </c>
      <c r="D2071" s="46" t="s">
        <v>822</v>
      </c>
      <c r="E2071" s="46" t="s">
        <v>637</v>
      </c>
      <c r="F2071" s="46" t="s">
        <v>2042</v>
      </c>
      <c r="G2071" s="46" t="s">
        <v>2029</v>
      </c>
      <c r="H2071" s="43"/>
      <c r="I2071" s="43"/>
      <c r="J2071" s="43"/>
      <c r="K2071" s="43"/>
      <c r="L2071" s="43"/>
      <c r="M2071" s="43"/>
      <c r="N2071" s="43"/>
      <c r="O2071" s="43"/>
      <c r="P2071" s="43"/>
      <c r="Q2071" s="43"/>
      <c r="R2071" s="43"/>
      <c r="S2071" s="43"/>
      <c r="T2071" s="43"/>
      <c r="U2071" s="43"/>
      <c r="V2071" s="43"/>
    </row>
    <row r="2072" spans="1:22" ht="15.75" customHeight="1" x14ac:dyDescent="0.2">
      <c r="A2072" s="40"/>
      <c r="B2072" s="45" t="s">
        <v>94</v>
      </c>
      <c r="C2072" s="46" t="s">
        <v>2045</v>
      </c>
      <c r="D2072" s="46" t="s">
        <v>822</v>
      </c>
      <c r="E2072" s="46" t="s">
        <v>637</v>
      </c>
      <c r="F2072" s="46" t="s">
        <v>2042</v>
      </c>
      <c r="G2072" s="46" t="s">
        <v>2029</v>
      </c>
      <c r="H2072" s="43"/>
      <c r="I2072" s="43"/>
      <c r="J2072" s="43"/>
      <c r="K2072" s="43"/>
      <c r="L2072" s="43"/>
      <c r="M2072" s="43"/>
      <c r="N2072" s="43"/>
      <c r="O2072" s="43"/>
      <c r="P2072" s="43"/>
      <c r="Q2072" s="43"/>
      <c r="R2072" s="43"/>
      <c r="S2072" s="43"/>
      <c r="T2072" s="43"/>
      <c r="U2072" s="43"/>
      <c r="V2072" s="43"/>
    </row>
    <row r="2073" spans="1:22" ht="15.75" customHeight="1" x14ac:dyDescent="0.2">
      <c r="A2073" s="40"/>
      <c r="B2073" s="45" t="s">
        <v>421</v>
      </c>
      <c r="C2073" s="46" t="s">
        <v>2046</v>
      </c>
      <c r="D2073" s="46" t="s">
        <v>295</v>
      </c>
      <c r="E2073" s="46" t="s">
        <v>348</v>
      </c>
      <c r="F2073" s="46" t="s">
        <v>2042</v>
      </c>
      <c r="G2073" s="46" t="s">
        <v>2029</v>
      </c>
      <c r="H2073" s="43"/>
      <c r="I2073" s="43"/>
      <c r="J2073" s="43"/>
      <c r="K2073" s="43"/>
      <c r="L2073" s="43"/>
      <c r="M2073" s="43"/>
      <c r="N2073" s="43"/>
      <c r="O2073" s="43"/>
      <c r="P2073" s="43"/>
      <c r="Q2073" s="43"/>
      <c r="R2073" s="43"/>
      <c r="S2073" s="43"/>
      <c r="T2073" s="43"/>
      <c r="U2073" s="43"/>
      <c r="V2073" s="43"/>
    </row>
    <row r="2074" spans="1:22" ht="15.75" customHeight="1" x14ac:dyDescent="0.2">
      <c r="A2074" s="40"/>
      <c r="B2074" s="45" t="s">
        <v>114</v>
      </c>
      <c r="C2074" s="46" t="s">
        <v>2046</v>
      </c>
      <c r="D2074" s="46" t="s">
        <v>295</v>
      </c>
      <c r="E2074" s="46" t="s">
        <v>348</v>
      </c>
      <c r="F2074" s="46" t="s">
        <v>2042</v>
      </c>
      <c r="G2074" s="46" t="s">
        <v>2029</v>
      </c>
      <c r="H2074" s="43"/>
      <c r="I2074" s="43"/>
      <c r="J2074" s="43"/>
      <c r="K2074" s="43"/>
      <c r="L2074" s="43"/>
      <c r="M2074" s="43"/>
      <c r="N2074" s="43"/>
      <c r="O2074" s="43"/>
      <c r="P2074" s="43"/>
      <c r="Q2074" s="43"/>
      <c r="R2074" s="43"/>
      <c r="S2074" s="43"/>
      <c r="T2074" s="43"/>
      <c r="U2074" s="43"/>
      <c r="V2074" s="43"/>
    </row>
    <row r="2075" spans="1:22" ht="15.75" customHeight="1" x14ac:dyDescent="0.2">
      <c r="A2075" s="40"/>
      <c r="B2075" s="45" t="s">
        <v>108</v>
      </c>
      <c r="C2075" s="46" t="s">
        <v>2046</v>
      </c>
      <c r="D2075" s="46" t="s">
        <v>295</v>
      </c>
      <c r="E2075" s="46" t="s">
        <v>348</v>
      </c>
      <c r="F2075" s="46" t="s">
        <v>2042</v>
      </c>
      <c r="G2075" s="46" t="s">
        <v>2029</v>
      </c>
      <c r="H2075" s="43"/>
      <c r="I2075" s="43"/>
      <c r="J2075" s="43"/>
      <c r="K2075" s="43"/>
      <c r="L2075" s="43"/>
      <c r="M2075" s="43"/>
      <c r="N2075" s="43"/>
      <c r="O2075" s="43"/>
      <c r="P2075" s="43"/>
      <c r="Q2075" s="43"/>
      <c r="R2075" s="43"/>
      <c r="S2075" s="43"/>
      <c r="T2075" s="43"/>
      <c r="U2075" s="43"/>
      <c r="V2075" s="43"/>
    </row>
    <row r="2076" spans="1:22" ht="15.75" customHeight="1" x14ac:dyDescent="0.2">
      <c r="A2076" s="40"/>
      <c r="B2076" s="45" t="s">
        <v>307</v>
      </c>
      <c r="C2076" s="46" t="s">
        <v>2047</v>
      </c>
      <c r="D2076" s="46" t="s">
        <v>2048</v>
      </c>
      <c r="E2076" s="46" t="s">
        <v>22</v>
      </c>
      <c r="F2076" s="46" t="s">
        <v>2042</v>
      </c>
      <c r="G2076" s="46" t="s">
        <v>2029</v>
      </c>
      <c r="H2076" s="43"/>
      <c r="I2076" s="43"/>
      <c r="J2076" s="43"/>
      <c r="K2076" s="43"/>
      <c r="L2076" s="43"/>
      <c r="M2076" s="43"/>
      <c r="N2076" s="43"/>
      <c r="O2076" s="43"/>
      <c r="P2076" s="43"/>
      <c r="Q2076" s="43"/>
      <c r="R2076" s="43"/>
      <c r="S2076" s="43"/>
      <c r="T2076" s="43"/>
      <c r="U2076" s="43"/>
      <c r="V2076" s="43"/>
    </row>
    <row r="2077" spans="1:22" ht="15.75" customHeight="1" x14ac:dyDescent="0.2">
      <c r="A2077" s="40"/>
      <c r="B2077" s="45" t="s">
        <v>311</v>
      </c>
      <c r="C2077" s="46" t="s">
        <v>2047</v>
      </c>
      <c r="D2077" s="46" t="s">
        <v>2048</v>
      </c>
      <c r="E2077" s="46" t="s">
        <v>22</v>
      </c>
      <c r="F2077" s="46" t="s">
        <v>2042</v>
      </c>
      <c r="G2077" s="46" t="s">
        <v>2029</v>
      </c>
      <c r="H2077" s="43"/>
      <c r="I2077" s="43"/>
      <c r="J2077" s="43"/>
      <c r="K2077" s="43"/>
      <c r="L2077" s="43"/>
      <c r="M2077" s="43"/>
      <c r="N2077" s="43"/>
      <c r="O2077" s="43"/>
      <c r="P2077" s="43"/>
      <c r="Q2077" s="43"/>
      <c r="R2077" s="43"/>
      <c r="S2077" s="43"/>
      <c r="T2077" s="43"/>
      <c r="U2077" s="43"/>
      <c r="V2077" s="43"/>
    </row>
    <row r="2078" spans="1:22" ht="15.75" customHeight="1" x14ac:dyDescent="0.2">
      <c r="A2078" s="40">
        <v>603</v>
      </c>
      <c r="B2078" s="41" t="s">
        <v>428</v>
      </c>
      <c r="C2078" s="42" t="s">
        <v>2049</v>
      </c>
      <c r="D2078" s="42" t="s">
        <v>526</v>
      </c>
      <c r="E2078" s="42" t="s">
        <v>1492</v>
      </c>
      <c r="F2078" s="42" t="s">
        <v>2050</v>
      </c>
      <c r="G2078" s="42" t="s">
        <v>2029</v>
      </c>
      <c r="H2078" s="43"/>
      <c r="I2078" s="43"/>
      <c r="J2078" s="43"/>
      <c r="K2078" s="43"/>
      <c r="L2078" s="43"/>
      <c r="M2078" s="43"/>
      <c r="N2078" s="43"/>
      <c r="O2078" s="43"/>
      <c r="P2078" s="43"/>
      <c r="Q2078" s="43"/>
      <c r="R2078" s="43"/>
      <c r="S2078" s="43"/>
      <c r="T2078" s="43"/>
      <c r="U2078" s="43"/>
      <c r="V2078" s="43"/>
    </row>
    <row r="2079" spans="1:22" ht="15.75" customHeight="1" x14ac:dyDescent="0.2">
      <c r="A2079" s="40"/>
      <c r="B2079" s="45" t="s">
        <v>94</v>
      </c>
      <c r="C2079" s="46" t="s">
        <v>2049</v>
      </c>
      <c r="D2079" s="46" t="s">
        <v>513</v>
      </c>
      <c r="E2079" s="46" t="s">
        <v>1492</v>
      </c>
      <c r="F2079" s="51" t="s">
        <v>2050</v>
      </c>
      <c r="G2079" s="46" t="s">
        <v>2029</v>
      </c>
    </row>
    <row r="2080" spans="1:22" ht="15.75" customHeight="1" x14ac:dyDescent="0.2">
      <c r="A2080" s="40">
        <v>713</v>
      </c>
      <c r="B2080" s="41" t="s">
        <v>685</v>
      </c>
      <c r="C2080" s="42" t="s">
        <v>2051</v>
      </c>
      <c r="D2080" s="42" t="s">
        <v>370</v>
      </c>
      <c r="E2080" s="42" t="s">
        <v>389</v>
      </c>
      <c r="F2080" s="42" t="s">
        <v>2052</v>
      </c>
      <c r="G2080" s="42" t="s">
        <v>2029</v>
      </c>
      <c r="H2080" s="43"/>
      <c r="I2080" s="43"/>
      <c r="J2080" s="43"/>
      <c r="K2080" s="43"/>
      <c r="L2080" s="43"/>
      <c r="M2080" s="43"/>
      <c r="N2080" s="43"/>
      <c r="O2080" s="43"/>
      <c r="P2080" s="43"/>
      <c r="Q2080" s="43"/>
      <c r="R2080" s="43"/>
      <c r="S2080" s="43"/>
      <c r="T2080" s="43"/>
      <c r="U2080" s="43"/>
      <c r="V2080" s="43"/>
    </row>
    <row r="2081" spans="1:22" ht="15.75" customHeight="1" x14ac:dyDescent="0.2">
      <c r="A2081" s="40">
        <v>1135</v>
      </c>
      <c r="B2081" s="41" t="s">
        <v>449</v>
      </c>
      <c r="C2081" s="42" t="s">
        <v>2051</v>
      </c>
      <c r="D2081" s="42" t="s">
        <v>370</v>
      </c>
      <c r="E2081" s="42" t="s">
        <v>389</v>
      </c>
      <c r="F2081" s="42" t="s">
        <v>2052</v>
      </c>
      <c r="G2081" s="42" t="s">
        <v>2029</v>
      </c>
      <c r="H2081" s="43"/>
      <c r="I2081" s="43"/>
      <c r="J2081" s="43"/>
      <c r="K2081" s="43"/>
      <c r="L2081" s="43"/>
      <c r="M2081" s="43"/>
      <c r="N2081" s="43"/>
      <c r="O2081" s="43"/>
      <c r="P2081" s="43"/>
      <c r="Q2081" s="43"/>
      <c r="R2081" s="43"/>
      <c r="S2081" s="43"/>
      <c r="T2081" s="43"/>
      <c r="U2081" s="43"/>
      <c r="V2081" s="43"/>
    </row>
    <row r="2082" spans="1:22" ht="15.75" customHeight="1" x14ac:dyDescent="0.2">
      <c r="A2082" s="40">
        <v>699</v>
      </c>
      <c r="B2082" s="41" t="s">
        <v>1508</v>
      </c>
      <c r="C2082" s="42" t="s">
        <v>2053</v>
      </c>
      <c r="D2082" s="42" t="s">
        <v>2054</v>
      </c>
      <c r="E2082" s="42" t="s">
        <v>637</v>
      </c>
      <c r="F2082" s="42" t="s">
        <v>2052</v>
      </c>
      <c r="G2082" s="42" t="s">
        <v>2029</v>
      </c>
      <c r="H2082" s="43"/>
      <c r="I2082" s="43"/>
      <c r="J2082" s="43"/>
      <c r="K2082" s="43"/>
      <c r="L2082" s="43"/>
      <c r="M2082" s="43"/>
      <c r="N2082" s="43"/>
      <c r="O2082" s="43"/>
      <c r="P2082" s="43"/>
      <c r="Q2082" s="43"/>
      <c r="R2082" s="43"/>
      <c r="S2082" s="43"/>
      <c r="T2082" s="43"/>
      <c r="U2082" s="43"/>
      <c r="V2082" s="43"/>
    </row>
    <row r="2083" spans="1:22" ht="15.75" customHeight="1" x14ac:dyDescent="0.2">
      <c r="A2083" s="40">
        <v>1073</v>
      </c>
      <c r="B2083" s="41" t="s">
        <v>458</v>
      </c>
      <c r="C2083" s="42" t="s">
        <v>2053</v>
      </c>
      <c r="D2083" s="42" t="s">
        <v>2054</v>
      </c>
      <c r="E2083" s="42" t="s">
        <v>637</v>
      </c>
      <c r="F2083" s="42" t="s">
        <v>2052</v>
      </c>
      <c r="G2083" s="42" t="s">
        <v>2029</v>
      </c>
      <c r="H2083" s="43"/>
      <c r="I2083" s="43"/>
      <c r="J2083" s="43"/>
      <c r="K2083" s="43"/>
      <c r="L2083" s="43"/>
      <c r="M2083" s="43"/>
      <c r="N2083" s="43"/>
      <c r="O2083" s="43"/>
      <c r="P2083" s="43"/>
      <c r="Q2083" s="43"/>
      <c r="R2083" s="43"/>
      <c r="S2083" s="43"/>
      <c r="T2083" s="43"/>
      <c r="U2083" s="43"/>
      <c r="V2083" s="43"/>
    </row>
    <row r="2084" spans="1:22" ht="15.75" customHeight="1" x14ac:dyDescent="0.2">
      <c r="A2084" s="40">
        <v>697</v>
      </c>
      <c r="B2084" s="41" t="s">
        <v>1508</v>
      </c>
      <c r="C2084" s="42" t="s">
        <v>2055</v>
      </c>
      <c r="D2084" s="42" t="s">
        <v>2056</v>
      </c>
      <c r="E2084" s="42" t="s">
        <v>40</v>
      </c>
      <c r="F2084" s="42" t="s">
        <v>2052</v>
      </c>
      <c r="G2084" s="42" t="s">
        <v>2029</v>
      </c>
      <c r="H2084" s="43"/>
      <c r="I2084" s="43"/>
      <c r="J2084" s="43"/>
      <c r="K2084" s="43"/>
      <c r="L2084" s="43"/>
      <c r="M2084" s="43"/>
      <c r="N2084" s="43"/>
      <c r="O2084" s="43"/>
      <c r="P2084" s="43"/>
      <c r="Q2084" s="43"/>
      <c r="R2084" s="43"/>
      <c r="S2084" s="43"/>
      <c r="T2084" s="43"/>
      <c r="U2084" s="43"/>
      <c r="V2084" s="43"/>
    </row>
    <row r="2085" spans="1:22" ht="15.75" customHeight="1" x14ac:dyDescent="0.2">
      <c r="A2085" s="40">
        <v>1335</v>
      </c>
      <c r="B2085" s="41" t="s">
        <v>260</v>
      </c>
      <c r="C2085" s="42" t="s">
        <v>2055</v>
      </c>
      <c r="D2085" s="42" t="s">
        <v>2056</v>
      </c>
      <c r="E2085" s="42" t="s">
        <v>40</v>
      </c>
      <c r="F2085" s="42" t="s">
        <v>2052</v>
      </c>
      <c r="G2085" s="42" t="s">
        <v>2029</v>
      </c>
      <c r="H2085" s="43"/>
      <c r="I2085" s="43"/>
      <c r="J2085" s="43"/>
      <c r="K2085" s="43"/>
      <c r="L2085" s="43"/>
      <c r="M2085" s="43"/>
      <c r="N2085" s="43"/>
      <c r="O2085" s="43"/>
      <c r="P2085" s="43"/>
      <c r="Q2085" s="43"/>
      <c r="R2085" s="43"/>
      <c r="S2085" s="43"/>
      <c r="T2085" s="43"/>
      <c r="U2085" s="43"/>
      <c r="V2085" s="43"/>
    </row>
    <row r="2086" spans="1:22" ht="15.75" customHeight="1" x14ac:dyDescent="0.2">
      <c r="A2086" s="40">
        <v>715</v>
      </c>
      <c r="B2086" s="41" t="s">
        <v>685</v>
      </c>
      <c r="C2086" s="42" t="s">
        <v>2057</v>
      </c>
      <c r="D2086" s="42" t="s">
        <v>2058</v>
      </c>
      <c r="E2086" s="42" t="s">
        <v>1313</v>
      </c>
      <c r="F2086" s="42" t="s">
        <v>2052</v>
      </c>
      <c r="G2086" s="42" t="s">
        <v>2029</v>
      </c>
      <c r="H2086" s="43"/>
      <c r="I2086" s="43"/>
      <c r="J2086" s="43"/>
      <c r="K2086" s="43"/>
      <c r="L2086" s="43"/>
      <c r="M2086" s="43"/>
      <c r="N2086" s="43"/>
      <c r="O2086" s="43"/>
      <c r="P2086" s="43"/>
      <c r="Q2086" s="43"/>
      <c r="R2086" s="43"/>
      <c r="S2086" s="43"/>
      <c r="T2086" s="43"/>
      <c r="U2086" s="43"/>
      <c r="V2086" s="43"/>
    </row>
    <row r="2087" spans="1:22" ht="15.75" customHeight="1" x14ac:dyDescent="0.2">
      <c r="A2087" s="40">
        <v>1189</v>
      </c>
      <c r="B2087" s="41" t="s">
        <v>256</v>
      </c>
      <c r="C2087" s="42" t="s">
        <v>2057</v>
      </c>
      <c r="D2087" s="42" t="s">
        <v>2058</v>
      </c>
      <c r="E2087" s="42" t="s">
        <v>1313</v>
      </c>
      <c r="F2087" s="42" t="s">
        <v>2052</v>
      </c>
      <c r="G2087" s="42" t="s">
        <v>2029</v>
      </c>
      <c r="H2087" s="43"/>
      <c r="I2087" s="43"/>
      <c r="J2087" s="43"/>
      <c r="K2087" s="43"/>
      <c r="L2087" s="43"/>
      <c r="M2087" s="43"/>
      <c r="N2087" s="43"/>
      <c r="O2087" s="43"/>
      <c r="P2087" s="43"/>
      <c r="Q2087" s="43"/>
      <c r="R2087" s="43"/>
      <c r="S2087" s="43"/>
      <c r="T2087" s="43"/>
      <c r="U2087" s="43"/>
      <c r="V2087" s="43"/>
    </row>
    <row r="2088" spans="1:22" ht="15.75" customHeight="1" x14ac:dyDescent="0.2">
      <c r="A2088" s="40">
        <v>717</v>
      </c>
      <c r="B2088" s="41" t="s">
        <v>685</v>
      </c>
      <c r="C2088" s="42" t="s">
        <v>2059</v>
      </c>
      <c r="D2088" s="42" t="s">
        <v>1020</v>
      </c>
      <c r="E2088" s="42" t="s">
        <v>2060</v>
      </c>
      <c r="F2088" s="42" t="s">
        <v>2052</v>
      </c>
      <c r="G2088" s="42" t="s">
        <v>2029</v>
      </c>
      <c r="H2088" s="43"/>
      <c r="I2088" s="43"/>
      <c r="J2088" s="43"/>
      <c r="K2088" s="43"/>
      <c r="L2088" s="43"/>
      <c r="M2088" s="43"/>
      <c r="N2088" s="43"/>
      <c r="O2088" s="43"/>
      <c r="P2088" s="43"/>
      <c r="Q2088" s="43"/>
      <c r="R2088" s="43"/>
      <c r="S2088" s="43"/>
      <c r="T2088" s="43"/>
      <c r="U2088" s="43"/>
      <c r="V2088" s="43"/>
    </row>
    <row r="2089" spans="1:22" ht="15.75" customHeight="1" x14ac:dyDescent="0.2">
      <c r="A2089" s="40">
        <v>731</v>
      </c>
      <c r="B2089" s="41" t="s">
        <v>1407</v>
      </c>
      <c r="C2089" s="42" t="s">
        <v>2059</v>
      </c>
      <c r="D2089" s="42" t="s">
        <v>852</v>
      </c>
      <c r="E2089" s="42" t="s">
        <v>2060</v>
      </c>
      <c r="F2089" s="42" t="s">
        <v>2052</v>
      </c>
      <c r="G2089" s="42" t="s">
        <v>2029</v>
      </c>
      <c r="H2089" s="43"/>
      <c r="I2089" s="43"/>
      <c r="J2089" s="43"/>
      <c r="K2089" s="43"/>
      <c r="L2089" s="43"/>
      <c r="M2089" s="43"/>
      <c r="N2089" s="43"/>
      <c r="O2089" s="43"/>
      <c r="P2089" s="43"/>
      <c r="Q2089" s="43"/>
      <c r="R2089" s="43"/>
      <c r="S2089" s="43"/>
      <c r="T2089" s="43"/>
      <c r="U2089" s="43"/>
      <c r="V2089" s="43"/>
    </row>
    <row r="2090" spans="1:22" ht="15.75" customHeight="1" x14ac:dyDescent="0.2">
      <c r="A2090" s="40">
        <v>1137</v>
      </c>
      <c r="B2090" s="41" t="s">
        <v>449</v>
      </c>
      <c r="C2090" s="42" t="s">
        <v>2059</v>
      </c>
      <c r="D2090" s="42" t="s">
        <v>852</v>
      </c>
      <c r="E2090" s="42" t="s">
        <v>2060</v>
      </c>
      <c r="F2090" s="42" t="s">
        <v>2052</v>
      </c>
      <c r="G2090" s="42" t="s">
        <v>2029</v>
      </c>
      <c r="H2090" s="43"/>
      <c r="I2090" s="43"/>
      <c r="J2090" s="43"/>
      <c r="K2090" s="43"/>
      <c r="L2090" s="43"/>
      <c r="M2090" s="43"/>
      <c r="N2090" s="43"/>
      <c r="O2090" s="43"/>
      <c r="P2090" s="43"/>
      <c r="Q2090" s="43"/>
      <c r="R2090" s="43"/>
      <c r="S2090" s="43"/>
      <c r="T2090" s="43"/>
      <c r="U2090" s="43"/>
      <c r="V2090" s="43"/>
    </row>
    <row r="2091" spans="1:22" ht="15.75" customHeight="1" x14ac:dyDescent="0.2">
      <c r="A2091" s="40">
        <v>1191</v>
      </c>
      <c r="B2091" s="41" t="s">
        <v>256</v>
      </c>
      <c r="C2091" s="42" t="s">
        <v>2059</v>
      </c>
      <c r="D2091" s="42" t="s">
        <v>1020</v>
      </c>
      <c r="E2091" s="42" t="s">
        <v>2060</v>
      </c>
      <c r="F2091" s="42" t="s">
        <v>2052</v>
      </c>
      <c r="G2091" s="42" t="s">
        <v>2029</v>
      </c>
      <c r="H2091" s="43"/>
      <c r="I2091" s="43"/>
      <c r="J2091" s="43"/>
      <c r="K2091" s="43"/>
      <c r="L2091" s="43"/>
      <c r="M2091" s="43"/>
      <c r="N2091" s="43"/>
      <c r="O2091" s="43"/>
      <c r="P2091" s="43"/>
      <c r="Q2091" s="43"/>
      <c r="R2091" s="43"/>
      <c r="S2091" s="43"/>
      <c r="T2091" s="43"/>
      <c r="U2091" s="43"/>
      <c r="V2091" s="43"/>
    </row>
    <row r="2092" spans="1:22" ht="15.75" customHeight="1" x14ac:dyDescent="0.2">
      <c r="A2092" s="40">
        <v>741</v>
      </c>
      <c r="B2092" s="41" t="s">
        <v>686</v>
      </c>
      <c r="C2092" s="42" t="s">
        <v>2061</v>
      </c>
      <c r="D2092" s="42" t="s">
        <v>388</v>
      </c>
      <c r="E2092" s="42" t="s">
        <v>357</v>
      </c>
      <c r="F2092" s="42" t="s">
        <v>2052</v>
      </c>
      <c r="G2092" s="42" t="s">
        <v>2029</v>
      </c>
      <c r="H2092" s="43"/>
      <c r="I2092" s="43"/>
      <c r="J2092" s="43"/>
      <c r="K2092" s="43"/>
      <c r="L2092" s="43"/>
      <c r="M2092" s="43"/>
      <c r="N2092" s="43"/>
      <c r="O2092" s="43"/>
      <c r="P2092" s="43"/>
      <c r="Q2092" s="43"/>
      <c r="R2092" s="43"/>
      <c r="S2092" s="43"/>
      <c r="T2092" s="43"/>
      <c r="U2092" s="43"/>
      <c r="V2092" s="43"/>
    </row>
    <row r="2093" spans="1:22" ht="15.75" customHeight="1" x14ac:dyDescent="0.2">
      <c r="A2093" s="40">
        <v>2875</v>
      </c>
      <c r="B2093" s="41" t="s">
        <v>519</v>
      </c>
      <c r="C2093" s="42" t="s">
        <v>2061</v>
      </c>
      <c r="D2093" s="42" t="s">
        <v>388</v>
      </c>
      <c r="E2093" s="42" t="s">
        <v>357</v>
      </c>
      <c r="F2093" s="42" t="s">
        <v>2052</v>
      </c>
      <c r="G2093" s="42" t="s">
        <v>2029</v>
      </c>
      <c r="H2093" s="43"/>
      <c r="I2093" s="43"/>
      <c r="J2093" s="43"/>
      <c r="K2093" s="43"/>
      <c r="L2093" s="43"/>
      <c r="M2093" s="43"/>
      <c r="N2093" s="43"/>
      <c r="O2093" s="43"/>
      <c r="P2093" s="43"/>
      <c r="Q2093" s="43"/>
      <c r="R2093" s="43"/>
      <c r="S2093" s="43"/>
      <c r="T2093" s="43"/>
      <c r="U2093" s="43"/>
      <c r="V2093" s="43"/>
    </row>
    <row r="2094" spans="1:22" ht="15.75" customHeight="1" x14ac:dyDescent="0.2">
      <c r="A2094" s="40">
        <v>729</v>
      </c>
      <c r="B2094" s="41" t="s">
        <v>1407</v>
      </c>
      <c r="C2094" s="42" t="s">
        <v>2062</v>
      </c>
      <c r="D2094" s="42" t="s">
        <v>600</v>
      </c>
      <c r="E2094" s="42" t="s">
        <v>255</v>
      </c>
      <c r="F2094" s="42" t="s">
        <v>2052</v>
      </c>
      <c r="G2094" s="42" t="s">
        <v>2029</v>
      </c>
      <c r="H2094" s="43"/>
      <c r="I2094" s="43"/>
      <c r="J2094" s="43"/>
      <c r="K2094" s="43"/>
      <c r="L2094" s="43"/>
      <c r="M2094" s="43"/>
      <c r="N2094" s="43"/>
      <c r="O2094" s="43"/>
      <c r="P2094" s="43"/>
      <c r="Q2094" s="43"/>
      <c r="R2094" s="43"/>
      <c r="S2094" s="43"/>
      <c r="T2094" s="43"/>
      <c r="U2094" s="43"/>
      <c r="V2094" s="43"/>
    </row>
    <row r="2095" spans="1:22" ht="15.75" customHeight="1" x14ac:dyDescent="0.2">
      <c r="A2095" s="40">
        <v>1193</v>
      </c>
      <c r="B2095" s="41" t="s">
        <v>256</v>
      </c>
      <c r="C2095" s="42" t="s">
        <v>2062</v>
      </c>
      <c r="D2095" s="42" t="s">
        <v>600</v>
      </c>
      <c r="E2095" s="42" t="s">
        <v>255</v>
      </c>
      <c r="F2095" s="42" t="s">
        <v>2052</v>
      </c>
      <c r="G2095" s="42" t="s">
        <v>2029</v>
      </c>
      <c r="H2095" s="43"/>
      <c r="I2095" s="43"/>
      <c r="J2095" s="43"/>
      <c r="K2095" s="43"/>
      <c r="L2095" s="43"/>
      <c r="M2095" s="43"/>
      <c r="N2095" s="43"/>
      <c r="O2095" s="43"/>
      <c r="P2095" s="43"/>
      <c r="Q2095" s="43"/>
      <c r="R2095" s="43"/>
      <c r="S2095" s="43"/>
      <c r="T2095" s="43"/>
      <c r="U2095" s="43"/>
      <c r="V2095" s="43"/>
    </row>
    <row r="2096" spans="1:22" ht="15.75" customHeight="1" x14ac:dyDescent="0.2">
      <c r="A2096" s="40">
        <v>743</v>
      </c>
      <c r="B2096" s="41" t="s">
        <v>686</v>
      </c>
      <c r="C2096" s="42" t="s">
        <v>2063</v>
      </c>
      <c r="D2096" s="42" t="s">
        <v>426</v>
      </c>
      <c r="E2096" s="42" t="s">
        <v>348</v>
      </c>
      <c r="F2096" s="42" t="s">
        <v>2052</v>
      </c>
      <c r="G2096" s="42" t="s">
        <v>2029</v>
      </c>
      <c r="H2096" s="43"/>
      <c r="I2096" s="43"/>
      <c r="J2096" s="43"/>
      <c r="K2096" s="43"/>
      <c r="L2096" s="43"/>
      <c r="M2096" s="43"/>
      <c r="N2096" s="43"/>
      <c r="O2096" s="43"/>
      <c r="P2096" s="43"/>
      <c r="Q2096" s="43"/>
      <c r="R2096" s="43"/>
      <c r="S2096" s="43"/>
      <c r="T2096" s="43"/>
      <c r="U2096" s="43"/>
      <c r="V2096" s="43"/>
    </row>
    <row r="2097" spans="1:22" ht="15.75" customHeight="1" x14ac:dyDescent="0.2">
      <c r="A2097" s="40">
        <v>1585</v>
      </c>
      <c r="B2097" s="41" t="s">
        <v>585</v>
      </c>
      <c r="C2097" s="42" t="s">
        <v>2063</v>
      </c>
      <c r="D2097" s="42" t="s">
        <v>426</v>
      </c>
      <c r="E2097" s="42" t="s">
        <v>348</v>
      </c>
      <c r="F2097" s="42" t="s">
        <v>2052</v>
      </c>
      <c r="G2097" s="42" t="s">
        <v>2029</v>
      </c>
      <c r="H2097" s="43"/>
      <c r="I2097" s="43"/>
      <c r="J2097" s="43"/>
      <c r="K2097" s="43"/>
      <c r="L2097" s="43"/>
      <c r="M2097" s="43"/>
      <c r="N2097" s="43"/>
      <c r="O2097" s="43"/>
      <c r="P2097" s="43"/>
      <c r="Q2097" s="43"/>
      <c r="R2097" s="43"/>
      <c r="S2097" s="43"/>
      <c r="T2097" s="43"/>
      <c r="U2097" s="43"/>
      <c r="V2097" s="43"/>
    </row>
    <row r="2098" spans="1:22" ht="15.75" customHeight="1" x14ac:dyDescent="0.2">
      <c r="A2098" s="40">
        <v>1167</v>
      </c>
      <c r="B2098" s="41" t="s">
        <v>433</v>
      </c>
      <c r="C2098" s="42" t="s">
        <v>2064</v>
      </c>
      <c r="D2098" s="42" t="s">
        <v>574</v>
      </c>
      <c r="E2098" s="42" t="s">
        <v>357</v>
      </c>
      <c r="F2098" s="42" t="s">
        <v>2065</v>
      </c>
      <c r="G2098" s="42" t="s">
        <v>2029</v>
      </c>
      <c r="H2098" s="43"/>
      <c r="I2098" s="43"/>
      <c r="J2098" s="43"/>
      <c r="K2098" s="43"/>
      <c r="L2098" s="43"/>
      <c r="M2098" s="43"/>
      <c r="N2098" s="43"/>
      <c r="O2098" s="43"/>
      <c r="P2098" s="43"/>
      <c r="Q2098" s="43"/>
      <c r="R2098" s="43"/>
      <c r="S2098" s="43"/>
      <c r="T2098" s="43"/>
      <c r="U2098" s="43"/>
      <c r="V2098" s="43"/>
    </row>
    <row r="2099" spans="1:22" ht="15.75" customHeight="1" x14ac:dyDescent="0.2">
      <c r="A2099" s="40">
        <v>2261</v>
      </c>
      <c r="B2099" s="41" t="s">
        <v>517</v>
      </c>
      <c r="C2099" s="42" t="s">
        <v>2064</v>
      </c>
      <c r="D2099" s="42" t="s">
        <v>574</v>
      </c>
      <c r="E2099" s="42" t="s">
        <v>357</v>
      </c>
      <c r="F2099" s="42" t="s">
        <v>2065</v>
      </c>
      <c r="G2099" s="42" t="s">
        <v>2029</v>
      </c>
      <c r="H2099" s="43"/>
      <c r="I2099" s="43"/>
      <c r="J2099" s="43"/>
      <c r="K2099" s="43"/>
      <c r="L2099" s="43"/>
      <c r="M2099" s="43"/>
      <c r="N2099" s="43"/>
      <c r="O2099" s="43"/>
      <c r="P2099" s="43"/>
      <c r="Q2099" s="43"/>
      <c r="R2099" s="43"/>
      <c r="S2099" s="43"/>
      <c r="T2099" s="43"/>
      <c r="U2099" s="43"/>
      <c r="V2099" s="43"/>
    </row>
    <row r="2100" spans="1:22" ht="15.75" customHeight="1" x14ac:dyDescent="0.2">
      <c r="A2100" s="40">
        <v>997</v>
      </c>
      <c r="B2100" s="41" t="s">
        <v>624</v>
      </c>
      <c r="C2100" s="42" t="s">
        <v>514</v>
      </c>
      <c r="D2100" s="42" t="s">
        <v>680</v>
      </c>
      <c r="E2100" s="42" t="s">
        <v>1445</v>
      </c>
      <c r="F2100" s="42" t="s">
        <v>2065</v>
      </c>
      <c r="G2100" s="42" t="s">
        <v>2029</v>
      </c>
      <c r="H2100" s="43"/>
      <c r="I2100" s="43"/>
      <c r="J2100" s="43"/>
      <c r="K2100" s="43"/>
      <c r="L2100" s="43"/>
      <c r="M2100" s="43"/>
      <c r="N2100" s="43"/>
      <c r="O2100" s="43"/>
      <c r="P2100" s="43"/>
      <c r="Q2100" s="43"/>
      <c r="R2100" s="43"/>
      <c r="S2100" s="43"/>
      <c r="T2100" s="43"/>
      <c r="U2100" s="43"/>
      <c r="V2100" s="43"/>
    </row>
    <row r="2101" spans="1:22" ht="15.75" customHeight="1" x14ac:dyDescent="0.2">
      <c r="A2101" s="40">
        <v>2249</v>
      </c>
      <c r="B2101" s="41" t="s">
        <v>627</v>
      </c>
      <c r="C2101" s="42" t="s">
        <v>514</v>
      </c>
      <c r="D2101" s="42" t="s">
        <v>680</v>
      </c>
      <c r="E2101" s="42" t="s">
        <v>1445</v>
      </c>
      <c r="F2101" s="42" t="s">
        <v>2065</v>
      </c>
      <c r="G2101" s="42" t="s">
        <v>2029</v>
      </c>
      <c r="H2101" s="43"/>
      <c r="I2101" s="43"/>
      <c r="J2101" s="43"/>
      <c r="K2101" s="43"/>
      <c r="L2101" s="43"/>
      <c r="M2101" s="43"/>
      <c r="N2101" s="43"/>
      <c r="O2101" s="43"/>
      <c r="P2101" s="43"/>
      <c r="Q2101" s="43"/>
      <c r="R2101" s="43"/>
      <c r="S2101" s="43"/>
      <c r="T2101" s="43"/>
      <c r="U2101" s="43"/>
      <c r="V2101" s="43"/>
    </row>
    <row r="2102" spans="1:22" ht="15.75" customHeight="1" x14ac:dyDescent="0.2">
      <c r="A2102" s="40">
        <v>1471</v>
      </c>
      <c r="B2102" s="41" t="s">
        <v>261</v>
      </c>
      <c r="C2102" s="42" t="s">
        <v>2066</v>
      </c>
      <c r="D2102" s="42" t="s">
        <v>292</v>
      </c>
      <c r="E2102" s="42" t="s">
        <v>87</v>
      </c>
      <c r="F2102" s="42" t="s">
        <v>2065</v>
      </c>
      <c r="G2102" s="42" t="s">
        <v>2029</v>
      </c>
      <c r="H2102" s="43"/>
      <c r="I2102" s="43"/>
      <c r="J2102" s="43"/>
      <c r="K2102" s="43"/>
      <c r="L2102" s="43"/>
      <c r="M2102" s="43"/>
      <c r="N2102" s="43"/>
      <c r="O2102" s="43"/>
      <c r="P2102" s="43"/>
      <c r="Q2102" s="43"/>
      <c r="R2102" s="43"/>
      <c r="S2102" s="43"/>
      <c r="T2102" s="43"/>
      <c r="U2102" s="43"/>
      <c r="V2102" s="43"/>
    </row>
    <row r="2103" spans="1:22" ht="15.75" customHeight="1" x14ac:dyDescent="0.2">
      <c r="A2103" s="40">
        <v>2171</v>
      </c>
      <c r="B2103" s="41" t="s">
        <v>281</v>
      </c>
      <c r="C2103" s="42" t="s">
        <v>2066</v>
      </c>
      <c r="D2103" s="42" t="s">
        <v>292</v>
      </c>
      <c r="E2103" s="42" t="s">
        <v>87</v>
      </c>
      <c r="F2103" s="42" t="s">
        <v>2065</v>
      </c>
      <c r="G2103" s="42" t="s">
        <v>2029</v>
      </c>
      <c r="H2103" s="43"/>
      <c r="I2103" s="43"/>
      <c r="J2103" s="43"/>
      <c r="K2103" s="43"/>
      <c r="L2103" s="43"/>
      <c r="M2103" s="43"/>
      <c r="N2103" s="43"/>
      <c r="O2103" s="43"/>
      <c r="P2103" s="43"/>
      <c r="Q2103" s="43"/>
      <c r="R2103" s="43"/>
      <c r="S2103" s="43"/>
      <c r="T2103" s="43"/>
      <c r="U2103" s="43"/>
      <c r="V2103" s="43"/>
    </row>
    <row r="2104" spans="1:22" ht="15.75" customHeight="1" x14ac:dyDescent="0.2">
      <c r="A2104" s="40">
        <v>1093</v>
      </c>
      <c r="B2104" s="41" t="s">
        <v>710</v>
      </c>
      <c r="C2104" s="42" t="s">
        <v>2067</v>
      </c>
      <c r="D2104" s="42" t="s">
        <v>78</v>
      </c>
      <c r="E2104" s="42" t="s">
        <v>393</v>
      </c>
      <c r="F2104" s="42" t="s">
        <v>2065</v>
      </c>
      <c r="G2104" s="42" t="s">
        <v>2029</v>
      </c>
      <c r="H2104" s="43"/>
      <c r="I2104" s="43"/>
      <c r="J2104" s="43"/>
      <c r="K2104" s="43"/>
      <c r="L2104" s="43"/>
      <c r="M2104" s="43"/>
      <c r="N2104" s="43"/>
      <c r="O2104" s="43"/>
      <c r="P2104" s="43"/>
      <c r="Q2104" s="43"/>
      <c r="R2104" s="43"/>
      <c r="S2104" s="43"/>
      <c r="T2104" s="43"/>
      <c r="U2104" s="43"/>
      <c r="V2104" s="43"/>
    </row>
    <row r="2105" spans="1:22" ht="15.75" customHeight="1" x14ac:dyDescent="0.2">
      <c r="A2105" s="40">
        <v>1789</v>
      </c>
      <c r="B2105" s="41" t="s">
        <v>442</v>
      </c>
      <c r="C2105" s="42" t="s">
        <v>2067</v>
      </c>
      <c r="D2105" s="42" t="s">
        <v>78</v>
      </c>
      <c r="E2105" s="42" t="s">
        <v>393</v>
      </c>
      <c r="F2105" s="42" t="s">
        <v>2065</v>
      </c>
      <c r="G2105" s="42" t="s">
        <v>2029</v>
      </c>
      <c r="H2105" s="43"/>
      <c r="I2105" s="43"/>
      <c r="J2105" s="43"/>
      <c r="K2105" s="43"/>
      <c r="L2105" s="43"/>
      <c r="M2105" s="43"/>
      <c r="N2105" s="43"/>
      <c r="O2105" s="43"/>
      <c r="P2105" s="43"/>
      <c r="Q2105" s="43"/>
      <c r="R2105" s="43"/>
      <c r="S2105" s="43"/>
      <c r="T2105" s="43"/>
      <c r="U2105" s="43"/>
      <c r="V2105" s="43"/>
    </row>
    <row r="2106" spans="1:22" ht="15.75" customHeight="1" x14ac:dyDescent="0.2">
      <c r="A2106" s="40">
        <v>2087</v>
      </c>
      <c r="B2106" s="41" t="s">
        <v>653</v>
      </c>
      <c r="C2106" s="42" t="s">
        <v>2067</v>
      </c>
      <c r="D2106" s="42" t="s">
        <v>78</v>
      </c>
      <c r="E2106" s="42" t="s">
        <v>393</v>
      </c>
      <c r="F2106" s="42" t="s">
        <v>2065</v>
      </c>
      <c r="G2106" s="42" t="s">
        <v>2029</v>
      </c>
      <c r="H2106" s="43"/>
      <c r="I2106" s="43"/>
      <c r="J2106" s="43"/>
      <c r="K2106" s="43"/>
      <c r="L2106" s="43"/>
      <c r="M2106" s="43"/>
      <c r="N2106" s="43"/>
      <c r="O2106" s="43"/>
      <c r="P2106" s="43"/>
      <c r="Q2106" s="43"/>
      <c r="R2106" s="43"/>
      <c r="S2106" s="43"/>
      <c r="T2106" s="43"/>
      <c r="U2106" s="43"/>
      <c r="V2106" s="43"/>
    </row>
    <row r="2107" spans="1:22" ht="15.75" customHeight="1" x14ac:dyDescent="0.2">
      <c r="A2107" s="40">
        <v>1291</v>
      </c>
      <c r="B2107" s="41" t="s">
        <v>453</v>
      </c>
      <c r="C2107" s="42" t="s">
        <v>1679</v>
      </c>
      <c r="D2107" s="42" t="s">
        <v>643</v>
      </c>
      <c r="E2107" s="42" t="s">
        <v>326</v>
      </c>
      <c r="F2107" s="42" t="s">
        <v>2068</v>
      </c>
      <c r="G2107" s="42" t="s">
        <v>2029</v>
      </c>
      <c r="H2107" s="43"/>
      <c r="I2107" s="43"/>
      <c r="J2107" s="43"/>
      <c r="K2107" s="43"/>
      <c r="L2107" s="43"/>
      <c r="M2107" s="43"/>
      <c r="N2107" s="43"/>
      <c r="O2107" s="43"/>
      <c r="P2107" s="43"/>
      <c r="Q2107" s="43"/>
      <c r="R2107" s="43"/>
      <c r="S2107" s="43"/>
      <c r="T2107" s="43"/>
      <c r="U2107" s="43"/>
      <c r="V2107" s="43"/>
    </row>
    <row r="2108" spans="1:22" ht="15.75" customHeight="1" x14ac:dyDescent="0.2">
      <c r="A2108" s="40">
        <v>2129</v>
      </c>
      <c r="B2108" s="41" t="s">
        <v>280</v>
      </c>
      <c r="C2108" s="42" t="s">
        <v>1679</v>
      </c>
      <c r="D2108" s="42" t="s">
        <v>643</v>
      </c>
      <c r="E2108" s="42" t="s">
        <v>326</v>
      </c>
      <c r="F2108" s="42" t="s">
        <v>2068</v>
      </c>
      <c r="G2108" s="42" t="s">
        <v>2029</v>
      </c>
      <c r="H2108" s="43"/>
      <c r="I2108" s="43"/>
      <c r="J2108" s="43"/>
      <c r="K2108" s="43"/>
      <c r="L2108" s="43"/>
      <c r="M2108" s="43"/>
      <c r="N2108" s="43"/>
      <c r="O2108" s="43"/>
      <c r="P2108" s="43"/>
      <c r="Q2108" s="43"/>
      <c r="R2108" s="43"/>
      <c r="S2108" s="43"/>
      <c r="T2108" s="43"/>
      <c r="U2108" s="43"/>
      <c r="V2108" s="43"/>
    </row>
    <row r="2109" spans="1:22" ht="15.75" customHeight="1" x14ac:dyDescent="0.2">
      <c r="A2109" s="40">
        <v>1337</v>
      </c>
      <c r="B2109" s="41" t="s">
        <v>260</v>
      </c>
      <c r="C2109" s="42" t="s">
        <v>2069</v>
      </c>
      <c r="D2109" s="42" t="s">
        <v>1337</v>
      </c>
      <c r="E2109" s="42" t="s">
        <v>1235</v>
      </c>
      <c r="F2109" s="42" t="s">
        <v>2068</v>
      </c>
      <c r="G2109" s="42" t="s">
        <v>2029</v>
      </c>
      <c r="H2109" s="43"/>
      <c r="I2109" s="43"/>
      <c r="J2109" s="43"/>
      <c r="K2109" s="43"/>
      <c r="L2109" s="43"/>
      <c r="M2109" s="43"/>
      <c r="N2109" s="43"/>
      <c r="O2109" s="43"/>
      <c r="P2109" s="43"/>
      <c r="Q2109" s="43"/>
      <c r="R2109" s="43"/>
      <c r="S2109" s="43"/>
      <c r="T2109" s="43"/>
      <c r="U2109" s="43"/>
      <c r="V2109" s="43"/>
    </row>
    <row r="2110" spans="1:22" ht="15.75" customHeight="1" x14ac:dyDescent="0.2">
      <c r="A2110" s="40">
        <v>2127</v>
      </c>
      <c r="B2110" s="41" t="s">
        <v>280</v>
      </c>
      <c r="C2110" s="42" t="s">
        <v>2069</v>
      </c>
      <c r="D2110" s="42" t="s">
        <v>1337</v>
      </c>
      <c r="E2110" s="42" t="s">
        <v>1235</v>
      </c>
      <c r="F2110" s="42" t="s">
        <v>2068</v>
      </c>
      <c r="G2110" s="42" t="s">
        <v>2029</v>
      </c>
      <c r="H2110" s="43"/>
      <c r="I2110" s="43"/>
      <c r="J2110" s="43"/>
      <c r="K2110" s="43"/>
      <c r="L2110" s="43"/>
      <c r="M2110" s="43"/>
      <c r="N2110" s="43"/>
      <c r="O2110" s="43"/>
      <c r="P2110" s="43"/>
      <c r="Q2110" s="43"/>
      <c r="R2110" s="43"/>
      <c r="S2110" s="43"/>
      <c r="T2110" s="43"/>
      <c r="U2110" s="43"/>
      <c r="V2110" s="43"/>
    </row>
    <row r="2111" spans="1:22" ht="15.75" customHeight="1" x14ac:dyDescent="0.2">
      <c r="A2111" s="40">
        <v>1095</v>
      </c>
      <c r="B2111" s="41" t="s">
        <v>710</v>
      </c>
      <c r="C2111" s="42" t="s">
        <v>2070</v>
      </c>
      <c r="D2111" s="42" t="s">
        <v>139</v>
      </c>
      <c r="E2111" s="42" t="s">
        <v>40</v>
      </c>
      <c r="F2111" s="42" t="s">
        <v>2068</v>
      </c>
      <c r="G2111" s="42" t="s">
        <v>2029</v>
      </c>
      <c r="H2111" s="43"/>
      <c r="I2111" s="43"/>
      <c r="J2111" s="43"/>
      <c r="K2111" s="43"/>
      <c r="L2111" s="43"/>
      <c r="M2111" s="43"/>
      <c r="N2111" s="43"/>
      <c r="O2111" s="43"/>
      <c r="P2111" s="43"/>
      <c r="Q2111" s="43"/>
      <c r="R2111" s="43"/>
      <c r="S2111" s="43"/>
      <c r="T2111" s="43"/>
      <c r="U2111" s="43"/>
      <c r="V2111" s="43"/>
    </row>
    <row r="2112" spans="1:22" ht="15.75" customHeight="1" x14ac:dyDescent="0.2">
      <c r="A2112" s="40">
        <v>2089</v>
      </c>
      <c r="B2112" s="41" t="s">
        <v>653</v>
      </c>
      <c r="C2112" s="42" t="s">
        <v>2070</v>
      </c>
      <c r="D2112" s="42" t="s">
        <v>139</v>
      </c>
      <c r="E2112" s="42" t="s">
        <v>40</v>
      </c>
      <c r="F2112" s="42" t="s">
        <v>2068</v>
      </c>
      <c r="G2112" s="42" t="s">
        <v>2029</v>
      </c>
      <c r="H2112" s="43"/>
      <c r="I2112" s="43"/>
      <c r="J2112" s="43"/>
      <c r="K2112" s="43"/>
      <c r="L2112" s="43"/>
      <c r="M2112" s="43"/>
      <c r="N2112" s="43"/>
      <c r="O2112" s="43"/>
      <c r="P2112" s="43"/>
      <c r="Q2112" s="43"/>
      <c r="R2112" s="43"/>
      <c r="S2112" s="43"/>
      <c r="T2112" s="43"/>
      <c r="U2112" s="43"/>
      <c r="V2112" s="43"/>
    </row>
    <row r="2113" spans="1:22" ht="15.75" customHeight="1" x14ac:dyDescent="0.2">
      <c r="A2113" s="40">
        <v>1587</v>
      </c>
      <c r="B2113" s="41" t="s">
        <v>585</v>
      </c>
      <c r="C2113" s="42" t="s">
        <v>2071</v>
      </c>
      <c r="D2113" s="42" t="s">
        <v>104</v>
      </c>
      <c r="E2113" s="42" t="s">
        <v>1566</v>
      </c>
      <c r="F2113" s="42" t="s">
        <v>2068</v>
      </c>
      <c r="G2113" s="42" t="s">
        <v>2029</v>
      </c>
      <c r="H2113" s="43"/>
      <c r="I2113" s="43"/>
      <c r="J2113" s="43"/>
      <c r="K2113" s="43"/>
      <c r="L2113" s="43"/>
      <c r="M2113" s="43"/>
      <c r="N2113" s="43"/>
      <c r="O2113" s="43"/>
      <c r="P2113" s="43"/>
      <c r="Q2113" s="43"/>
      <c r="R2113" s="43"/>
      <c r="S2113" s="43"/>
      <c r="T2113" s="43"/>
      <c r="U2113" s="43"/>
      <c r="V2113" s="43"/>
    </row>
    <row r="2114" spans="1:22" ht="15.75" customHeight="1" x14ac:dyDescent="0.2">
      <c r="A2114" s="40">
        <v>2311</v>
      </c>
      <c r="B2114" s="41" t="s">
        <v>284</v>
      </c>
      <c r="C2114" s="42" t="s">
        <v>2071</v>
      </c>
      <c r="D2114" s="42" t="s">
        <v>104</v>
      </c>
      <c r="E2114" s="42" t="s">
        <v>1566</v>
      </c>
      <c r="F2114" s="42" t="s">
        <v>2068</v>
      </c>
      <c r="G2114" s="42" t="s">
        <v>2029</v>
      </c>
      <c r="H2114" s="43"/>
      <c r="I2114" s="43"/>
      <c r="J2114" s="43"/>
      <c r="K2114" s="43"/>
      <c r="L2114" s="43"/>
      <c r="M2114" s="43"/>
      <c r="N2114" s="43"/>
      <c r="O2114" s="43"/>
      <c r="P2114" s="43"/>
      <c r="Q2114" s="43"/>
      <c r="R2114" s="43"/>
      <c r="S2114" s="43"/>
      <c r="T2114" s="43"/>
      <c r="U2114" s="43"/>
      <c r="V2114" s="43"/>
    </row>
    <row r="2115" spans="1:22" ht="15.75" customHeight="1" x14ac:dyDescent="0.2">
      <c r="A2115" s="40">
        <v>921</v>
      </c>
      <c r="B2115" s="41" t="s">
        <v>694</v>
      </c>
      <c r="C2115" s="42" t="s">
        <v>2072</v>
      </c>
      <c r="D2115" s="42" t="s">
        <v>75</v>
      </c>
      <c r="E2115" s="42" t="s">
        <v>32</v>
      </c>
      <c r="F2115" s="42" t="s">
        <v>2068</v>
      </c>
      <c r="G2115" s="42" t="s">
        <v>2029</v>
      </c>
      <c r="H2115" s="43"/>
      <c r="I2115" s="43"/>
      <c r="J2115" s="43"/>
      <c r="K2115" s="43"/>
      <c r="L2115" s="43"/>
      <c r="M2115" s="43"/>
      <c r="N2115" s="43"/>
      <c r="O2115" s="43"/>
      <c r="P2115" s="43"/>
      <c r="Q2115" s="43"/>
      <c r="R2115" s="43"/>
      <c r="S2115" s="43"/>
      <c r="T2115" s="43"/>
      <c r="U2115" s="43"/>
      <c r="V2115" s="43"/>
    </row>
    <row r="2116" spans="1:22" ht="15.75" customHeight="1" x14ac:dyDescent="0.2">
      <c r="A2116" s="40">
        <v>2045</v>
      </c>
      <c r="B2116" s="41" t="s">
        <v>701</v>
      </c>
      <c r="C2116" s="42" t="s">
        <v>2072</v>
      </c>
      <c r="D2116" s="42" t="s">
        <v>75</v>
      </c>
      <c r="E2116" s="42" t="s">
        <v>32</v>
      </c>
      <c r="F2116" s="42" t="s">
        <v>2068</v>
      </c>
      <c r="G2116" s="42" t="s">
        <v>2029</v>
      </c>
      <c r="H2116" s="43"/>
      <c r="I2116" s="43"/>
      <c r="J2116" s="43"/>
      <c r="K2116" s="43"/>
      <c r="L2116" s="43"/>
      <c r="M2116" s="43"/>
      <c r="N2116" s="43"/>
      <c r="O2116" s="43"/>
      <c r="P2116" s="43"/>
      <c r="Q2116" s="43"/>
      <c r="R2116" s="43"/>
      <c r="S2116" s="43"/>
      <c r="T2116" s="43"/>
      <c r="U2116" s="43"/>
      <c r="V2116" s="43"/>
    </row>
    <row r="2117" spans="1:22" ht="15.75" customHeight="1" x14ac:dyDescent="0.2">
      <c r="A2117" s="40">
        <v>1589</v>
      </c>
      <c r="B2117" s="41" t="s">
        <v>264</v>
      </c>
      <c r="C2117" s="42" t="s">
        <v>2073</v>
      </c>
      <c r="D2117" s="42" t="s">
        <v>871</v>
      </c>
      <c r="E2117" s="42" t="s">
        <v>129</v>
      </c>
      <c r="F2117" s="42" t="s">
        <v>2074</v>
      </c>
      <c r="G2117" s="42" t="s">
        <v>2029</v>
      </c>
      <c r="H2117" s="43"/>
      <c r="I2117" s="43"/>
      <c r="J2117" s="43"/>
      <c r="K2117" s="43"/>
      <c r="L2117" s="43"/>
      <c r="M2117" s="43"/>
      <c r="N2117" s="43"/>
      <c r="O2117" s="43"/>
      <c r="P2117" s="43"/>
      <c r="Q2117" s="43"/>
      <c r="R2117" s="43"/>
      <c r="S2117" s="43"/>
      <c r="T2117" s="43"/>
      <c r="U2117" s="43"/>
      <c r="V2117" s="43"/>
    </row>
    <row r="2118" spans="1:22" ht="15.75" customHeight="1" x14ac:dyDescent="0.2">
      <c r="A2118" s="40">
        <v>2179</v>
      </c>
      <c r="B2118" s="41" t="s">
        <v>282</v>
      </c>
      <c r="C2118" s="42" t="s">
        <v>2073</v>
      </c>
      <c r="D2118" s="42" t="s">
        <v>871</v>
      </c>
      <c r="E2118" s="42" t="s">
        <v>129</v>
      </c>
      <c r="F2118" s="42" t="s">
        <v>2074</v>
      </c>
      <c r="G2118" s="42" t="s">
        <v>2029</v>
      </c>
      <c r="H2118" s="43"/>
      <c r="I2118" s="43"/>
      <c r="J2118" s="43"/>
      <c r="K2118" s="43"/>
      <c r="L2118" s="43"/>
      <c r="M2118" s="43"/>
      <c r="N2118" s="43"/>
      <c r="O2118" s="43"/>
      <c r="P2118" s="43"/>
      <c r="Q2118" s="43"/>
      <c r="R2118" s="43"/>
      <c r="S2118" s="43"/>
      <c r="T2118" s="43"/>
      <c r="U2118" s="43"/>
      <c r="V2118" s="43"/>
    </row>
    <row r="2119" spans="1:22" ht="15.75" customHeight="1" x14ac:dyDescent="0.2">
      <c r="A2119" s="40">
        <v>2761</v>
      </c>
      <c r="B2119" s="41" t="s">
        <v>623</v>
      </c>
      <c r="C2119" s="42" t="s">
        <v>2073</v>
      </c>
      <c r="D2119" s="42" t="s">
        <v>871</v>
      </c>
      <c r="E2119" s="42" t="s">
        <v>129</v>
      </c>
      <c r="F2119" s="42" t="s">
        <v>2074</v>
      </c>
      <c r="G2119" s="42" t="s">
        <v>2029</v>
      </c>
      <c r="H2119" s="43"/>
      <c r="I2119" s="43"/>
      <c r="J2119" s="43"/>
      <c r="K2119" s="43"/>
      <c r="L2119" s="43"/>
      <c r="M2119" s="43"/>
      <c r="N2119" s="43"/>
      <c r="O2119" s="43"/>
      <c r="P2119" s="43"/>
      <c r="Q2119" s="43"/>
      <c r="R2119" s="43"/>
      <c r="S2119" s="43"/>
      <c r="T2119" s="43"/>
      <c r="U2119" s="43"/>
      <c r="V2119" s="43"/>
    </row>
    <row r="2120" spans="1:22" ht="15.75" customHeight="1" x14ac:dyDescent="0.2">
      <c r="A2120" s="40">
        <v>897</v>
      </c>
      <c r="B2120" s="41" t="s">
        <v>694</v>
      </c>
      <c r="C2120" s="42" t="s">
        <v>2075</v>
      </c>
      <c r="D2120" s="42" t="s">
        <v>292</v>
      </c>
      <c r="E2120" s="42" t="s">
        <v>79</v>
      </c>
      <c r="F2120" s="42" t="s">
        <v>2074</v>
      </c>
      <c r="G2120" s="42" t="s">
        <v>2029</v>
      </c>
      <c r="H2120" s="43"/>
      <c r="I2120" s="43"/>
      <c r="J2120" s="43"/>
      <c r="K2120" s="43"/>
      <c r="L2120" s="43"/>
      <c r="M2120" s="43"/>
      <c r="N2120" s="43"/>
      <c r="O2120" s="43"/>
      <c r="P2120" s="43"/>
      <c r="Q2120" s="43"/>
      <c r="R2120" s="43"/>
      <c r="S2120" s="43"/>
      <c r="T2120" s="43"/>
      <c r="U2120" s="43"/>
      <c r="V2120" s="43"/>
    </row>
    <row r="2121" spans="1:22" ht="15.75" customHeight="1" x14ac:dyDescent="0.2">
      <c r="A2121" s="40">
        <v>2009</v>
      </c>
      <c r="B2121" s="41" t="s">
        <v>701</v>
      </c>
      <c r="C2121" s="42" t="s">
        <v>2075</v>
      </c>
      <c r="D2121" s="42" t="s">
        <v>292</v>
      </c>
      <c r="E2121" s="42" t="s">
        <v>79</v>
      </c>
      <c r="F2121" s="42" t="s">
        <v>2074</v>
      </c>
      <c r="G2121" s="42" t="s">
        <v>2029</v>
      </c>
      <c r="H2121" s="43"/>
      <c r="I2121" s="43"/>
      <c r="J2121" s="43"/>
      <c r="K2121" s="43"/>
      <c r="L2121" s="43"/>
      <c r="M2121" s="43"/>
      <c r="N2121" s="43"/>
      <c r="O2121" s="43"/>
      <c r="P2121" s="43"/>
      <c r="Q2121" s="43"/>
      <c r="R2121" s="43"/>
      <c r="S2121" s="43"/>
      <c r="T2121" s="43"/>
      <c r="U2121" s="43"/>
      <c r="V2121" s="43"/>
    </row>
    <row r="2122" spans="1:22" ht="15.75" customHeight="1" x14ac:dyDescent="0.2">
      <c r="A2122" s="40">
        <v>1323</v>
      </c>
      <c r="B2122" s="41" t="s">
        <v>260</v>
      </c>
      <c r="C2122" s="42" t="s">
        <v>2076</v>
      </c>
      <c r="D2122" s="42" t="s">
        <v>506</v>
      </c>
      <c r="E2122" s="42" t="s">
        <v>393</v>
      </c>
      <c r="F2122" s="42" t="s">
        <v>2074</v>
      </c>
      <c r="G2122" s="42" t="s">
        <v>2029</v>
      </c>
      <c r="H2122" s="43"/>
      <c r="I2122" s="43"/>
      <c r="J2122" s="43"/>
      <c r="K2122" s="43"/>
      <c r="L2122" s="43"/>
      <c r="M2122" s="43"/>
      <c r="N2122" s="43"/>
      <c r="O2122" s="43"/>
      <c r="P2122" s="43"/>
      <c r="Q2122" s="43"/>
      <c r="R2122" s="43"/>
      <c r="S2122" s="43"/>
      <c r="T2122" s="43"/>
      <c r="U2122" s="43"/>
      <c r="V2122" s="43"/>
    </row>
    <row r="2123" spans="1:22" ht="15.75" customHeight="1" x14ac:dyDescent="0.2">
      <c r="A2123" s="40">
        <v>1801</v>
      </c>
      <c r="B2123" s="41" t="s">
        <v>276</v>
      </c>
      <c r="C2123" s="42" t="s">
        <v>2076</v>
      </c>
      <c r="D2123" s="42" t="s">
        <v>506</v>
      </c>
      <c r="E2123" s="42" t="s">
        <v>393</v>
      </c>
      <c r="F2123" s="42" t="s">
        <v>2074</v>
      </c>
      <c r="G2123" s="42" t="s">
        <v>2029</v>
      </c>
      <c r="H2123" s="43"/>
      <c r="I2123" s="43"/>
      <c r="J2123" s="43"/>
      <c r="K2123" s="43"/>
      <c r="L2123" s="43"/>
      <c r="M2123" s="43"/>
      <c r="N2123" s="43"/>
      <c r="O2123" s="43"/>
      <c r="P2123" s="43"/>
      <c r="Q2123" s="43"/>
      <c r="R2123" s="43"/>
      <c r="S2123" s="43"/>
      <c r="T2123" s="43"/>
      <c r="U2123" s="43"/>
      <c r="V2123" s="43"/>
    </row>
    <row r="2124" spans="1:22" ht="15.75" customHeight="1" x14ac:dyDescent="0.2">
      <c r="A2124" s="40">
        <v>923</v>
      </c>
      <c r="B2124" s="41" t="s">
        <v>694</v>
      </c>
      <c r="C2124" s="42" t="s">
        <v>2077</v>
      </c>
      <c r="D2124" s="42" t="s">
        <v>2078</v>
      </c>
      <c r="E2124" s="42" t="s">
        <v>2079</v>
      </c>
      <c r="F2124" s="42" t="s">
        <v>2074</v>
      </c>
      <c r="G2124" s="42" t="s">
        <v>2029</v>
      </c>
      <c r="H2124" s="43"/>
      <c r="I2124" s="43"/>
      <c r="J2124" s="43"/>
      <c r="K2124" s="43"/>
      <c r="L2124" s="43"/>
      <c r="M2124" s="43"/>
      <c r="N2124" s="43"/>
      <c r="O2124" s="43"/>
      <c r="P2124" s="43"/>
      <c r="Q2124" s="43"/>
      <c r="R2124" s="43"/>
      <c r="S2124" s="43"/>
      <c r="T2124" s="43"/>
      <c r="U2124" s="43"/>
      <c r="V2124" s="43"/>
    </row>
    <row r="2125" spans="1:22" ht="15.75" customHeight="1" x14ac:dyDescent="0.2">
      <c r="A2125" s="40">
        <v>2001</v>
      </c>
      <c r="B2125" s="41" t="s">
        <v>652</v>
      </c>
      <c r="C2125" s="42" t="s">
        <v>2077</v>
      </c>
      <c r="D2125" s="42" t="s">
        <v>2078</v>
      </c>
      <c r="E2125" s="42" t="s">
        <v>2079</v>
      </c>
      <c r="F2125" s="42" t="s">
        <v>2074</v>
      </c>
      <c r="G2125" s="42" t="s">
        <v>2029</v>
      </c>
      <c r="H2125" s="43"/>
      <c r="I2125" s="43"/>
      <c r="J2125" s="43"/>
      <c r="K2125" s="43"/>
      <c r="L2125" s="43"/>
      <c r="M2125" s="43"/>
      <c r="N2125" s="43"/>
      <c r="O2125" s="43"/>
      <c r="P2125" s="43"/>
      <c r="Q2125" s="43"/>
      <c r="R2125" s="43"/>
      <c r="S2125" s="43"/>
      <c r="T2125" s="43"/>
      <c r="U2125" s="43"/>
      <c r="V2125" s="43"/>
    </row>
    <row r="2126" spans="1:22" ht="15.75" customHeight="1" x14ac:dyDescent="0.2">
      <c r="A2126" s="40">
        <v>911</v>
      </c>
      <c r="B2126" s="41" t="s">
        <v>694</v>
      </c>
      <c r="C2126" s="42" t="s">
        <v>2080</v>
      </c>
      <c r="D2126" s="42" t="s">
        <v>292</v>
      </c>
      <c r="E2126" s="42" t="s">
        <v>876</v>
      </c>
      <c r="F2126" s="42" t="s">
        <v>2074</v>
      </c>
      <c r="G2126" s="42" t="s">
        <v>2029</v>
      </c>
      <c r="H2126" s="43"/>
      <c r="I2126" s="43"/>
      <c r="J2126" s="43"/>
      <c r="K2126" s="43"/>
      <c r="L2126" s="43"/>
      <c r="M2126" s="43"/>
      <c r="N2126" s="43"/>
      <c r="O2126" s="43"/>
      <c r="P2126" s="43"/>
      <c r="Q2126" s="43"/>
      <c r="R2126" s="43"/>
      <c r="S2126" s="43"/>
      <c r="T2126" s="43"/>
      <c r="U2126" s="43"/>
      <c r="V2126" s="43"/>
    </row>
    <row r="2127" spans="1:22" ht="15.75" customHeight="1" x14ac:dyDescent="0.2">
      <c r="A2127" s="40">
        <v>2575</v>
      </c>
      <c r="B2127" s="41" t="s">
        <v>287</v>
      </c>
      <c r="C2127" s="42" t="s">
        <v>2081</v>
      </c>
      <c r="D2127" s="42" t="s">
        <v>474</v>
      </c>
      <c r="E2127" s="42" t="s">
        <v>134</v>
      </c>
      <c r="F2127" s="42" t="s">
        <v>2074</v>
      </c>
      <c r="G2127" s="42" t="s">
        <v>2029</v>
      </c>
      <c r="H2127" s="43"/>
      <c r="I2127" s="43"/>
      <c r="J2127" s="43"/>
      <c r="K2127" s="43"/>
      <c r="L2127" s="43"/>
      <c r="M2127" s="43"/>
      <c r="N2127" s="43"/>
      <c r="O2127" s="43"/>
      <c r="P2127" s="43"/>
      <c r="Q2127" s="43"/>
      <c r="R2127" s="43"/>
      <c r="S2127" s="43"/>
      <c r="T2127" s="43"/>
      <c r="U2127" s="43"/>
      <c r="V2127" s="43"/>
    </row>
    <row r="2128" spans="1:22" ht="15.75" customHeight="1" x14ac:dyDescent="0.2">
      <c r="A2128" s="40">
        <v>2849</v>
      </c>
      <c r="B2128" s="41" t="s">
        <v>519</v>
      </c>
      <c r="C2128" s="42" t="s">
        <v>2081</v>
      </c>
      <c r="D2128" s="42" t="s">
        <v>474</v>
      </c>
      <c r="E2128" s="42" t="s">
        <v>134</v>
      </c>
      <c r="F2128" s="42" t="s">
        <v>2074</v>
      </c>
      <c r="G2128" s="42" t="s">
        <v>2029</v>
      </c>
      <c r="H2128" s="43"/>
      <c r="I2128" s="43"/>
      <c r="J2128" s="43"/>
      <c r="K2128" s="43"/>
      <c r="L2128" s="43"/>
      <c r="M2128" s="43"/>
      <c r="N2128" s="43"/>
      <c r="O2128" s="43"/>
      <c r="P2128" s="43"/>
      <c r="Q2128" s="43"/>
      <c r="R2128" s="43"/>
      <c r="S2128" s="43"/>
      <c r="T2128" s="43"/>
      <c r="U2128" s="43"/>
      <c r="V2128" s="43"/>
    </row>
    <row r="2129" spans="1:22" ht="15.75" customHeight="1" x14ac:dyDescent="0.2">
      <c r="A2129" s="40">
        <v>1689</v>
      </c>
      <c r="B2129" s="41" t="s">
        <v>270</v>
      </c>
      <c r="C2129" s="42" t="s">
        <v>2082</v>
      </c>
      <c r="D2129" s="42" t="s">
        <v>124</v>
      </c>
      <c r="E2129" s="42" t="s">
        <v>397</v>
      </c>
      <c r="F2129" s="42" t="s">
        <v>2074</v>
      </c>
      <c r="G2129" s="42" t="s">
        <v>2029</v>
      </c>
      <c r="H2129" s="43"/>
      <c r="I2129" s="43"/>
      <c r="J2129" s="43"/>
      <c r="K2129" s="43"/>
      <c r="L2129" s="43"/>
      <c r="M2129" s="43"/>
      <c r="N2129" s="43"/>
      <c r="O2129" s="43"/>
      <c r="P2129" s="43"/>
      <c r="Q2129" s="43"/>
      <c r="R2129" s="43"/>
      <c r="S2129" s="43"/>
      <c r="T2129" s="43"/>
      <c r="U2129" s="43"/>
      <c r="V2129" s="43"/>
    </row>
    <row r="2130" spans="1:22" ht="15.75" customHeight="1" x14ac:dyDescent="0.2">
      <c r="A2130" s="40">
        <v>1953</v>
      </c>
      <c r="B2130" s="41" t="s">
        <v>278</v>
      </c>
      <c r="C2130" s="42" t="s">
        <v>2082</v>
      </c>
      <c r="D2130" s="42" t="s">
        <v>124</v>
      </c>
      <c r="E2130" s="42" t="s">
        <v>397</v>
      </c>
      <c r="F2130" s="42" t="s">
        <v>2074</v>
      </c>
      <c r="G2130" s="42" t="s">
        <v>2029</v>
      </c>
      <c r="H2130" s="43"/>
      <c r="I2130" s="43"/>
      <c r="J2130" s="43"/>
      <c r="K2130" s="43"/>
      <c r="L2130" s="43"/>
      <c r="M2130" s="43"/>
      <c r="N2130" s="43"/>
      <c r="O2130" s="43"/>
      <c r="P2130" s="43"/>
      <c r="Q2130" s="43"/>
      <c r="R2130" s="43"/>
      <c r="S2130" s="43"/>
      <c r="T2130" s="43"/>
      <c r="U2130" s="43"/>
      <c r="V2130" s="43"/>
    </row>
    <row r="2131" spans="1:22" ht="15.75" customHeight="1" x14ac:dyDescent="0.2">
      <c r="A2131" s="40">
        <v>1559</v>
      </c>
      <c r="B2131" s="41" t="s">
        <v>377</v>
      </c>
      <c r="C2131" s="42" t="s">
        <v>2083</v>
      </c>
      <c r="D2131" s="42" t="s">
        <v>1024</v>
      </c>
      <c r="E2131" s="42" t="s">
        <v>2084</v>
      </c>
      <c r="F2131" s="42" t="s">
        <v>2074</v>
      </c>
      <c r="G2131" s="42" t="s">
        <v>2029</v>
      </c>
      <c r="H2131" s="43"/>
      <c r="I2131" s="43"/>
      <c r="J2131" s="43"/>
      <c r="K2131" s="43"/>
      <c r="L2131" s="43"/>
      <c r="M2131" s="43"/>
      <c r="N2131" s="43"/>
      <c r="O2131" s="43"/>
      <c r="P2131" s="43"/>
      <c r="Q2131" s="43"/>
      <c r="R2131" s="43"/>
      <c r="S2131" s="43"/>
      <c r="T2131" s="43"/>
      <c r="U2131" s="43"/>
      <c r="V2131" s="43"/>
    </row>
    <row r="2132" spans="1:22" ht="15.75" customHeight="1" x14ac:dyDescent="0.2">
      <c r="A2132" s="40">
        <v>2301</v>
      </c>
      <c r="B2132" s="41" t="s">
        <v>284</v>
      </c>
      <c r="C2132" s="42" t="s">
        <v>2083</v>
      </c>
      <c r="D2132" s="42" t="s">
        <v>1024</v>
      </c>
      <c r="E2132" s="42" t="s">
        <v>2084</v>
      </c>
      <c r="F2132" s="42" t="s">
        <v>2074</v>
      </c>
      <c r="G2132" s="42" t="s">
        <v>2029</v>
      </c>
      <c r="H2132" s="43"/>
      <c r="I2132" s="43"/>
      <c r="J2132" s="43"/>
      <c r="K2132" s="43"/>
      <c r="L2132" s="43"/>
      <c r="M2132" s="43"/>
      <c r="N2132" s="43"/>
      <c r="O2132" s="43"/>
      <c r="P2132" s="43"/>
      <c r="Q2132" s="43"/>
      <c r="R2132" s="43"/>
      <c r="S2132" s="43"/>
      <c r="T2132" s="43"/>
      <c r="U2132" s="43"/>
      <c r="V2132" s="43"/>
    </row>
    <row r="2133" spans="1:22" ht="15.75" customHeight="1" x14ac:dyDescent="0.2">
      <c r="A2133" s="40">
        <v>2593</v>
      </c>
      <c r="B2133" s="41" t="s">
        <v>287</v>
      </c>
      <c r="C2133" s="42" t="s">
        <v>2083</v>
      </c>
      <c r="D2133" s="42" t="s">
        <v>1024</v>
      </c>
      <c r="E2133" s="42" t="s">
        <v>2084</v>
      </c>
      <c r="F2133" s="42" t="s">
        <v>2074</v>
      </c>
      <c r="G2133" s="42" t="s">
        <v>2029</v>
      </c>
      <c r="H2133" s="43"/>
      <c r="I2133" s="43"/>
      <c r="J2133" s="43"/>
      <c r="K2133" s="43"/>
      <c r="L2133" s="43"/>
      <c r="M2133" s="43"/>
      <c r="N2133" s="43"/>
      <c r="O2133" s="43"/>
      <c r="P2133" s="43"/>
      <c r="Q2133" s="43"/>
      <c r="R2133" s="43"/>
      <c r="S2133" s="43"/>
      <c r="T2133" s="43"/>
      <c r="U2133" s="43"/>
      <c r="V2133" s="43"/>
    </row>
    <row r="2134" spans="1:22" ht="15.75" customHeight="1" x14ac:dyDescent="0.2">
      <c r="A2134" s="40">
        <v>1681</v>
      </c>
      <c r="B2134" s="41" t="s">
        <v>270</v>
      </c>
      <c r="C2134" s="42" t="s">
        <v>2085</v>
      </c>
      <c r="D2134" s="42" t="s">
        <v>1540</v>
      </c>
      <c r="E2134" s="42" t="s">
        <v>413</v>
      </c>
      <c r="F2134" s="42" t="s">
        <v>2074</v>
      </c>
      <c r="G2134" s="42" t="s">
        <v>2029</v>
      </c>
      <c r="H2134" s="43"/>
      <c r="I2134" s="43"/>
      <c r="J2134" s="43"/>
      <c r="K2134" s="43"/>
      <c r="L2134" s="43"/>
      <c r="M2134" s="43"/>
      <c r="N2134" s="43"/>
      <c r="O2134" s="43"/>
      <c r="P2134" s="43"/>
      <c r="Q2134" s="43"/>
      <c r="R2134" s="43"/>
      <c r="S2134" s="43"/>
      <c r="T2134" s="43"/>
      <c r="U2134" s="43"/>
      <c r="V2134" s="43"/>
    </row>
    <row r="2135" spans="1:22" ht="15.75" customHeight="1" x14ac:dyDescent="0.2">
      <c r="A2135" s="40">
        <v>1947</v>
      </c>
      <c r="B2135" s="41" t="s">
        <v>278</v>
      </c>
      <c r="C2135" s="42" t="s">
        <v>2085</v>
      </c>
      <c r="D2135" s="42" t="s">
        <v>1540</v>
      </c>
      <c r="E2135" s="42" t="s">
        <v>413</v>
      </c>
      <c r="F2135" s="42" t="s">
        <v>2074</v>
      </c>
      <c r="G2135" s="42" t="s">
        <v>2029</v>
      </c>
      <c r="H2135" s="43"/>
      <c r="I2135" s="43"/>
      <c r="J2135" s="43"/>
      <c r="K2135" s="43"/>
      <c r="L2135" s="43"/>
      <c r="M2135" s="43"/>
      <c r="N2135" s="43"/>
      <c r="O2135" s="43"/>
      <c r="P2135" s="43"/>
      <c r="Q2135" s="43"/>
      <c r="R2135" s="43"/>
      <c r="S2135" s="43"/>
      <c r="T2135" s="43"/>
      <c r="U2135" s="43"/>
      <c r="V2135" s="43"/>
    </row>
    <row r="2136" spans="1:22" ht="15.75" customHeight="1" x14ac:dyDescent="0.2">
      <c r="A2136" s="40">
        <v>1411</v>
      </c>
      <c r="B2136" s="41" t="s">
        <v>386</v>
      </c>
      <c r="C2136" s="42" t="s">
        <v>2086</v>
      </c>
      <c r="D2136" s="42" t="s">
        <v>58</v>
      </c>
      <c r="E2136" s="42" t="s">
        <v>424</v>
      </c>
      <c r="F2136" s="42" t="s">
        <v>2074</v>
      </c>
      <c r="G2136" s="42" t="s">
        <v>2029</v>
      </c>
      <c r="H2136" s="43"/>
      <c r="I2136" s="43"/>
      <c r="J2136" s="43"/>
      <c r="K2136" s="43"/>
      <c r="L2136" s="43"/>
      <c r="M2136" s="43"/>
      <c r="N2136" s="43"/>
      <c r="O2136" s="43"/>
      <c r="P2136" s="43"/>
      <c r="Q2136" s="43"/>
      <c r="R2136" s="43"/>
      <c r="S2136" s="43"/>
      <c r="T2136" s="43"/>
      <c r="U2136" s="43"/>
      <c r="V2136" s="43"/>
    </row>
    <row r="2137" spans="1:22" ht="15.75" customHeight="1" x14ac:dyDescent="0.2">
      <c r="A2137" s="40">
        <v>1879</v>
      </c>
      <c r="B2137" s="41" t="s">
        <v>711</v>
      </c>
      <c r="C2137" s="42" t="s">
        <v>2086</v>
      </c>
      <c r="D2137" s="42" t="s">
        <v>58</v>
      </c>
      <c r="E2137" s="42" t="s">
        <v>424</v>
      </c>
      <c r="F2137" s="42" t="s">
        <v>2074</v>
      </c>
      <c r="G2137" s="42" t="s">
        <v>2029</v>
      </c>
      <c r="H2137" s="43"/>
      <c r="I2137" s="43"/>
      <c r="J2137" s="43"/>
      <c r="K2137" s="43"/>
      <c r="L2137" s="43"/>
      <c r="M2137" s="43"/>
      <c r="N2137" s="43"/>
      <c r="O2137" s="43"/>
      <c r="P2137" s="43"/>
      <c r="Q2137" s="43"/>
      <c r="R2137" s="43"/>
      <c r="S2137" s="43"/>
      <c r="T2137" s="43"/>
      <c r="U2137" s="43"/>
      <c r="V2137" s="43"/>
    </row>
    <row r="2138" spans="1:22" ht="15.75" customHeight="1" x14ac:dyDescent="0.2">
      <c r="A2138" s="40">
        <v>887</v>
      </c>
      <c r="B2138" s="41" t="s">
        <v>634</v>
      </c>
      <c r="C2138" s="42" t="s">
        <v>2087</v>
      </c>
      <c r="D2138" s="42" t="s">
        <v>240</v>
      </c>
      <c r="E2138" s="42" t="s">
        <v>306</v>
      </c>
      <c r="F2138" s="42" t="s">
        <v>2074</v>
      </c>
      <c r="G2138" s="42" t="s">
        <v>2029</v>
      </c>
      <c r="H2138" s="43"/>
      <c r="I2138" s="43"/>
      <c r="J2138" s="43"/>
      <c r="K2138" s="43"/>
      <c r="L2138" s="43"/>
      <c r="M2138" s="43"/>
      <c r="N2138" s="43"/>
      <c r="O2138" s="43"/>
      <c r="P2138" s="43"/>
      <c r="Q2138" s="43"/>
      <c r="R2138" s="43"/>
      <c r="S2138" s="43"/>
      <c r="T2138" s="43"/>
      <c r="U2138" s="43"/>
      <c r="V2138" s="43"/>
    </row>
    <row r="2139" spans="1:22" ht="15.75" customHeight="1" x14ac:dyDescent="0.2">
      <c r="A2139" s="40">
        <v>2031</v>
      </c>
      <c r="B2139" s="41" t="s">
        <v>701</v>
      </c>
      <c r="C2139" s="42" t="s">
        <v>2087</v>
      </c>
      <c r="D2139" s="42" t="s">
        <v>240</v>
      </c>
      <c r="E2139" s="42" t="s">
        <v>306</v>
      </c>
      <c r="F2139" s="42" t="s">
        <v>2074</v>
      </c>
      <c r="G2139" s="42" t="s">
        <v>2029</v>
      </c>
      <c r="H2139" s="43"/>
      <c r="I2139" s="43"/>
      <c r="J2139" s="43"/>
      <c r="K2139" s="43"/>
      <c r="L2139" s="43"/>
      <c r="M2139" s="43"/>
      <c r="N2139" s="43"/>
      <c r="O2139" s="43"/>
      <c r="P2139" s="43"/>
      <c r="Q2139" s="43"/>
      <c r="R2139" s="43"/>
      <c r="S2139" s="43"/>
      <c r="T2139" s="43"/>
      <c r="U2139" s="43"/>
      <c r="V2139" s="43"/>
    </row>
    <row r="2140" spans="1:22" ht="15.75" customHeight="1" x14ac:dyDescent="0.2">
      <c r="A2140" s="40">
        <v>2579</v>
      </c>
      <c r="B2140" s="41" t="s">
        <v>287</v>
      </c>
      <c r="C2140" s="42" t="s">
        <v>2088</v>
      </c>
      <c r="D2140" s="42" t="s">
        <v>574</v>
      </c>
      <c r="E2140" s="42" t="s">
        <v>1083</v>
      </c>
      <c r="F2140" s="42" t="s">
        <v>2074</v>
      </c>
      <c r="G2140" s="42" t="s">
        <v>2029</v>
      </c>
      <c r="H2140" s="43"/>
      <c r="I2140" s="43"/>
      <c r="J2140" s="43"/>
      <c r="K2140" s="43"/>
      <c r="L2140" s="43"/>
      <c r="M2140" s="43"/>
      <c r="N2140" s="43"/>
      <c r="O2140" s="43"/>
      <c r="P2140" s="43"/>
      <c r="Q2140" s="43"/>
      <c r="R2140" s="43"/>
      <c r="S2140" s="43"/>
      <c r="T2140" s="43"/>
      <c r="U2140" s="43"/>
      <c r="V2140" s="43"/>
    </row>
    <row r="2141" spans="1:22" ht="15.75" customHeight="1" x14ac:dyDescent="0.2">
      <c r="A2141" s="40">
        <v>2853</v>
      </c>
      <c r="B2141" s="41" t="s">
        <v>519</v>
      </c>
      <c r="C2141" s="42" t="s">
        <v>2088</v>
      </c>
      <c r="D2141" s="42" t="s">
        <v>574</v>
      </c>
      <c r="E2141" s="42" t="s">
        <v>1083</v>
      </c>
      <c r="F2141" s="42" t="s">
        <v>2074</v>
      </c>
      <c r="G2141" s="42" t="s">
        <v>2029</v>
      </c>
      <c r="H2141" s="43"/>
      <c r="I2141" s="43"/>
      <c r="J2141" s="43"/>
      <c r="K2141" s="43"/>
      <c r="L2141" s="43"/>
      <c r="M2141" s="43"/>
      <c r="N2141" s="43"/>
      <c r="O2141" s="43"/>
      <c r="P2141" s="43"/>
      <c r="Q2141" s="43"/>
      <c r="R2141" s="43"/>
      <c r="S2141" s="43"/>
      <c r="T2141" s="43"/>
      <c r="U2141" s="43"/>
      <c r="V2141" s="43"/>
    </row>
    <row r="2142" spans="1:22" ht="15.75" customHeight="1" x14ac:dyDescent="0.2">
      <c r="A2142" s="40">
        <v>871</v>
      </c>
      <c r="B2142" s="41" t="s">
        <v>634</v>
      </c>
      <c r="C2142" s="42" t="s">
        <v>2089</v>
      </c>
      <c r="D2142" s="42" t="s">
        <v>58</v>
      </c>
      <c r="E2142" s="42" t="s">
        <v>40</v>
      </c>
      <c r="F2142" s="42" t="s">
        <v>2074</v>
      </c>
      <c r="G2142" s="42" t="s">
        <v>2029</v>
      </c>
      <c r="H2142" s="43"/>
      <c r="I2142" s="43"/>
      <c r="J2142" s="43"/>
      <c r="K2142" s="43"/>
      <c r="L2142" s="43"/>
      <c r="M2142" s="43"/>
      <c r="N2142" s="43"/>
      <c r="O2142" s="43"/>
      <c r="P2142" s="43"/>
      <c r="Q2142" s="43"/>
      <c r="R2142" s="43"/>
      <c r="S2142" s="43"/>
      <c r="T2142" s="43"/>
      <c r="U2142" s="43"/>
      <c r="V2142" s="43"/>
    </row>
    <row r="2143" spans="1:22" ht="15.75" customHeight="1" x14ac:dyDescent="0.2">
      <c r="A2143" s="40">
        <v>2011</v>
      </c>
      <c r="B2143" s="41" t="s">
        <v>701</v>
      </c>
      <c r="C2143" s="42" t="s">
        <v>2089</v>
      </c>
      <c r="D2143" s="42" t="s">
        <v>58</v>
      </c>
      <c r="E2143" s="42" t="s">
        <v>40</v>
      </c>
      <c r="F2143" s="42" t="s">
        <v>2074</v>
      </c>
      <c r="G2143" s="42" t="s">
        <v>2029</v>
      </c>
      <c r="H2143" s="43"/>
      <c r="I2143" s="43"/>
      <c r="J2143" s="43"/>
      <c r="K2143" s="43"/>
      <c r="L2143" s="43"/>
      <c r="M2143" s="43"/>
      <c r="N2143" s="43"/>
      <c r="O2143" s="43"/>
      <c r="P2143" s="43"/>
      <c r="Q2143" s="43"/>
      <c r="R2143" s="43"/>
      <c r="S2143" s="43"/>
      <c r="T2143" s="43"/>
      <c r="U2143" s="43"/>
      <c r="V2143" s="43"/>
    </row>
    <row r="2144" spans="1:22" ht="15.75" customHeight="1" x14ac:dyDescent="0.2">
      <c r="A2144" s="40">
        <v>885</v>
      </c>
      <c r="B2144" s="41" t="s">
        <v>634</v>
      </c>
      <c r="C2144" s="42" t="s">
        <v>1478</v>
      </c>
      <c r="D2144" s="42" t="s">
        <v>554</v>
      </c>
      <c r="E2144" s="42" t="s">
        <v>1490</v>
      </c>
      <c r="F2144" s="42" t="s">
        <v>2074</v>
      </c>
      <c r="G2144" s="42" t="s">
        <v>2029</v>
      </c>
      <c r="H2144" s="43"/>
      <c r="I2144" s="43"/>
      <c r="J2144" s="43"/>
      <c r="K2144" s="43"/>
      <c r="L2144" s="43"/>
      <c r="M2144" s="43"/>
      <c r="N2144" s="43"/>
      <c r="O2144" s="43"/>
      <c r="P2144" s="43"/>
      <c r="Q2144" s="43"/>
      <c r="R2144" s="43"/>
      <c r="S2144" s="43"/>
      <c r="T2144" s="43"/>
      <c r="U2144" s="43"/>
      <c r="V2144" s="43"/>
    </row>
    <row r="2145" spans="1:22" ht="15.75" customHeight="1" x14ac:dyDescent="0.2">
      <c r="A2145" s="40">
        <v>1991</v>
      </c>
      <c r="B2145" s="41" t="s">
        <v>652</v>
      </c>
      <c r="C2145" s="42" t="s">
        <v>1478</v>
      </c>
      <c r="D2145" s="42" t="s">
        <v>554</v>
      </c>
      <c r="E2145" s="42" t="s">
        <v>1490</v>
      </c>
      <c r="F2145" s="42" t="s">
        <v>2074</v>
      </c>
      <c r="G2145" s="42" t="s">
        <v>2029</v>
      </c>
      <c r="H2145" s="43"/>
      <c r="I2145" s="43"/>
      <c r="J2145" s="43"/>
      <c r="K2145" s="43"/>
      <c r="L2145" s="43"/>
      <c r="M2145" s="43"/>
      <c r="N2145" s="43"/>
      <c r="O2145" s="43"/>
      <c r="P2145" s="43"/>
      <c r="Q2145" s="43"/>
      <c r="R2145" s="43"/>
      <c r="S2145" s="43"/>
      <c r="T2145" s="43"/>
      <c r="U2145" s="43"/>
      <c r="V2145" s="43"/>
    </row>
    <row r="2146" spans="1:22" ht="15.75" customHeight="1" x14ac:dyDescent="0.2">
      <c r="A2146" s="40">
        <v>1293</v>
      </c>
      <c r="B2146" s="41" t="s">
        <v>453</v>
      </c>
      <c r="C2146" s="42" t="s">
        <v>2090</v>
      </c>
      <c r="D2146" s="42" t="s">
        <v>1266</v>
      </c>
      <c r="E2146" s="42" t="s">
        <v>326</v>
      </c>
      <c r="F2146" s="42" t="s">
        <v>2091</v>
      </c>
      <c r="G2146" s="42" t="s">
        <v>2029</v>
      </c>
      <c r="H2146" s="43"/>
      <c r="I2146" s="43"/>
      <c r="J2146" s="43"/>
      <c r="K2146" s="43"/>
      <c r="L2146" s="43"/>
      <c r="M2146" s="43"/>
      <c r="N2146" s="43"/>
      <c r="O2146" s="43"/>
      <c r="P2146" s="43"/>
      <c r="Q2146" s="43"/>
      <c r="R2146" s="43"/>
      <c r="S2146" s="43"/>
      <c r="T2146" s="43"/>
      <c r="U2146" s="43"/>
      <c r="V2146" s="43"/>
    </row>
    <row r="2147" spans="1:22" ht="15.75" customHeight="1" x14ac:dyDescent="0.2">
      <c r="A2147" s="40">
        <v>2931</v>
      </c>
      <c r="B2147" s="41" t="s">
        <v>722</v>
      </c>
      <c r="C2147" s="42" t="s">
        <v>2090</v>
      </c>
      <c r="D2147" s="42" t="s">
        <v>1266</v>
      </c>
      <c r="E2147" s="42" t="s">
        <v>326</v>
      </c>
      <c r="F2147" s="42" t="s">
        <v>2091</v>
      </c>
      <c r="G2147" s="42" t="s">
        <v>2029</v>
      </c>
      <c r="H2147" s="43"/>
      <c r="I2147" s="43"/>
      <c r="J2147" s="43"/>
      <c r="K2147" s="43"/>
      <c r="L2147" s="43"/>
      <c r="M2147" s="43"/>
      <c r="N2147" s="43"/>
      <c r="O2147" s="43"/>
      <c r="P2147" s="43"/>
      <c r="Q2147" s="43"/>
      <c r="R2147" s="43"/>
      <c r="S2147" s="43"/>
      <c r="T2147" s="43"/>
      <c r="U2147" s="43"/>
      <c r="V2147" s="43"/>
    </row>
    <row r="2148" spans="1:22" ht="15.75" customHeight="1" x14ac:dyDescent="0.2">
      <c r="A2148" s="40"/>
      <c r="B2148" s="45" t="s">
        <v>109</v>
      </c>
      <c r="C2148" s="46" t="s">
        <v>1044</v>
      </c>
      <c r="D2148" s="46" t="s">
        <v>516</v>
      </c>
      <c r="E2148" s="46" t="s">
        <v>306</v>
      </c>
      <c r="F2148" s="46" t="s">
        <v>2091</v>
      </c>
      <c r="G2148" s="46" t="s">
        <v>2029</v>
      </c>
      <c r="H2148" s="43"/>
      <c r="I2148" s="43"/>
      <c r="J2148" s="43"/>
      <c r="K2148" s="43"/>
      <c r="L2148" s="43"/>
      <c r="M2148" s="43"/>
      <c r="N2148" s="43"/>
      <c r="O2148" s="43"/>
      <c r="P2148" s="43"/>
      <c r="Q2148" s="43"/>
      <c r="R2148" s="43"/>
      <c r="S2148" s="43"/>
      <c r="T2148" s="43"/>
      <c r="U2148" s="43"/>
      <c r="V2148" s="43"/>
    </row>
    <row r="2149" spans="1:22" ht="15.75" customHeight="1" x14ac:dyDescent="0.2">
      <c r="A2149" s="40"/>
      <c r="B2149" s="45" t="s">
        <v>108</v>
      </c>
      <c r="C2149" s="46" t="s">
        <v>1044</v>
      </c>
      <c r="D2149" s="46" t="s">
        <v>516</v>
      </c>
      <c r="E2149" s="46" t="s">
        <v>306</v>
      </c>
      <c r="F2149" s="46" t="s">
        <v>2091</v>
      </c>
      <c r="G2149" s="46" t="s">
        <v>2029</v>
      </c>
      <c r="H2149" s="43"/>
      <c r="I2149" s="43"/>
      <c r="J2149" s="43"/>
      <c r="K2149" s="43"/>
      <c r="L2149" s="43"/>
      <c r="M2149" s="43"/>
      <c r="N2149" s="43"/>
      <c r="O2149" s="43"/>
      <c r="P2149" s="43"/>
      <c r="Q2149" s="43"/>
      <c r="R2149" s="43"/>
      <c r="S2149" s="43"/>
      <c r="T2149" s="43"/>
      <c r="U2149" s="43"/>
      <c r="V2149" s="43"/>
    </row>
    <row r="2150" spans="1:22" ht="15.75" customHeight="1" x14ac:dyDescent="0.2">
      <c r="A2150" s="40">
        <v>1365</v>
      </c>
      <c r="B2150" s="41" t="s">
        <v>601</v>
      </c>
      <c r="C2150" s="42" t="s">
        <v>2092</v>
      </c>
      <c r="D2150" s="42" t="s">
        <v>86</v>
      </c>
      <c r="E2150" s="42" t="s">
        <v>571</v>
      </c>
      <c r="F2150" s="42" t="s">
        <v>2091</v>
      </c>
      <c r="G2150" s="42" t="s">
        <v>2029</v>
      </c>
      <c r="H2150" s="43"/>
      <c r="I2150" s="43"/>
      <c r="J2150" s="43"/>
      <c r="K2150" s="43"/>
      <c r="L2150" s="43"/>
      <c r="M2150" s="43"/>
      <c r="N2150" s="43"/>
      <c r="O2150" s="43"/>
      <c r="P2150" s="43"/>
      <c r="Q2150" s="43"/>
      <c r="R2150" s="43"/>
      <c r="S2150" s="43"/>
      <c r="T2150" s="43"/>
      <c r="U2150" s="43"/>
      <c r="V2150" s="43"/>
    </row>
    <row r="2151" spans="1:22" ht="15.75" customHeight="1" x14ac:dyDescent="0.2">
      <c r="A2151" s="40">
        <v>1853</v>
      </c>
      <c r="B2151" s="41" t="s">
        <v>604</v>
      </c>
      <c r="C2151" s="42" t="s">
        <v>2092</v>
      </c>
      <c r="D2151" s="42" t="s">
        <v>86</v>
      </c>
      <c r="E2151" s="42" t="s">
        <v>571</v>
      </c>
      <c r="F2151" s="42" t="s">
        <v>2091</v>
      </c>
      <c r="G2151" s="42" t="s">
        <v>2029</v>
      </c>
      <c r="H2151" s="43"/>
      <c r="I2151" s="43"/>
      <c r="J2151" s="43"/>
      <c r="K2151" s="43"/>
      <c r="L2151" s="43"/>
      <c r="M2151" s="43"/>
      <c r="N2151" s="43"/>
      <c r="O2151" s="43"/>
      <c r="P2151" s="43"/>
      <c r="Q2151" s="43"/>
      <c r="R2151" s="43"/>
      <c r="S2151" s="43"/>
      <c r="T2151" s="43"/>
      <c r="U2151" s="43"/>
      <c r="V2151" s="43"/>
    </row>
    <row r="2152" spans="1:22" ht="15.75" customHeight="1" x14ac:dyDescent="0.2">
      <c r="A2152" s="40"/>
      <c r="B2152" s="45" t="s">
        <v>296</v>
      </c>
      <c r="C2152" s="46" t="s">
        <v>2093</v>
      </c>
      <c r="D2152" s="46" t="s">
        <v>39</v>
      </c>
      <c r="E2152" s="46" t="s">
        <v>630</v>
      </c>
      <c r="F2152" s="46" t="s">
        <v>2091</v>
      </c>
      <c r="G2152" s="46" t="s">
        <v>2029</v>
      </c>
    </row>
    <row r="2153" spans="1:22" ht="15.75" customHeight="1" x14ac:dyDescent="0.2">
      <c r="A2153" s="40">
        <v>379</v>
      </c>
      <c r="B2153" s="41" t="s">
        <v>246</v>
      </c>
      <c r="C2153" s="42" t="s">
        <v>2094</v>
      </c>
      <c r="D2153" s="42" t="s">
        <v>86</v>
      </c>
      <c r="E2153" s="42" t="s">
        <v>1490</v>
      </c>
      <c r="F2153" s="42" t="s">
        <v>2091</v>
      </c>
      <c r="G2153" s="42" t="s">
        <v>2029</v>
      </c>
      <c r="H2153" s="43"/>
      <c r="I2153" s="43"/>
      <c r="J2153" s="43"/>
      <c r="K2153" s="43"/>
      <c r="L2153" s="43"/>
      <c r="M2153" s="43"/>
      <c r="N2153" s="43"/>
      <c r="O2153" s="43"/>
      <c r="P2153" s="43"/>
      <c r="Q2153" s="43"/>
      <c r="R2153" s="43"/>
      <c r="S2153" s="43"/>
      <c r="T2153" s="43"/>
      <c r="U2153" s="43"/>
      <c r="V2153" s="43"/>
    </row>
    <row r="2154" spans="1:22" ht="15.75" customHeight="1" x14ac:dyDescent="0.2">
      <c r="A2154" s="40">
        <v>1409</v>
      </c>
      <c r="B2154" s="41" t="s">
        <v>386</v>
      </c>
      <c r="C2154" s="42" t="s">
        <v>2094</v>
      </c>
      <c r="D2154" s="42" t="s">
        <v>86</v>
      </c>
      <c r="E2154" s="42" t="s">
        <v>1490</v>
      </c>
      <c r="F2154" s="42" t="s">
        <v>2091</v>
      </c>
      <c r="G2154" s="42" t="s">
        <v>2029</v>
      </c>
      <c r="H2154" s="43"/>
      <c r="I2154" s="43"/>
      <c r="J2154" s="43"/>
      <c r="K2154" s="43"/>
      <c r="L2154" s="43"/>
      <c r="M2154" s="43"/>
      <c r="N2154" s="43"/>
      <c r="O2154" s="43"/>
      <c r="P2154" s="43"/>
      <c r="Q2154" s="43"/>
      <c r="R2154" s="43"/>
      <c r="S2154" s="43"/>
      <c r="T2154" s="43"/>
      <c r="U2154" s="43"/>
      <c r="V2154" s="43"/>
    </row>
    <row r="2155" spans="1:22" ht="15.75" customHeight="1" x14ac:dyDescent="0.2">
      <c r="A2155" s="40">
        <v>1877</v>
      </c>
      <c r="B2155" s="41" t="s">
        <v>711</v>
      </c>
      <c r="C2155" s="42" t="s">
        <v>2094</v>
      </c>
      <c r="D2155" s="42" t="s">
        <v>86</v>
      </c>
      <c r="E2155" s="42" t="s">
        <v>1490</v>
      </c>
      <c r="F2155" s="42" t="s">
        <v>2091</v>
      </c>
      <c r="G2155" s="42" t="s">
        <v>2029</v>
      </c>
      <c r="H2155" s="43"/>
      <c r="I2155" s="43"/>
      <c r="J2155" s="43"/>
      <c r="K2155" s="43"/>
      <c r="L2155" s="43"/>
      <c r="M2155" s="43"/>
      <c r="N2155" s="43"/>
      <c r="O2155" s="43"/>
      <c r="P2155" s="43"/>
      <c r="Q2155" s="43"/>
      <c r="R2155" s="43"/>
      <c r="S2155" s="43"/>
      <c r="T2155" s="43"/>
      <c r="U2155" s="43"/>
      <c r="V2155" s="43"/>
    </row>
    <row r="2156" spans="1:22" ht="15.75" customHeight="1" x14ac:dyDescent="0.2">
      <c r="A2156" s="40">
        <v>2149</v>
      </c>
      <c r="B2156" s="41" t="s">
        <v>281</v>
      </c>
      <c r="C2156" s="42" t="s">
        <v>2094</v>
      </c>
      <c r="D2156" s="42" t="s">
        <v>86</v>
      </c>
      <c r="E2156" s="42" t="s">
        <v>1490</v>
      </c>
      <c r="F2156" s="42" t="s">
        <v>2091</v>
      </c>
      <c r="G2156" s="42" t="s">
        <v>2029</v>
      </c>
      <c r="H2156" s="43"/>
      <c r="I2156" s="43"/>
      <c r="J2156" s="43"/>
      <c r="K2156" s="43"/>
      <c r="L2156" s="43"/>
      <c r="M2156" s="43"/>
      <c r="N2156" s="43"/>
      <c r="O2156" s="43"/>
      <c r="P2156" s="43"/>
      <c r="Q2156" s="43"/>
      <c r="R2156" s="43"/>
      <c r="S2156" s="43"/>
      <c r="T2156" s="43"/>
      <c r="U2156" s="43"/>
      <c r="V2156" s="43"/>
    </row>
    <row r="2157" spans="1:22" ht="15.75" customHeight="1" x14ac:dyDescent="0.2">
      <c r="A2157" s="48">
        <v>2999</v>
      </c>
      <c r="B2157" s="49" t="s">
        <v>290</v>
      </c>
      <c r="C2157" s="50" t="s">
        <v>2094</v>
      </c>
      <c r="D2157" s="50" t="s">
        <v>86</v>
      </c>
      <c r="E2157" s="50" t="s">
        <v>1490</v>
      </c>
      <c r="F2157" s="42" t="s">
        <v>2091</v>
      </c>
      <c r="G2157" s="42" t="s">
        <v>2029</v>
      </c>
      <c r="H2157" s="43"/>
      <c r="I2157" s="43"/>
      <c r="J2157" s="43"/>
      <c r="K2157" s="43"/>
      <c r="L2157" s="43"/>
      <c r="M2157" s="43"/>
      <c r="N2157" s="43"/>
      <c r="O2157" s="43"/>
      <c r="P2157" s="43"/>
      <c r="Q2157" s="43"/>
      <c r="R2157" s="43"/>
      <c r="S2157" s="43"/>
      <c r="T2157" s="43"/>
      <c r="U2157" s="43"/>
      <c r="V2157" s="43"/>
    </row>
    <row r="2158" spans="1:22" ht="15.75" customHeight="1" x14ac:dyDescent="0.2">
      <c r="A2158" s="40">
        <v>1107</v>
      </c>
      <c r="B2158" s="41" t="s">
        <v>1344</v>
      </c>
      <c r="C2158" s="42" t="s">
        <v>2095</v>
      </c>
      <c r="D2158" s="42" t="s">
        <v>513</v>
      </c>
      <c r="E2158" s="42" t="s">
        <v>2096</v>
      </c>
      <c r="F2158" s="42" t="s">
        <v>2091</v>
      </c>
      <c r="G2158" s="42" t="s">
        <v>2029</v>
      </c>
      <c r="H2158" s="43"/>
      <c r="I2158" s="43"/>
      <c r="J2158" s="43"/>
      <c r="K2158" s="43"/>
      <c r="L2158" s="43"/>
      <c r="M2158" s="43"/>
      <c r="N2158" s="43"/>
      <c r="O2158" s="43"/>
      <c r="P2158" s="43"/>
      <c r="Q2158" s="43"/>
      <c r="R2158" s="43"/>
      <c r="S2158" s="43"/>
      <c r="T2158" s="43"/>
      <c r="U2158" s="43"/>
      <c r="V2158" s="43"/>
    </row>
    <row r="2159" spans="1:22" ht="15.75" customHeight="1" x14ac:dyDescent="0.2">
      <c r="A2159" s="40">
        <v>1819</v>
      </c>
      <c r="B2159" s="41" t="s">
        <v>439</v>
      </c>
      <c r="C2159" s="42" t="s">
        <v>2095</v>
      </c>
      <c r="D2159" s="42" t="s">
        <v>513</v>
      </c>
      <c r="E2159" s="42" t="s">
        <v>2096</v>
      </c>
      <c r="F2159" s="42" t="s">
        <v>2091</v>
      </c>
      <c r="G2159" s="42" t="s">
        <v>2029</v>
      </c>
      <c r="H2159" s="43"/>
      <c r="I2159" s="43"/>
      <c r="J2159" s="43"/>
      <c r="K2159" s="43"/>
      <c r="L2159" s="43"/>
      <c r="M2159" s="43"/>
      <c r="N2159" s="43"/>
      <c r="O2159" s="43"/>
      <c r="P2159" s="43"/>
      <c r="Q2159" s="43"/>
      <c r="R2159" s="43"/>
      <c r="S2159" s="43"/>
      <c r="T2159" s="43"/>
      <c r="U2159" s="43"/>
      <c r="V2159" s="43"/>
    </row>
    <row r="2160" spans="1:22" ht="15.75" customHeight="1" x14ac:dyDescent="0.2">
      <c r="A2160" s="40">
        <v>2271</v>
      </c>
      <c r="B2160" s="41" t="s">
        <v>283</v>
      </c>
      <c r="C2160" s="42" t="s">
        <v>2095</v>
      </c>
      <c r="D2160" s="42" t="s">
        <v>513</v>
      </c>
      <c r="E2160" s="42" t="s">
        <v>2096</v>
      </c>
      <c r="F2160" s="42" t="s">
        <v>2091</v>
      </c>
      <c r="G2160" s="42" t="s">
        <v>2029</v>
      </c>
      <c r="H2160" s="43"/>
      <c r="I2160" s="43"/>
      <c r="J2160" s="43"/>
      <c r="K2160" s="43"/>
      <c r="L2160" s="43"/>
      <c r="M2160" s="43"/>
      <c r="N2160" s="43"/>
      <c r="O2160" s="43"/>
      <c r="P2160" s="43"/>
      <c r="Q2160" s="43"/>
      <c r="R2160" s="43"/>
      <c r="S2160" s="43"/>
      <c r="T2160" s="43"/>
      <c r="U2160" s="43"/>
      <c r="V2160" s="43"/>
    </row>
    <row r="2161" spans="1:22" ht="15.75" customHeight="1" x14ac:dyDescent="0.2">
      <c r="A2161" s="40"/>
      <c r="B2161" s="45" t="s">
        <v>316</v>
      </c>
      <c r="C2161" s="46" t="s">
        <v>2097</v>
      </c>
      <c r="D2161" s="46" t="s">
        <v>534</v>
      </c>
      <c r="E2161" s="46" t="s">
        <v>1492</v>
      </c>
      <c r="F2161" s="46" t="s">
        <v>2091</v>
      </c>
      <c r="G2161" s="46" t="s">
        <v>2029</v>
      </c>
      <c r="H2161" s="43"/>
      <c r="I2161" s="43"/>
      <c r="J2161" s="43"/>
      <c r="K2161" s="43"/>
      <c r="L2161" s="43"/>
      <c r="M2161" s="43"/>
      <c r="N2161" s="43"/>
      <c r="O2161" s="43"/>
      <c r="P2161" s="43"/>
      <c r="Q2161" s="43"/>
      <c r="R2161" s="43"/>
      <c r="S2161" s="43"/>
      <c r="T2161" s="43"/>
      <c r="U2161" s="43"/>
      <c r="V2161" s="43"/>
    </row>
    <row r="2162" spans="1:22" ht="15.75" customHeight="1" x14ac:dyDescent="0.2">
      <c r="A2162" s="40"/>
      <c r="B2162" s="45" t="s">
        <v>102</v>
      </c>
      <c r="C2162" s="46" t="s">
        <v>2097</v>
      </c>
      <c r="D2162" s="46" t="s">
        <v>534</v>
      </c>
      <c r="E2162" s="46" t="s">
        <v>1492</v>
      </c>
      <c r="F2162" s="46" t="s">
        <v>2091</v>
      </c>
      <c r="G2162" s="46" t="s">
        <v>2029</v>
      </c>
      <c r="H2162" s="43"/>
      <c r="I2162" s="43"/>
      <c r="J2162" s="43"/>
      <c r="K2162" s="43"/>
      <c r="L2162" s="43"/>
      <c r="M2162" s="43"/>
      <c r="N2162" s="43"/>
      <c r="O2162" s="43"/>
      <c r="P2162" s="43"/>
      <c r="Q2162" s="43"/>
      <c r="R2162" s="43"/>
      <c r="S2162" s="43"/>
      <c r="T2162" s="43"/>
      <c r="U2162" s="43"/>
      <c r="V2162" s="43"/>
    </row>
    <row r="2163" spans="1:22" ht="15.75" customHeight="1" x14ac:dyDescent="0.2">
      <c r="A2163" s="40"/>
      <c r="B2163" s="45" t="s">
        <v>296</v>
      </c>
      <c r="C2163" s="46" t="s">
        <v>2098</v>
      </c>
      <c r="D2163" s="46" t="s">
        <v>1068</v>
      </c>
      <c r="E2163" s="46" t="s">
        <v>18</v>
      </c>
      <c r="F2163" s="46" t="s">
        <v>2091</v>
      </c>
      <c r="G2163" s="46" t="s">
        <v>2029</v>
      </c>
      <c r="H2163" s="43"/>
      <c r="I2163" s="43"/>
      <c r="J2163" s="43"/>
      <c r="K2163" s="43"/>
      <c r="L2163" s="43"/>
      <c r="M2163" s="43"/>
      <c r="N2163" s="43"/>
      <c r="O2163" s="43"/>
      <c r="P2163" s="43"/>
      <c r="Q2163" s="43"/>
      <c r="R2163" s="43"/>
      <c r="S2163" s="43"/>
      <c r="T2163" s="43"/>
      <c r="U2163" s="43"/>
      <c r="V2163" s="43"/>
    </row>
    <row r="2164" spans="1:22" ht="15.75" customHeight="1" x14ac:dyDescent="0.2">
      <c r="A2164" s="40"/>
      <c r="B2164" s="45" t="s">
        <v>108</v>
      </c>
      <c r="C2164" s="46" t="s">
        <v>2098</v>
      </c>
      <c r="D2164" s="46" t="s">
        <v>1068</v>
      </c>
      <c r="E2164" s="46" t="s">
        <v>18</v>
      </c>
      <c r="F2164" s="46" t="s">
        <v>2091</v>
      </c>
      <c r="G2164" s="46" t="s">
        <v>2029</v>
      </c>
      <c r="H2164" s="43"/>
      <c r="I2164" s="43"/>
      <c r="J2164" s="43"/>
      <c r="K2164" s="43"/>
      <c r="L2164" s="43"/>
      <c r="M2164" s="43"/>
      <c r="N2164" s="43"/>
      <c r="O2164" s="43"/>
      <c r="P2164" s="43"/>
      <c r="Q2164" s="43"/>
      <c r="R2164" s="43"/>
      <c r="S2164" s="43"/>
      <c r="T2164" s="43"/>
      <c r="U2164" s="43"/>
      <c r="V2164" s="43"/>
    </row>
    <row r="2165" spans="1:22" ht="15.75" customHeight="1" x14ac:dyDescent="0.2">
      <c r="A2165" s="40"/>
      <c r="B2165" s="45" t="s">
        <v>316</v>
      </c>
      <c r="C2165" s="46" t="s">
        <v>2099</v>
      </c>
      <c r="D2165" s="46" t="s">
        <v>1611</v>
      </c>
      <c r="E2165" s="46" t="s">
        <v>374</v>
      </c>
      <c r="F2165" s="46" t="s">
        <v>2091</v>
      </c>
      <c r="G2165" s="46" t="s">
        <v>2029</v>
      </c>
      <c r="H2165" s="43"/>
      <c r="I2165" s="43"/>
      <c r="J2165" s="43"/>
      <c r="K2165" s="43"/>
      <c r="L2165" s="43"/>
      <c r="M2165" s="43"/>
      <c r="N2165" s="43"/>
      <c r="O2165" s="43"/>
      <c r="P2165" s="43"/>
      <c r="Q2165" s="43"/>
      <c r="R2165" s="43"/>
      <c r="S2165" s="43"/>
      <c r="T2165" s="43"/>
      <c r="U2165" s="43"/>
      <c r="V2165" s="43"/>
    </row>
    <row r="2166" spans="1:22" ht="15.75" customHeight="1" x14ac:dyDescent="0.2">
      <c r="A2166" s="40"/>
      <c r="B2166" s="45" t="s">
        <v>102</v>
      </c>
      <c r="C2166" s="46" t="s">
        <v>2099</v>
      </c>
      <c r="D2166" s="46" t="s">
        <v>1611</v>
      </c>
      <c r="E2166" s="46" t="s">
        <v>374</v>
      </c>
      <c r="F2166" s="46" t="s">
        <v>2091</v>
      </c>
      <c r="G2166" s="46" t="s">
        <v>2029</v>
      </c>
      <c r="H2166" s="43"/>
      <c r="I2166" s="43"/>
      <c r="J2166" s="43"/>
      <c r="K2166" s="43"/>
      <c r="L2166" s="43"/>
      <c r="M2166" s="43"/>
      <c r="N2166" s="43"/>
      <c r="O2166" s="43"/>
      <c r="P2166" s="43"/>
      <c r="Q2166" s="43"/>
      <c r="R2166" s="43"/>
      <c r="S2166" s="43"/>
      <c r="T2166" s="43"/>
      <c r="U2166" s="43"/>
      <c r="V2166" s="43"/>
    </row>
    <row r="2167" spans="1:22" ht="15.75" customHeight="1" x14ac:dyDescent="0.2">
      <c r="A2167" s="40"/>
      <c r="B2167" s="45" t="s">
        <v>307</v>
      </c>
      <c r="C2167" s="46" t="s">
        <v>2100</v>
      </c>
      <c r="D2167" s="46" t="s">
        <v>39</v>
      </c>
      <c r="E2167" s="46" t="s">
        <v>129</v>
      </c>
      <c r="F2167" s="46" t="s">
        <v>2091</v>
      </c>
      <c r="G2167" s="46" t="s">
        <v>2029</v>
      </c>
      <c r="H2167" s="43"/>
      <c r="I2167" s="43"/>
      <c r="J2167" s="43"/>
      <c r="K2167" s="43"/>
      <c r="L2167" s="43"/>
      <c r="M2167" s="43"/>
      <c r="N2167" s="43"/>
      <c r="O2167" s="43"/>
      <c r="P2167" s="43"/>
      <c r="Q2167" s="43"/>
      <c r="R2167" s="43"/>
      <c r="S2167" s="43"/>
      <c r="T2167" s="43"/>
      <c r="U2167" s="43"/>
      <c r="V2167" s="43"/>
    </row>
    <row r="2168" spans="1:22" ht="15.75" customHeight="1" x14ac:dyDescent="0.2">
      <c r="A2168" s="40"/>
      <c r="B2168" s="45" t="s">
        <v>232</v>
      </c>
      <c r="C2168" s="46" t="s">
        <v>2100</v>
      </c>
      <c r="D2168" s="46" t="s">
        <v>39</v>
      </c>
      <c r="E2168" s="46" t="s">
        <v>129</v>
      </c>
      <c r="F2168" s="46" t="s">
        <v>2091</v>
      </c>
      <c r="G2168" s="46" t="s">
        <v>2029</v>
      </c>
      <c r="H2168" s="43"/>
      <c r="I2168" s="43"/>
      <c r="J2168" s="43"/>
      <c r="K2168" s="43"/>
      <c r="L2168" s="43"/>
      <c r="M2168" s="43"/>
      <c r="N2168" s="43"/>
      <c r="O2168" s="43"/>
      <c r="P2168" s="43"/>
      <c r="Q2168" s="43"/>
      <c r="R2168" s="43"/>
      <c r="S2168" s="43"/>
      <c r="T2168" s="43"/>
      <c r="U2168" s="43"/>
      <c r="V2168" s="43"/>
    </row>
    <row r="2169" spans="1:22" ht="15.75" customHeight="1" x14ac:dyDescent="0.2">
      <c r="A2169" s="40">
        <v>155</v>
      </c>
      <c r="B2169" s="41" t="s">
        <v>2101</v>
      </c>
      <c r="C2169" s="42" t="s">
        <v>2102</v>
      </c>
      <c r="D2169" s="42" t="s">
        <v>2103</v>
      </c>
      <c r="E2169" s="42" t="s">
        <v>996</v>
      </c>
      <c r="F2169" s="42" t="s">
        <v>2091</v>
      </c>
      <c r="G2169" s="42" t="s">
        <v>2029</v>
      </c>
      <c r="H2169" s="43"/>
      <c r="I2169" s="43"/>
      <c r="J2169" s="43"/>
      <c r="K2169" s="43"/>
      <c r="L2169" s="43"/>
      <c r="M2169" s="43"/>
      <c r="N2169" s="43"/>
      <c r="O2169" s="43"/>
      <c r="P2169" s="43"/>
      <c r="Q2169" s="43"/>
      <c r="R2169" s="43"/>
      <c r="S2169" s="43"/>
      <c r="T2169" s="43"/>
      <c r="U2169" s="43"/>
      <c r="V2169" s="43"/>
    </row>
    <row r="2170" spans="1:22" ht="15.75" customHeight="1" x14ac:dyDescent="0.2">
      <c r="A2170" s="40">
        <v>1021</v>
      </c>
      <c r="B2170" s="41" t="s">
        <v>1076</v>
      </c>
      <c r="C2170" s="42" t="s">
        <v>2104</v>
      </c>
      <c r="D2170" s="42" t="s">
        <v>1556</v>
      </c>
      <c r="E2170" s="42" t="s">
        <v>32</v>
      </c>
      <c r="F2170" s="42" t="s">
        <v>2105</v>
      </c>
      <c r="G2170" s="42" t="s">
        <v>2029</v>
      </c>
      <c r="H2170" s="43"/>
      <c r="I2170" s="43"/>
      <c r="J2170" s="43"/>
      <c r="K2170" s="43"/>
      <c r="L2170" s="43"/>
      <c r="M2170" s="43"/>
      <c r="N2170" s="43"/>
      <c r="O2170" s="43"/>
      <c r="P2170" s="43"/>
      <c r="Q2170" s="43"/>
      <c r="R2170" s="43"/>
      <c r="S2170" s="43"/>
      <c r="T2170" s="43"/>
      <c r="U2170" s="43"/>
      <c r="V2170" s="43"/>
    </row>
    <row r="2171" spans="1:22" ht="15.75" customHeight="1" x14ac:dyDescent="0.2">
      <c r="A2171" s="40">
        <v>1745</v>
      </c>
      <c r="B2171" s="41" t="s">
        <v>465</v>
      </c>
      <c r="C2171" s="42" t="s">
        <v>2104</v>
      </c>
      <c r="D2171" s="42" t="s">
        <v>1556</v>
      </c>
      <c r="E2171" s="42" t="s">
        <v>32</v>
      </c>
      <c r="F2171" s="42" t="s">
        <v>2105</v>
      </c>
      <c r="G2171" s="42" t="s">
        <v>2029</v>
      </c>
      <c r="H2171" s="43"/>
      <c r="I2171" s="43"/>
      <c r="J2171" s="43"/>
      <c r="K2171" s="43"/>
      <c r="L2171" s="43"/>
      <c r="M2171" s="43"/>
      <c r="N2171" s="43"/>
      <c r="O2171" s="43"/>
      <c r="P2171" s="43"/>
      <c r="Q2171" s="43"/>
      <c r="R2171" s="43"/>
      <c r="S2171" s="43"/>
      <c r="T2171" s="43"/>
      <c r="U2171" s="43"/>
      <c r="V2171" s="43"/>
    </row>
    <row r="2172" spans="1:22" ht="15.75" customHeight="1" x14ac:dyDescent="0.2">
      <c r="A2172" s="40">
        <v>1683</v>
      </c>
      <c r="B2172" s="41" t="s">
        <v>270</v>
      </c>
      <c r="C2172" s="42" t="s">
        <v>2106</v>
      </c>
      <c r="D2172" s="42" t="s">
        <v>116</v>
      </c>
      <c r="E2172" s="42" t="s">
        <v>393</v>
      </c>
      <c r="F2172" s="42" t="s">
        <v>2105</v>
      </c>
      <c r="G2172" s="42" t="s">
        <v>2029</v>
      </c>
      <c r="H2172" s="43"/>
      <c r="I2172" s="43"/>
      <c r="J2172" s="43"/>
      <c r="K2172" s="43"/>
      <c r="L2172" s="43"/>
      <c r="M2172" s="43"/>
      <c r="N2172" s="43"/>
      <c r="O2172" s="43"/>
      <c r="P2172" s="43"/>
      <c r="Q2172" s="43"/>
      <c r="R2172" s="43"/>
      <c r="S2172" s="43"/>
      <c r="T2172" s="43"/>
      <c r="U2172" s="43"/>
      <c r="V2172" s="43"/>
    </row>
    <row r="2173" spans="1:22" ht="15.75" customHeight="1" x14ac:dyDescent="0.2">
      <c r="A2173" s="40">
        <v>2207</v>
      </c>
      <c r="B2173" s="41" t="s">
        <v>282</v>
      </c>
      <c r="C2173" s="42" t="s">
        <v>2106</v>
      </c>
      <c r="D2173" s="42" t="s">
        <v>116</v>
      </c>
      <c r="E2173" s="42" t="s">
        <v>393</v>
      </c>
      <c r="F2173" s="42" t="s">
        <v>2105</v>
      </c>
      <c r="G2173" s="42" t="s">
        <v>2029</v>
      </c>
      <c r="H2173" s="43"/>
      <c r="I2173" s="43"/>
      <c r="J2173" s="43"/>
      <c r="K2173" s="43"/>
      <c r="L2173" s="43"/>
      <c r="M2173" s="43"/>
      <c r="N2173" s="43"/>
      <c r="O2173" s="43"/>
      <c r="P2173" s="43"/>
      <c r="Q2173" s="43"/>
      <c r="R2173" s="43"/>
      <c r="S2173" s="43"/>
      <c r="T2173" s="43"/>
      <c r="U2173" s="43"/>
      <c r="V2173" s="43"/>
    </row>
    <row r="2174" spans="1:22" ht="15.75" customHeight="1" x14ac:dyDescent="0.2">
      <c r="A2174" s="40"/>
      <c r="B2174" s="45" t="s">
        <v>296</v>
      </c>
      <c r="C2174" s="46" t="s">
        <v>2107</v>
      </c>
      <c r="D2174" s="46" t="s">
        <v>456</v>
      </c>
      <c r="E2174" s="46" t="s">
        <v>306</v>
      </c>
      <c r="F2174" s="46" t="s">
        <v>2108</v>
      </c>
      <c r="G2174" s="46" t="s">
        <v>2029</v>
      </c>
      <c r="H2174" s="43"/>
      <c r="I2174" s="43"/>
      <c r="J2174" s="43"/>
      <c r="K2174" s="43"/>
      <c r="L2174" s="43"/>
      <c r="M2174" s="43"/>
      <c r="N2174" s="43"/>
      <c r="O2174" s="43"/>
      <c r="P2174" s="43"/>
      <c r="Q2174" s="43"/>
      <c r="R2174" s="43"/>
      <c r="S2174" s="43"/>
      <c r="T2174" s="43"/>
      <c r="U2174" s="43"/>
      <c r="V2174" s="43"/>
    </row>
    <row r="2175" spans="1:22" ht="15.75" customHeight="1" x14ac:dyDescent="0.2">
      <c r="A2175" s="40"/>
      <c r="B2175" s="45" t="s">
        <v>108</v>
      </c>
      <c r="C2175" s="46" t="s">
        <v>2107</v>
      </c>
      <c r="D2175" s="46" t="s">
        <v>456</v>
      </c>
      <c r="E2175" s="46" t="s">
        <v>306</v>
      </c>
      <c r="F2175" s="46" t="s">
        <v>2108</v>
      </c>
      <c r="G2175" s="46" t="s">
        <v>2029</v>
      </c>
      <c r="H2175" s="43"/>
      <c r="I2175" s="43"/>
      <c r="J2175" s="43"/>
      <c r="K2175" s="43"/>
      <c r="L2175" s="43"/>
      <c r="M2175" s="43"/>
      <c r="N2175" s="43"/>
      <c r="O2175" s="43"/>
      <c r="P2175" s="43"/>
      <c r="Q2175" s="43"/>
      <c r="R2175" s="43"/>
      <c r="S2175" s="43"/>
      <c r="T2175" s="43"/>
      <c r="U2175" s="43"/>
      <c r="V2175" s="43"/>
    </row>
    <row r="2176" spans="1:22" ht="15.75" customHeight="1" x14ac:dyDescent="0.2">
      <c r="A2176" s="40"/>
      <c r="B2176" s="45" t="s">
        <v>114</v>
      </c>
      <c r="C2176" s="46" t="s">
        <v>2109</v>
      </c>
      <c r="D2176" s="46" t="s">
        <v>430</v>
      </c>
      <c r="E2176" s="46" t="s">
        <v>18</v>
      </c>
      <c r="F2176" s="46" t="s">
        <v>2108</v>
      </c>
      <c r="G2176" s="46" t="s">
        <v>2029</v>
      </c>
      <c r="H2176" s="43"/>
      <c r="I2176" s="43"/>
      <c r="J2176" s="43"/>
      <c r="K2176" s="43"/>
      <c r="L2176" s="43"/>
      <c r="M2176" s="43"/>
      <c r="N2176" s="43"/>
      <c r="O2176" s="43"/>
      <c r="P2176" s="43"/>
      <c r="Q2176" s="43"/>
      <c r="R2176" s="43"/>
      <c r="S2176" s="43"/>
      <c r="T2176" s="43"/>
      <c r="U2176" s="43"/>
      <c r="V2176" s="43"/>
    </row>
    <row r="2177" spans="1:22" ht="15.75" customHeight="1" x14ac:dyDescent="0.2">
      <c r="A2177" s="40"/>
      <c r="B2177" s="45" t="s">
        <v>108</v>
      </c>
      <c r="C2177" s="46" t="s">
        <v>2109</v>
      </c>
      <c r="D2177" s="46" t="s">
        <v>430</v>
      </c>
      <c r="E2177" s="46" t="s">
        <v>18</v>
      </c>
      <c r="F2177" s="46" t="s">
        <v>2108</v>
      </c>
      <c r="G2177" s="46" t="s">
        <v>2029</v>
      </c>
      <c r="H2177" s="43"/>
      <c r="I2177" s="43"/>
      <c r="J2177" s="43"/>
      <c r="K2177" s="43"/>
      <c r="L2177" s="43"/>
      <c r="M2177" s="43"/>
      <c r="N2177" s="43"/>
      <c r="O2177" s="43"/>
      <c r="P2177" s="43"/>
      <c r="Q2177" s="43"/>
      <c r="R2177" s="43"/>
      <c r="S2177" s="43"/>
      <c r="T2177" s="43"/>
      <c r="U2177" s="43"/>
      <c r="V2177" s="43"/>
    </row>
    <row r="2178" spans="1:22" ht="15.75" customHeight="1" x14ac:dyDescent="0.2">
      <c r="A2178" s="40">
        <v>1633</v>
      </c>
      <c r="B2178" s="41" t="s">
        <v>267</v>
      </c>
      <c r="C2178" s="42" t="s">
        <v>2110</v>
      </c>
      <c r="D2178" s="42" t="s">
        <v>339</v>
      </c>
      <c r="E2178" s="42" t="s">
        <v>32</v>
      </c>
      <c r="F2178" s="42" t="s">
        <v>2111</v>
      </c>
      <c r="G2178" s="42" t="s">
        <v>2029</v>
      </c>
      <c r="H2178" s="43"/>
      <c r="I2178" s="43"/>
      <c r="J2178" s="43"/>
      <c r="K2178" s="43"/>
      <c r="L2178" s="43"/>
      <c r="M2178" s="43"/>
      <c r="N2178" s="43"/>
      <c r="O2178" s="43"/>
      <c r="P2178" s="43"/>
      <c r="Q2178" s="43"/>
      <c r="R2178" s="43"/>
      <c r="S2178" s="43"/>
      <c r="T2178" s="43"/>
      <c r="U2178" s="43"/>
      <c r="V2178" s="43"/>
    </row>
    <row r="2179" spans="1:22" ht="15.75" customHeight="1" x14ac:dyDescent="0.2">
      <c r="A2179" s="40">
        <v>2199</v>
      </c>
      <c r="B2179" s="41" t="s">
        <v>282</v>
      </c>
      <c r="C2179" s="42" t="s">
        <v>2110</v>
      </c>
      <c r="D2179" s="42" t="s">
        <v>339</v>
      </c>
      <c r="E2179" s="42" t="s">
        <v>32</v>
      </c>
      <c r="F2179" s="42" t="s">
        <v>2111</v>
      </c>
      <c r="G2179" s="42" t="s">
        <v>2029</v>
      </c>
      <c r="H2179" s="43"/>
      <c r="I2179" s="43"/>
      <c r="J2179" s="43"/>
      <c r="K2179" s="43"/>
      <c r="L2179" s="43"/>
      <c r="M2179" s="43"/>
      <c r="N2179" s="43"/>
      <c r="O2179" s="43"/>
      <c r="P2179" s="43"/>
      <c r="Q2179" s="43"/>
      <c r="R2179" s="43"/>
      <c r="S2179" s="43"/>
      <c r="T2179" s="43"/>
      <c r="U2179" s="43"/>
      <c r="V2179" s="43"/>
    </row>
    <row r="2180" spans="1:22" ht="15.75" customHeight="1" x14ac:dyDescent="0.2">
      <c r="A2180" s="40">
        <v>2787</v>
      </c>
      <c r="B2180" s="41" t="s">
        <v>288</v>
      </c>
      <c r="C2180" s="42" t="s">
        <v>2110</v>
      </c>
      <c r="D2180" s="42" t="s">
        <v>339</v>
      </c>
      <c r="E2180" s="42" t="s">
        <v>32</v>
      </c>
      <c r="F2180" s="42" t="s">
        <v>2111</v>
      </c>
      <c r="G2180" s="42" t="s">
        <v>2029</v>
      </c>
      <c r="H2180" s="43"/>
      <c r="I2180" s="43"/>
      <c r="J2180" s="43"/>
      <c r="K2180" s="43"/>
      <c r="L2180" s="43"/>
      <c r="M2180" s="43"/>
      <c r="N2180" s="43"/>
      <c r="O2180" s="43"/>
      <c r="P2180" s="43"/>
      <c r="Q2180" s="43"/>
      <c r="R2180" s="43"/>
      <c r="S2180" s="43"/>
      <c r="T2180" s="43"/>
      <c r="U2180" s="43"/>
      <c r="V2180" s="43"/>
    </row>
    <row r="2181" spans="1:22" ht="15.75" customHeight="1" x14ac:dyDescent="0.2">
      <c r="A2181" s="48">
        <v>2995</v>
      </c>
      <c r="B2181" s="49" t="s">
        <v>290</v>
      </c>
      <c r="C2181" s="50" t="s">
        <v>2110</v>
      </c>
      <c r="D2181" s="50" t="s">
        <v>339</v>
      </c>
      <c r="E2181" s="50" t="s">
        <v>32</v>
      </c>
      <c r="F2181" s="42" t="s">
        <v>2111</v>
      </c>
      <c r="G2181" s="42" t="s">
        <v>2029</v>
      </c>
      <c r="H2181" s="43"/>
      <c r="I2181" s="43"/>
      <c r="J2181" s="43"/>
      <c r="K2181" s="43"/>
      <c r="L2181" s="43"/>
      <c r="M2181" s="43"/>
      <c r="N2181" s="43"/>
      <c r="O2181" s="43"/>
      <c r="P2181" s="43"/>
      <c r="Q2181" s="43"/>
      <c r="R2181" s="43"/>
      <c r="S2181" s="43"/>
      <c r="T2181" s="43"/>
      <c r="U2181" s="43"/>
      <c r="V2181" s="43"/>
    </row>
    <row r="2182" spans="1:22" ht="15.75" customHeight="1" x14ac:dyDescent="0.2">
      <c r="A2182" s="40">
        <v>503</v>
      </c>
      <c r="B2182" s="41" t="s">
        <v>1339</v>
      </c>
      <c r="C2182" s="42" t="s">
        <v>2112</v>
      </c>
      <c r="D2182" s="42" t="s">
        <v>529</v>
      </c>
      <c r="E2182" s="42" t="s">
        <v>371</v>
      </c>
      <c r="F2182" s="42" t="s">
        <v>2111</v>
      </c>
      <c r="G2182" s="42" t="s">
        <v>2029</v>
      </c>
      <c r="H2182" s="43"/>
      <c r="I2182" s="43"/>
      <c r="J2182" s="43"/>
      <c r="K2182" s="43"/>
      <c r="L2182" s="43"/>
      <c r="M2182" s="43"/>
      <c r="N2182" s="43"/>
      <c r="O2182" s="43"/>
      <c r="P2182" s="43"/>
      <c r="Q2182" s="43"/>
      <c r="R2182" s="43"/>
      <c r="S2182" s="43"/>
      <c r="T2182" s="43"/>
      <c r="U2182" s="43"/>
      <c r="V2182" s="43"/>
    </row>
    <row r="2183" spans="1:22" ht="15.75" customHeight="1" x14ac:dyDescent="0.2">
      <c r="A2183" s="40">
        <v>517</v>
      </c>
      <c r="B2183" s="41" t="s">
        <v>509</v>
      </c>
      <c r="C2183" s="42" t="s">
        <v>2112</v>
      </c>
      <c r="D2183" s="42" t="s">
        <v>529</v>
      </c>
      <c r="E2183" s="42" t="s">
        <v>371</v>
      </c>
      <c r="F2183" s="42" t="s">
        <v>2111</v>
      </c>
      <c r="G2183" s="42" t="s">
        <v>2029</v>
      </c>
      <c r="H2183" s="43"/>
      <c r="I2183" s="43"/>
      <c r="J2183" s="43"/>
      <c r="K2183" s="43"/>
      <c r="L2183" s="43"/>
      <c r="M2183" s="43"/>
      <c r="N2183" s="43"/>
      <c r="O2183" s="43"/>
      <c r="P2183" s="43"/>
      <c r="Q2183" s="43"/>
      <c r="R2183" s="43"/>
      <c r="S2183" s="43"/>
      <c r="T2183" s="43"/>
      <c r="U2183" s="43"/>
      <c r="V2183" s="43"/>
    </row>
    <row r="2184" spans="1:22" ht="15.75" customHeight="1" x14ac:dyDescent="0.2">
      <c r="A2184" s="40">
        <v>2983</v>
      </c>
      <c r="B2184" s="41" t="s">
        <v>289</v>
      </c>
      <c r="C2184" s="42" t="s">
        <v>2112</v>
      </c>
      <c r="D2184" s="42" t="s">
        <v>529</v>
      </c>
      <c r="E2184" s="42" t="s">
        <v>371</v>
      </c>
      <c r="F2184" s="42" t="s">
        <v>2111</v>
      </c>
      <c r="G2184" s="42" t="s">
        <v>2029</v>
      </c>
      <c r="H2184" s="43"/>
      <c r="I2184" s="43"/>
      <c r="J2184" s="43"/>
      <c r="K2184" s="43"/>
      <c r="L2184" s="43"/>
      <c r="M2184" s="43"/>
      <c r="N2184" s="43"/>
      <c r="O2184" s="43"/>
      <c r="P2184" s="43"/>
      <c r="Q2184" s="43"/>
      <c r="R2184" s="43"/>
      <c r="S2184" s="43"/>
      <c r="T2184" s="43"/>
      <c r="U2184" s="43"/>
      <c r="V2184" s="43"/>
    </row>
    <row r="2185" spans="1:22" ht="15.75" customHeight="1" x14ac:dyDescent="0.2">
      <c r="A2185" s="40">
        <v>35</v>
      </c>
      <c r="B2185" s="41" t="s">
        <v>939</v>
      </c>
      <c r="C2185" s="42" t="s">
        <v>2113</v>
      </c>
      <c r="D2185" s="42" t="s">
        <v>339</v>
      </c>
      <c r="E2185" s="42" t="s">
        <v>306</v>
      </c>
      <c r="F2185" s="42" t="s">
        <v>2111</v>
      </c>
      <c r="G2185" s="42" t="s">
        <v>2029</v>
      </c>
      <c r="H2185" s="43"/>
      <c r="I2185" s="43"/>
      <c r="J2185" s="43"/>
      <c r="K2185" s="43"/>
      <c r="L2185" s="43"/>
      <c r="M2185" s="43"/>
      <c r="N2185" s="43"/>
      <c r="O2185" s="43"/>
      <c r="P2185" s="43"/>
      <c r="Q2185" s="43"/>
      <c r="R2185" s="43"/>
      <c r="S2185" s="43"/>
      <c r="T2185" s="43"/>
      <c r="U2185" s="43"/>
      <c r="V2185" s="43"/>
    </row>
    <row r="2186" spans="1:22" ht="15.75" customHeight="1" x14ac:dyDescent="0.2">
      <c r="A2186" s="40">
        <v>73</v>
      </c>
      <c r="B2186" s="41" t="s">
        <v>1301</v>
      </c>
      <c r="C2186" s="42" t="s">
        <v>2113</v>
      </c>
      <c r="D2186" s="42" t="s">
        <v>339</v>
      </c>
      <c r="E2186" s="42" t="s">
        <v>306</v>
      </c>
      <c r="F2186" s="42" t="s">
        <v>2111</v>
      </c>
      <c r="G2186" s="42" t="s">
        <v>2029</v>
      </c>
      <c r="H2186" s="43"/>
      <c r="I2186" s="43"/>
      <c r="J2186" s="43"/>
      <c r="K2186" s="43"/>
      <c r="L2186" s="43"/>
      <c r="M2186" s="43"/>
      <c r="N2186" s="43"/>
      <c r="O2186" s="43"/>
      <c r="P2186" s="43"/>
      <c r="Q2186" s="43"/>
      <c r="R2186" s="43"/>
      <c r="S2186" s="43"/>
      <c r="T2186" s="43"/>
      <c r="U2186" s="43"/>
      <c r="V2186" s="43"/>
    </row>
    <row r="2187" spans="1:22" ht="15.75" customHeight="1" x14ac:dyDescent="0.2">
      <c r="A2187" s="40"/>
      <c r="B2187" s="45" t="s">
        <v>300</v>
      </c>
      <c r="C2187" s="46" t="s">
        <v>2114</v>
      </c>
      <c r="D2187" s="46" t="s">
        <v>2115</v>
      </c>
      <c r="E2187" s="46" t="s">
        <v>2116</v>
      </c>
      <c r="F2187" s="46" t="s">
        <v>2111</v>
      </c>
      <c r="G2187" s="46" t="s">
        <v>2029</v>
      </c>
      <c r="H2187" s="43"/>
      <c r="I2187" s="43"/>
      <c r="J2187" s="43"/>
      <c r="K2187" s="43"/>
      <c r="L2187" s="43"/>
      <c r="M2187" s="43"/>
      <c r="N2187" s="43"/>
      <c r="O2187" s="43"/>
      <c r="P2187" s="43"/>
      <c r="Q2187" s="43"/>
      <c r="R2187" s="43"/>
      <c r="S2187" s="43"/>
      <c r="T2187" s="43"/>
      <c r="U2187" s="43"/>
      <c r="V2187" s="43"/>
    </row>
    <row r="2188" spans="1:22" ht="15.75" customHeight="1" x14ac:dyDescent="0.2">
      <c r="A2188" s="40"/>
      <c r="B2188" s="45" t="s">
        <v>102</v>
      </c>
      <c r="C2188" s="46" t="s">
        <v>2114</v>
      </c>
      <c r="D2188" s="46" t="s">
        <v>2115</v>
      </c>
      <c r="E2188" s="46" t="s">
        <v>2116</v>
      </c>
      <c r="F2188" s="46" t="s">
        <v>2111</v>
      </c>
      <c r="G2188" s="46" t="s">
        <v>2029</v>
      </c>
      <c r="H2188" s="43"/>
      <c r="I2188" s="43"/>
      <c r="J2188" s="43"/>
      <c r="K2188" s="43"/>
      <c r="L2188" s="43"/>
      <c r="M2188" s="43"/>
      <c r="N2188" s="43"/>
      <c r="O2188" s="43"/>
      <c r="P2188" s="43"/>
      <c r="Q2188" s="43"/>
      <c r="R2188" s="43"/>
      <c r="S2188" s="43"/>
      <c r="T2188" s="43"/>
      <c r="U2188" s="43"/>
      <c r="V2188" s="43"/>
    </row>
    <row r="2189" spans="1:22" ht="15.75" customHeight="1" x14ac:dyDescent="0.2">
      <c r="A2189" s="40"/>
      <c r="B2189" s="45" t="s">
        <v>303</v>
      </c>
      <c r="C2189" s="46" t="s">
        <v>2114</v>
      </c>
      <c r="D2189" s="46" t="s">
        <v>2115</v>
      </c>
      <c r="E2189" s="46" t="s">
        <v>2116</v>
      </c>
      <c r="F2189" s="46" t="s">
        <v>2111</v>
      </c>
      <c r="G2189" s="46" t="s">
        <v>2029</v>
      </c>
      <c r="H2189" s="43"/>
      <c r="I2189" s="43"/>
      <c r="J2189" s="43"/>
      <c r="K2189" s="43"/>
      <c r="L2189" s="43"/>
      <c r="M2189" s="43"/>
      <c r="N2189" s="43"/>
      <c r="O2189" s="43"/>
      <c r="P2189" s="43"/>
      <c r="Q2189" s="43"/>
      <c r="R2189" s="43"/>
      <c r="S2189" s="43"/>
      <c r="T2189" s="43"/>
      <c r="U2189" s="43"/>
      <c r="V2189" s="43"/>
    </row>
    <row r="2190" spans="1:22" ht="15.75" customHeight="1" x14ac:dyDescent="0.2">
      <c r="A2190" s="40"/>
      <c r="B2190" s="45" t="s">
        <v>303</v>
      </c>
      <c r="C2190" s="46" t="s">
        <v>2117</v>
      </c>
      <c r="D2190" s="46" t="s">
        <v>822</v>
      </c>
      <c r="E2190" s="46" t="s">
        <v>273</v>
      </c>
      <c r="F2190" s="46" t="s">
        <v>2111</v>
      </c>
      <c r="G2190" s="46" t="s">
        <v>2029</v>
      </c>
      <c r="H2190" s="43"/>
      <c r="I2190" s="43"/>
      <c r="J2190" s="43"/>
      <c r="K2190" s="43"/>
      <c r="L2190" s="43"/>
      <c r="M2190" s="43"/>
      <c r="N2190" s="43"/>
      <c r="O2190" s="43"/>
      <c r="P2190" s="43"/>
      <c r="Q2190" s="43"/>
      <c r="R2190" s="43"/>
      <c r="S2190" s="43"/>
      <c r="T2190" s="43"/>
      <c r="U2190" s="43"/>
      <c r="V2190" s="43"/>
    </row>
    <row r="2191" spans="1:22" ht="15.75" customHeight="1" x14ac:dyDescent="0.2">
      <c r="A2191" s="40"/>
      <c r="B2191" s="45" t="s">
        <v>94</v>
      </c>
      <c r="C2191" s="46" t="s">
        <v>2117</v>
      </c>
      <c r="D2191" s="46" t="s">
        <v>822</v>
      </c>
      <c r="E2191" s="46" t="s">
        <v>273</v>
      </c>
      <c r="F2191" s="46" t="s">
        <v>2111</v>
      </c>
      <c r="G2191" s="46" t="s">
        <v>2029</v>
      </c>
      <c r="H2191" s="43"/>
      <c r="I2191" s="43"/>
      <c r="J2191" s="43"/>
      <c r="K2191" s="43"/>
      <c r="L2191" s="43"/>
      <c r="M2191" s="43"/>
      <c r="N2191" s="43"/>
      <c r="O2191" s="43"/>
      <c r="P2191" s="43"/>
      <c r="Q2191" s="43"/>
      <c r="R2191" s="43"/>
      <c r="S2191" s="43"/>
      <c r="T2191" s="43"/>
      <c r="U2191" s="43"/>
      <c r="V2191" s="43"/>
    </row>
    <row r="2192" spans="1:22" ht="15.75" customHeight="1" x14ac:dyDescent="0.2">
      <c r="A2192" s="40"/>
      <c r="B2192" s="45" t="s">
        <v>323</v>
      </c>
      <c r="C2192" s="46" t="s">
        <v>2118</v>
      </c>
      <c r="D2192" s="46" t="s">
        <v>183</v>
      </c>
      <c r="E2192" s="46" t="s">
        <v>384</v>
      </c>
      <c r="F2192" s="46" t="s">
        <v>2111</v>
      </c>
      <c r="G2192" s="46" t="s">
        <v>2029</v>
      </c>
      <c r="H2192" s="43"/>
      <c r="I2192" s="43"/>
      <c r="J2192" s="43"/>
      <c r="K2192" s="43"/>
      <c r="L2192" s="43"/>
      <c r="M2192" s="43"/>
      <c r="N2192" s="43"/>
      <c r="O2192" s="43"/>
      <c r="P2192" s="43"/>
      <c r="Q2192" s="43"/>
      <c r="R2192" s="43"/>
      <c r="S2192" s="43"/>
      <c r="T2192" s="43"/>
      <c r="U2192" s="43"/>
      <c r="V2192" s="43"/>
    </row>
    <row r="2193" spans="1:22" ht="15.75" customHeight="1" x14ac:dyDescent="0.2">
      <c r="A2193" s="40"/>
      <c r="B2193" s="45" t="s">
        <v>303</v>
      </c>
      <c r="C2193" s="46" t="s">
        <v>2118</v>
      </c>
      <c r="D2193" s="46" t="s">
        <v>183</v>
      </c>
      <c r="E2193" s="46" t="s">
        <v>384</v>
      </c>
      <c r="F2193" s="46" t="s">
        <v>2111</v>
      </c>
      <c r="G2193" s="46" t="s">
        <v>2029</v>
      </c>
      <c r="H2193" s="43"/>
      <c r="I2193" s="43"/>
      <c r="J2193" s="43"/>
      <c r="K2193" s="43"/>
      <c r="L2193" s="43"/>
      <c r="M2193" s="43"/>
      <c r="N2193" s="43"/>
      <c r="O2193" s="43"/>
      <c r="P2193" s="43"/>
      <c r="Q2193" s="43"/>
      <c r="R2193" s="43"/>
      <c r="S2193" s="43"/>
      <c r="T2193" s="43"/>
      <c r="U2193" s="43"/>
      <c r="V2193" s="43"/>
    </row>
    <row r="2194" spans="1:22" ht="15.75" customHeight="1" x14ac:dyDescent="0.2">
      <c r="A2194" s="40"/>
      <c r="B2194" s="45" t="s">
        <v>94</v>
      </c>
      <c r="C2194" s="46" t="s">
        <v>2118</v>
      </c>
      <c r="D2194" s="46" t="s">
        <v>183</v>
      </c>
      <c r="E2194" s="46" t="s">
        <v>384</v>
      </c>
      <c r="F2194" s="46" t="s">
        <v>2111</v>
      </c>
      <c r="G2194" s="46" t="s">
        <v>2029</v>
      </c>
      <c r="H2194" s="43"/>
      <c r="I2194" s="43"/>
      <c r="J2194" s="43"/>
      <c r="K2194" s="43"/>
      <c r="L2194" s="43"/>
      <c r="M2194" s="43"/>
      <c r="N2194" s="43"/>
      <c r="O2194" s="43"/>
      <c r="P2194" s="43"/>
      <c r="Q2194" s="43"/>
      <c r="R2194" s="43"/>
      <c r="S2194" s="43"/>
      <c r="T2194" s="43"/>
      <c r="U2194" s="43"/>
      <c r="V2194" s="43"/>
    </row>
    <row r="2195" spans="1:22" ht="15.75" customHeight="1" x14ac:dyDescent="0.2">
      <c r="A2195" s="40">
        <v>371</v>
      </c>
      <c r="B2195" s="41" t="s">
        <v>246</v>
      </c>
      <c r="C2195" s="42" t="s">
        <v>2119</v>
      </c>
      <c r="D2195" s="42" t="s">
        <v>292</v>
      </c>
      <c r="E2195" s="42" t="s">
        <v>650</v>
      </c>
      <c r="F2195" s="42" t="s">
        <v>2111</v>
      </c>
      <c r="G2195" s="42" t="s">
        <v>2029</v>
      </c>
      <c r="H2195" s="43"/>
      <c r="I2195" s="43"/>
      <c r="J2195" s="43"/>
      <c r="K2195" s="43"/>
      <c r="L2195" s="43"/>
      <c r="M2195" s="43"/>
      <c r="N2195" s="43"/>
      <c r="O2195" s="43"/>
      <c r="P2195" s="43"/>
      <c r="Q2195" s="43"/>
      <c r="R2195" s="43"/>
      <c r="S2195" s="43"/>
      <c r="T2195" s="43"/>
      <c r="U2195" s="43"/>
      <c r="V2195" s="43"/>
    </row>
    <row r="2196" spans="1:22" ht="15.75" customHeight="1" x14ac:dyDescent="0.2">
      <c r="A2196" s="40">
        <v>405</v>
      </c>
      <c r="B2196" s="41" t="s">
        <v>1299</v>
      </c>
      <c r="C2196" s="42" t="s">
        <v>2119</v>
      </c>
      <c r="D2196" s="42" t="s">
        <v>292</v>
      </c>
      <c r="E2196" s="42" t="s">
        <v>650</v>
      </c>
      <c r="F2196" s="42" t="s">
        <v>2111</v>
      </c>
      <c r="G2196" s="42" t="s">
        <v>2029</v>
      </c>
      <c r="H2196" s="43"/>
      <c r="I2196" s="43"/>
      <c r="J2196" s="43"/>
      <c r="K2196" s="43"/>
      <c r="L2196" s="43"/>
      <c r="M2196" s="43"/>
      <c r="N2196" s="43"/>
      <c r="O2196" s="43"/>
      <c r="P2196" s="43"/>
      <c r="Q2196" s="43"/>
      <c r="R2196" s="43"/>
      <c r="S2196" s="43"/>
      <c r="T2196" s="43"/>
      <c r="U2196" s="43"/>
      <c r="V2196" s="43"/>
    </row>
    <row r="2197" spans="1:22" ht="15.75" customHeight="1" x14ac:dyDescent="0.2">
      <c r="A2197" s="40">
        <v>1443</v>
      </c>
      <c r="B2197" s="41" t="s">
        <v>261</v>
      </c>
      <c r="C2197" s="42" t="s">
        <v>2119</v>
      </c>
      <c r="D2197" s="42" t="s">
        <v>292</v>
      </c>
      <c r="E2197" s="42" t="s">
        <v>650</v>
      </c>
      <c r="F2197" s="42" t="s">
        <v>2111</v>
      </c>
      <c r="G2197" s="42" t="s">
        <v>2029</v>
      </c>
      <c r="H2197" s="43"/>
      <c r="I2197" s="43"/>
      <c r="J2197" s="43"/>
      <c r="K2197" s="43"/>
      <c r="L2197" s="43"/>
      <c r="M2197" s="43"/>
      <c r="N2197" s="43"/>
      <c r="O2197" s="43"/>
      <c r="P2197" s="43"/>
      <c r="Q2197" s="43"/>
      <c r="R2197" s="43"/>
      <c r="S2197" s="43"/>
      <c r="T2197" s="43"/>
      <c r="U2197" s="43"/>
      <c r="V2197" s="43"/>
    </row>
    <row r="2198" spans="1:22" ht="15.75" customHeight="1" x14ac:dyDescent="0.2">
      <c r="A2198" s="40">
        <v>1893</v>
      </c>
      <c r="B2198" s="41" t="s">
        <v>277</v>
      </c>
      <c r="C2198" s="42" t="s">
        <v>2119</v>
      </c>
      <c r="D2198" s="42" t="s">
        <v>292</v>
      </c>
      <c r="E2198" s="42" t="s">
        <v>650</v>
      </c>
      <c r="F2198" s="42" t="s">
        <v>2111</v>
      </c>
      <c r="G2198" s="42" t="s">
        <v>2029</v>
      </c>
      <c r="H2198" s="43"/>
      <c r="I2198" s="43"/>
      <c r="J2198" s="43"/>
      <c r="K2198" s="43"/>
      <c r="L2198" s="43"/>
      <c r="M2198" s="43"/>
      <c r="N2198" s="43"/>
      <c r="O2198" s="43"/>
      <c r="P2198" s="43"/>
      <c r="Q2198" s="43"/>
      <c r="R2198" s="43"/>
      <c r="S2198" s="43"/>
      <c r="T2198" s="43"/>
      <c r="U2198" s="43"/>
      <c r="V2198" s="43"/>
    </row>
    <row r="2199" spans="1:22" ht="15.75" customHeight="1" x14ac:dyDescent="0.2">
      <c r="A2199" s="40">
        <v>2143</v>
      </c>
      <c r="B2199" s="41" t="s">
        <v>281</v>
      </c>
      <c r="C2199" s="42" t="s">
        <v>2119</v>
      </c>
      <c r="D2199" s="42" t="s">
        <v>292</v>
      </c>
      <c r="E2199" s="42" t="s">
        <v>650</v>
      </c>
      <c r="F2199" s="42" t="s">
        <v>2111</v>
      </c>
      <c r="G2199" s="42" t="s">
        <v>2029</v>
      </c>
      <c r="H2199" s="43"/>
      <c r="I2199" s="43"/>
      <c r="J2199" s="43"/>
      <c r="K2199" s="43"/>
      <c r="L2199" s="43"/>
      <c r="M2199" s="43"/>
      <c r="N2199" s="43"/>
      <c r="O2199" s="43"/>
      <c r="P2199" s="43"/>
      <c r="Q2199" s="43"/>
      <c r="R2199" s="43"/>
      <c r="S2199" s="43"/>
      <c r="T2199" s="43"/>
      <c r="U2199" s="43"/>
      <c r="V2199" s="43"/>
    </row>
    <row r="2200" spans="1:22" ht="15.75" customHeight="1" x14ac:dyDescent="0.2">
      <c r="A2200" s="40"/>
      <c r="B2200" s="45" t="s">
        <v>323</v>
      </c>
      <c r="C2200" s="46" t="s">
        <v>2119</v>
      </c>
      <c r="D2200" s="46" t="s">
        <v>120</v>
      </c>
      <c r="E2200" s="46" t="s">
        <v>650</v>
      </c>
      <c r="F2200" s="46" t="s">
        <v>2111</v>
      </c>
      <c r="G2200" s="46" t="s">
        <v>2029</v>
      </c>
      <c r="H2200" s="43"/>
      <c r="I2200" s="43"/>
      <c r="J2200" s="43"/>
      <c r="K2200" s="43"/>
      <c r="L2200" s="43"/>
      <c r="M2200" s="43"/>
      <c r="N2200" s="43"/>
      <c r="O2200" s="43"/>
      <c r="P2200" s="43"/>
      <c r="Q2200" s="43"/>
      <c r="R2200" s="43"/>
      <c r="S2200" s="43"/>
      <c r="T2200" s="43"/>
      <c r="U2200" s="43"/>
      <c r="V2200" s="43"/>
    </row>
    <row r="2201" spans="1:22" ht="15.75" customHeight="1" x14ac:dyDescent="0.2">
      <c r="A2201" s="40"/>
      <c r="B2201" s="45" t="s">
        <v>303</v>
      </c>
      <c r="C2201" s="46" t="s">
        <v>2119</v>
      </c>
      <c r="D2201" s="46" t="s">
        <v>120</v>
      </c>
      <c r="E2201" s="46" t="s">
        <v>650</v>
      </c>
      <c r="F2201" s="46" t="s">
        <v>2111</v>
      </c>
      <c r="G2201" s="46" t="s">
        <v>2029</v>
      </c>
      <c r="H2201" s="43"/>
      <c r="I2201" s="43"/>
      <c r="J2201" s="43"/>
      <c r="K2201" s="43"/>
      <c r="L2201" s="43"/>
      <c r="M2201" s="43"/>
      <c r="N2201" s="43"/>
      <c r="O2201" s="43"/>
      <c r="P2201" s="43"/>
      <c r="Q2201" s="43"/>
      <c r="R2201" s="43"/>
      <c r="S2201" s="43"/>
      <c r="T2201" s="43"/>
      <c r="U2201" s="43"/>
      <c r="V2201" s="43"/>
    </row>
    <row r="2202" spans="1:22" ht="15.75" customHeight="1" x14ac:dyDescent="0.2">
      <c r="A2202" s="40"/>
      <c r="B2202" s="45" t="s">
        <v>94</v>
      </c>
      <c r="C2202" s="46" t="s">
        <v>2119</v>
      </c>
      <c r="D2202" s="46" t="s">
        <v>120</v>
      </c>
      <c r="E2202" s="46" t="s">
        <v>650</v>
      </c>
      <c r="F2202" s="46" t="s">
        <v>2111</v>
      </c>
      <c r="G2202" s="46" t="s">
        <v>2029</v>
      </c>
      <c r="H2202" s="43"/>
      <c r="I2202" s="43"/>
      <c r="J2202" s="43"/>
      <c r="K2202" s="43"/>
      <c r="L2202" s="43"/>
      <c r="M2202" s="43"/>
      <c r="N2202" s="43"/>
      <c r="O2202" s="43"/>
      <c r="P2202" s="43"/>
      <c r="Q2202" s="43"/>
      <c r="R2202" s="43"/>
      <c r="S2202" s="43"/>
      <c r="T2202" s="43"/>
      <c r="U2202" s="43"/>
      <c r="V2202" s="43"/>
    </row>
    <row r="2203" spans="1:22" ht="15.75" customHeight="1" x14ac:dyDescent="0.2">
      <c r="A2203" s="40">
        <v>53</v>
      </c>
      <c r="B2203" s="41" t="s">
        <v>226</v>
      </c>
      <c r="C2203" s="42" t="s">
        <v>2120</v>
      </c>
      <c r="D2203" s="42" t="s">
        <v>2121</v>
      </c>
      <c r="E2203" s="42" t="s">
        <v>996</v>
      </c>
      <c r="F2203" s="42" t="s">
        <v>2122</v>
      </c>
      <c r="G2203" s="42" t="s">
        <v>2029</v>
      </c>
      <c r="H2203" s="43"/>
      <c r="I2203" s="43"/>
      <c r="J2203" s="43"/>
      <c r="K2203" s="43"/>
      <c r="L2203" s="43"/>
      <c r="M2203" s="43"/>
      <c r="N2203" s="43"/>
      <c r="O2203" s="43"/>
      <c r="P2203" s="43"/>
      <c r="Q2203" s="43"/>
      <c r="R2203" s="43"/>
      <c r="S2203" s="43"/>
      <c r="T2203" s="43"/>
      <c r="U2203" s="43"/>
      <c r="V2203" s="43"/>
    </row>
    <row r="2204" spans="1:22" ht="15.75" customHeight="1" x14ac:dyDescent="0.2">
      <c r="A2204" s="40">
        <v>101</v>
      </c>
      <c r="B2204" s="41" t="s">
        <v>415</v>
      </c>
      <c r="C2204" s="42" t="s">
        <v>2120</v>
      </c>
      <c r="D2204" s="42" t="s">
        <v>2121</v>
      </c>
      <c r="E2204" s="42" t="s">
        <v>996</v>
      </c>
      <c r="F2204" s="42" t="s">
        <v>2122</v>
      </c>
      <c r="G2204" s="42" t="s">
        <v>2029</v>
      </c>
      <c r="H2204" s="43"/>
      <c r="I2204" s="43"/>
      <c r="J2204" s="43"/>
      <c r="K2204" s="43"/>
      <c r="L2204" s="43"/>
      <c r="M2204" s="43"/>
      <c r="N2204" s="43"/>
      <c r="O2204" s="43"/>
      <c r="P2204" s="43"/>
      <c r="Q2204" s="43"/>
      <c r="R2204" s="43"/>
      <c r="S2204" s="43"/>
      <c r="T2204" s="43"/>
      <c r="U2204" s="43"/>
      <c r="V2204" s="43"/>
    </row>
    <row r="2205" spans="1:22" ht="15.75" customHeight="1" x14ac:dyDescent="0.2">
      <c r="A2205" s="40">
        <v>175</v>
      </c>
      <c r="B2205" s="41" t="s">
        <v>1125</v>
      </c>
      <c r="C2205" s="42" t="s">
        <v>2120</v>
      </c>
      <c r="D2205" s="42" t="s">
        <v>2121</v>
      </c>
      <c r="E2205" s="42" t="s">
        <v>996</v>
      </c>
      <c r="F2205" s="42" t="s">
        <v>2122</v>
      </c>
      <c r="G2205" s="42" t="s">
        <v>2029</v>
      </c>
      <c r="H2205" s="43"/>
      <c r="I2205" s="43"/>
      <c r="J2205" s="43"/>
      <c r="K2205" s="43"/>
      <c r="L2205" s="43"/>
      <c r="M2205" s="43"/>
      <c r="N2205" s="43"/>
      <c r="O2205" s="43"/>
      <c r="P2205" s="43"/>
      <c r="Q2205" s="43"/>
      <c r="R2205" s="43"/>
      <c r="S2205" s="43"/>
      <c r="T2205" s="43"/>
      <c r="U2205" s="43"/>
      <c r="V2205" s="43"/>
    </row>
    <row r="2206" spans="1:22" ht="15.75" customHeight="1" x14ac:dyDescent="0.2">
      <c r="A2206" s="40">
        <v>153</v>
      </c>
      <c r="B2206" s="41" t="s">
        <v>460</v>
      </c>
      <c r="C2206" s="42" t="s">
        <v>1427</v>
      </c>
      <c r="D2206" s="42" t="s">
        <v>1369</v>
      </c>
      <c r="E2206" s="42" t="s">
        <v>79</v>
      </c>
      <c r="F2206" s="42" t="s">
        <v>2123</v>
      </c>
      <c r="G2206" s="42" t="s">
        <v>2029</v>
      </c>
      <c r="H2206" s="43"/>
      <c r="I2206" s="43"/>
      <c r="J2206" s="43"/>
      <c r="K2206" s="43"/>
      <c r="L2206" s="43"/>
      <c r="M2206" s="43"/>
      <c r="N2206" s="43"/>
      <c r="O2206" s="43"/>
      <c r="P2206" s="43"/>
      <c r="Q2206" s="43"/>
      <c r="R2206" s="43"/>
      <c r="S2206" s="43"/>
      <c r="T2206" s="43"/>
      <c r="U2206" s="43"/>
      <c r="V2206" s="43"/>
    </row>
    <row r="2207" spans="1:22" ht="15.75" customHeight="1" x14ac:dyDescent="0.2">
      <c r="A2207" s="40">
        <v>1055</v>
      </c>
      <c r="B2207" s="41" t="s">
        <v>464</v>
      </c>
      <c r="C2207" s="42" t="s">
        <v>1427</v>
      </c>
      <c r="D2207" s="42" t="s">
        <v>1369</v>
      </c>
      <c r="E2207" s="42" t="s">
        <v>79</v>
      </c>
      <c r="F2207" s="42" t="s">
        <v>2123</v>
      </c>
      <c r="G2207" s="42" t="s">
        <v>2029</v>
      </c>
      <c r="H2207" s="43"/>
      <c r="I2207" s="43"/>
      <c r="J2207" s="43"/>
      <c r="K2207" s="43"/>
      <c r="L2207" s="43"/>
      <c r="M2207" s="43"/>
      <c r="N2207" s="43"/>
      <c r="O2207" s="43"/>
      <c r="P2207" s="43"/>
      <c r="Q2207" s="43"/>
      <c r="R2207" s="43"/>
      <c r="S2207" s="43"/>
      <c r="T2207" s="43"/>
      <c r="U2207" s="43"/>
      <c r="V2207" s="43"/>
    </row>
    <row r="2208" spans="1:22" ht="15.75" customHeight="1" x14ac:dyDescent="0.2">
      <c r="A2208" s="40">
        <v>1763</v>
      </c>
      <c r="B2208" s="41" t="s">
        <v>459</v>
      </c>
      <c r="C2208" s="42" t="s">
        <v>1427</v>
      </c>
      <c r="D2208" s="42" t="s">
        <v>1369</v>
      </c>
      <c r="E2208" s="42" t="s">
        <v>79</v>
      </c>
      <c r="F2208" s="42" t="s">
        <v>2123</v>
      </c>
      <c r="G2208" s="42" t="s">
        <v>2029</v>
      </c>
      <c r="H2208" s="43"/>
      <c r="I2208" s="43"/>
      <c r="J2208" s="43"/>
      <c r="K2208" s="43"/>
      <c r="L2208" s="43"/>
      <c r="M2208" s="43"/>
      <c r="N2208" s="43"/>
      <c r="O2208" s="43"/>
      <c r="P2208" s="43"/>
      <c r="Q2208" s="43"/>
      <c r="R2208" s="43"/>
      <c r="S2208" s="43"/>
      <c r="T2208" s="43"/>
      <c r="U2208" s="43"/>
      <c r="V2208" s="43"/>
    </row>
    <row r="2209" spans="1:22" ht="15.75" customHeight="1" x14ac:dyDescent="0.2">
      <c r="A2209" s="40">
        <v>2085</v>
      </c>
      <c r="B2209" s="41" t="s">
        <v>653</v>
      </c>
      <c r="C2209" s="42" t="s">
        <v>1427</v>
      </c>
      <c r="D2209" s="42" t="s">
        <v>1369</v>
      </c>
      <c r="E2209" s="42" t="s">
        <v>79</v>
      </c>
      <c r="F2209" s="42" t="s">
        <v>2123</v>
      </c>
      <c r="G2209" s="42" t="s">
        <v>2029</v>
      </c>
      <c r="H2209" s="43"/>
      <c r="I2209" s="43"/>
      <c r="J2209" s="43"/>
      <c r="K2209" s="43"/>
      <c r="L2209" s="43"/>
      <c r="M2209" s="43"/>
      <c r="N2209" s="43"/>
      <c r="O2209" s="43"/>
      <c r="P2209" s="43"/>
      <c r="Q2209" s="43"/>
      <c r="R2209" s="43"/>
      <c r="S2209" s="43"/>
      <c r="T2209" s="43"/>
      <c r="U2209" s="43"/>
      <c r="V2209" s="43"/>
    </row>
    <row r="2210" spans="1:22" ht="15.75" customHeight="1" x14ac:dyDescent="0.2">
      <c r="A2210" s="40">
        <v>1133</v>
      </c>
      <c r="B2210" s="41" t="s">
        <v>449</v>
      </c>
      <c r="C2210" s="42" t="s">
        <v>2124</v>
      </c>
      <c r="D2210" s="42" t="s">
        <v>295</v>
      </c>
      <c r="E2210" s="42" t="s">
        <v>348</v>
      </c>
      <c r="F2210" s="42" t="s">
        <v>2123</v>
      </c>
      <c r="G2210" s="42" t="s">
        <v>2029</v>
      </c>
      <c r="H2210" s="43"/>
      <c r="I2210" s="43"/>
      <c r="J2210" s="43"/>
      <c r="K2210" s="43"/>
      <c r="L2210" s="43"/>
      <c r="M2210" s="43"/>
      <c r="N2210" s="43"/>
      <c r="O2210" s="43"/>
      <c r="P2210" s="43"/>
      <c r="Q2210" s="43"/>
      <c r="R2210" s="43"/>
      <c r="S2210" s="43"/>
      <c r="T2210" s="43"/>
      <c r="U2210" s="43"/>
      <c r="V2210" s="43"/>
    </row>
    <row r="2211" spans="1:22" ht="15.75" customHeight="1" x14ac:dyDescent="0.2">
      <c r="A2211" s="40">
        <v>1841</v>
      </c>
      <c r="B2211" s="41" t="s">
        <v>439</v>
      </c>
      <c r="C2211" s="42" t="s">
        <v>2124</v>
      </c>
      <c r="D2211" s="42" t="s">
        <v>295</v>
      </c>
      <c r="E2211" s="42" t="s">
        <v>348</v>
      </c>
      <c r="F2211" s="42" t="s">
        <v>2123</v>
      </c>
      <c r="G2211" s="42" t="s">
        <v>2029</v>
      </c>
      <c r="H2211" s="43"/>
      <c r="I2211" s="43"/>
      <c r="J2211" s="43"/>
      <c r="K2211" s="43"/>
      <c r="L2211" s="43"/>
      <c r="M2211" s="43"/>
      <c r="N2211" s="43"/>
      <c r="O2211" s="43"/>
      <c r="P2211" s="43"/>
      <c r="Q2211" s="43"/>
      <c r="R2211" s="43"/>
      <c r="S2211" s="43"/>
      <c r="T2211" s="43"/>
      <c r="U2211" s="43"/>
      <c r="V2211" s="43"/>
    </row>
    <row r="2212" spans="1:22" ht="15.75" customHeight="1" x14ac:dyDescent="0.2">
      <c r="A2212" s="40"/>
      <c r="B2212" s="45" t="s">
        <v>315</v>
      </c>
      <c r="C2212" s="46" t="s">
        <v>1427</v>
      </c>
      <c r="D2212" s="46" t="s">
        <v>58</v>
      </c>
      <c r="E2212" s="46" t="s">
        <v>79</v>
      </c>
      <c r="F2212" s="46" t="s">
        <v>2123</v>
      </c>
      <c r="G2212" s="46" t="s">
        <v>2029</v>
      </c>
      <c r="H2212" s="43"/>
      <c r="I2212" s="43"/>
      <c r="J2212" s="43"/>
      <c r="K2212" s="43"/>
      <c r="L2212" s="43"/>
      <c r="M2212" s="43"/>
      <c r="N2212" s="43"/>
      <c r="O2212" s="43"/>
      <c r="P2212" s="43"/>
      <c r="Q2212" s="43"/>
      <c r="R2212" s="43"/>
      <c r="S2212" s="43"/>
      <c r="T2212" s="43"/>
      <c r="U2212" s="43"/>
      <c r="V2212" s="43"/>
    </row>
    <row r="2213" spans="1:22" ht="15.75" customHeight="1" x14ac:dyDescent="0.2">
      <c r="A2213" s="40"/>
      <c r="B2213" s="45" t="s">
        <v>323</v>
      </c>
      <c r="C2213" s="46" t="s">
        <v>1427</v>
      </c>
      <c r="D2213" s="46" t="s">
        <v>58</v>
      </c>
      <c r="E2213" s="46" t="s">
        <v>79</v>
      </c>
      <c r="F2213" s="46" t="s">
        <v>2123</v>
      </c>
      <c r="G2213" s="46" t="s">
        <v>2029</v>
      </c>
      <c r="H2213" s="43"/>
      <c r="I2213" s="43"/>
      <c r="J2213" s="43"/>
      <c r="K2213" s="43"/>
      <c r="L2213" s="43"/>
      <c r="M2213" s="43"/>
      <c r="N2213" s="43"/>
      <c r="O2213" s="43"/>
      <c r="P2213" s="43"/>
      <c r="Q2213" s="43"/>
      <c r="R2213" s="43"/>
      <c r="S2213" s="43"/>
      <c r="T2213" s="43"/>
      <c r="U2213" s="43"/>
      <c r="V2213" s="43"/>
    </row>
    <row r="2214" spans="1:22" ht="15.75" customHeight="1" x14ac:dyDescent="0.2">
      <c r="A2214" s="40"/>
      <c r="B2214" s="45" t="s">
        <v>94</v>
      </c>
      <c r="C2214" s="46" t="s">
        <v>1427</v>
      </c>
      <c r="D2214" s="46" t="s">
        <v>58</v>
      </c>
      <c r="E2214" s="46" t="s">
        <v>79</v>
      </c>
      <c r="F2214" s="46" t="s">
        <v>2123</v>
      </c>
      <c r="G2214" s="46" t="s">
        <v>2029</v>
      </c>
      <c r="H2214" s="43"/>
      <c r="I2214" s="43"/>
      <c r="J2214" s="43"/>
      <c r="K2214" s="43"/>
      <c r="L2214" s="43"/>
      <c r="M2214" s="43"/>
      <c r="N2214" s="43"/>
      <c r="O2214" s="43"/>
      <c r="P2214" s="43"/>
      <c r="Q2214" s="43"/>
      <c r="R2214" s="43"/>
      <c r="S2214" s="43"/>
      <c r="T2214" s="43"/>
      <c r="U2214" s="43"/>
      <c r="V2214" s="43"/>
    </row>
    <row r="2215" spans="1:22" ht="15.75" customHeight="1" x14ac:dyDescent="0.2">
      <c r="A2215" s="40"/>
      <c r="B2215" s="45" t="s">
        <v>315</v>
      </c>
      <c r="C2215" s="46" t="s">
        <v>2125</v>
      </c>
      <c r="D2215" s="46" t="s">
        <v>1937</v>
      </c>
      <c r="E2215" s="46" t="s">
        <v>319</v>
      </c>
      <c r="F2215" s="46" t="s">
        <v>2123</v>
      </c>
      <c r="G2215" s="46" t="s">
        <v>2029</v>
      </c>
      <c r="H2215" s="43"/>
      <c r="I2215" s="43"/>
      <c r="J2215" s="43"/>
      <c r="K2215" s="43"/>
      <c r="L2215" s="43"/>
      <c r="M2215" s="43"/>
      <c r="N2215" s="43"/>
      <c r="O2215" s="43"/>
      <c r="P2215" s="43"/>
      <c r="Q2215" s="43"/>
      <c r="R2215" s="43"/>
      <c r="S2215" s="43"/>
      <c r="T2215" s="43"/>
      <c r="U2215" s="43"/>
      <c r="V2215" s="43"/>
    </row>
    <row r="2216" spans="1:22" ht="15.75" customHeight="1" x14ac:dyDescent="0.2">
      <c r="A2216" s="40"/>
      <c r="B2216" s="45" t="s">
        <v>316</v>
      </c>
      <c r="C2216" s="46" t="s">
        <v>2125</v>
      </c>
      <c r="D2216" s="46" t="s">
        <v>1937</v>
      </c>
      <c r="E2216" s="46" t="s">
        <v>319</v>
      </c>
      <c r="F2216" s="46" t="s">
        <v>2123</v>
      </c>
      <c r="G2216" s="46" t="s">
        <v>2029</v>
      </c>
      <c r="H2216" s="43"/>
      <c r="I2216" s="43"/>
      <c r="J2216" s="43"/>
      <c r="K2216" s="43"/>
      <c r="L2216" s="43"/>
      <c r="M2216" s="43"/>
      <c r="N2216" s="43"/>
      <c r="O2216" s="43"/>
      <c r="P2216" s="43"/>
      <c r="Q2216" s="43"/>
      <c r="R2216" s="43"/>
      <c r="S2216" s="43"/>
      <c r="T2216" s="43"/>
      <c r="U2216" s="43"/>
      <c r="V2216" s="43"/>
    </row>
    <row r="2217" spans="1:22" ht="15.75" customHeight="1" x14ac:dyDescent="0.2">
      <c r="A2217" s="40"/>
      <c r="B2217" s="45" t="s">
        <v>94</v>
      </c>
      <c r="C2217" s="46" t="s">
        <v>2125</v>
      </c>
      <c r="D2217" s="46" t="s">
        <v>1937</v>
      </c>
      <c r="E2217" s="46" t="s">
        <v>319</v>
      </c>
      <c r="F2217" s="46" t="s">
        <v>2123</v>
      </c>
      <c r="G2217" s="46" t="s">
        <v>2029</v>
      </c>
      <c r="H2217" s="43"/>
      <c r="I2217" s="43"/>
      <c r="J2217" s="43"/>
      <c r="K2217" s="43"/>
      <c r="L2217" s="43"/>
      <c r="M2217" s="43"/>
      <c r="N2217" s="43"/>
      <c r="O2217" s="43"/>
      <c r="P2217" s="43"/>
      <c r="Q2217" s="43"/>
      <c r="R2217" s="43"/>
      <c r="S2217" s="43"/>
      <c r="T2217" s="43"/>
      <c r="U2217" s="43"/>
      <c r="V2217" s="43"/>
    </row>
    <row r="2218" spans="1:22" ht="15.75" customHeight="1" x14ac:dyDescent="0.2">
      <c r="A2218" s="40"/>
      <c r="B2218" s="45" t="s">
        <v>102</v>
      </c>
      <c r="C2218" s="46" t="s">
        <v>2126</v>
      </c>
      <c r="D2218" s="46" t="s">
        <v>295</v>
      </c>
      <c r="E2218" s="46" t="s">
        <v>18</v>
      </c>
      <c r="F2218" s="46" t="s">
        <v>2123</v>
      </c>
      <c r="G2218" s="46" t="s">
        <v>2029</v>
      </c>
      <c r="H2218" s="43"/>
      <c r="I2218" s="43"/>
      <c r="J2218" s="43"/>
      <c r="K2218" s="43"/>
      <c r="L2218" s="43"/>
      <c r="M2218" s="43"/>
      <c r="N2218" s="43"/>
      <c r="O2218" s="43"/>
      <c r="P2218" s="43"/>
      <c r="Q2218" s="43"/>
      <c r="R2218" s="43"/>
      <c r="S2218" s="43"/>
      <c r="T2218" s="43"/>
      <c r="U2218" s="43"/>
      <c r="V2218" s="43"/>
    </row>
    <row r="2219" spans="1:22" ht="15.75" customHeight="1" x14ac:dyDescent="0.2">
      <c r="A2219" s="40"/>
      <c r="B2219" s="45" t="s">
        <v>108</v>
      </c>
      <c r="C2219" s="46" t="s">
        <v>2126</v>
      </c>
      <c r="D2219" s="46" t="s">
        <v>295</v>
      </c>
      <c r="E2219" s="46" t="s">
        <v>18</v>
      </c>
      <c r="F2219" s="46" t="s">
        <v>2123</v>
      </c>
      <c r="G2219" s="46" t="s">
        <v>2029</v>
      </c>
      <c r="H2219" s="43"/>
      <c r="I2219" s="43"/>
      <c r="J2219" s="43"/>
      <c r="K2219" s="43"/>
      <c r="L2219" s="43"/>
      <c r="M2219" s="43"/>
      <c r="N2219" s="43"/>
      <c r="O2219" s="43"/>
      <c r="P2219" s="43"/>
      <c r="Q2219" s="43"/>
      <c r="R2219" s="43"/>
      <c r="S2219" s="43"/>
      <c r="T2219" s="43"/>
      <c r="U2219" s="43"/>
      <c r="V2219" s="43"/>
    </row>
    <row r="2220" spans="1:22" ht="15.75" customHeight="1" x14ac:dyDescent="0.2">
      <c r="A2220" s="40"/>
      <c r="B2220" s="45" t="s">
        <v>300</v>
      </c>
      <c r="C2220" s="46" t="s">
        <v>2127</v>
      </c>
      <c r="D2220" s="46" t="s">
        <v>58</v>
      </c>
      <c r="E2220" s="46" t="s">
        <v>32</v>
      </c>
      <c r="F2220" s="46" t="s">
        <v>2123</v>
      </c>
      <c r="G2220" s="46" t="s">
        <v>2029</v>
      </c>
      <c r="H2220" s="43"/>
      <c r="I2220" s="43"/>
      <c r="J2220" s="43"/>
      <c r="K2220" s="43"/>
      <c r="L2220" s="43"/>
      <c r="M2220" s="43"/>
      <c r="N2220" s="43"/>
      <c r="O2220" s="43"/>
      <c r="P2220" s="43"/>
      <c r="Q2220" s="43"/>
      <c r="R2220" s="43"/>
      <c r="S2220" s="43"/>
      <c r="T2220" s="43"/>
      <c r="U2220" s="43"/>
      <c r="V2220" s="43"/>
    </row>
    <row r="2221" spans="1:22" ht="15.75" customHeight="1" x14ac:dyDescent="0.2">
      <c r="A2221" s="40"/>
      <c r="B2221" s="45" t="s">
        <v>102</v>
      </c>
      <c r="C2221" s="46" t="s">
        <v>2127</v>
      </c>
      <c r="D2221" s="46" t="s">
        <v>58</v>
      </c>
      <c r="E2221" s="46" t="s">
        <v>32</v>
      </c>
      <c r="F2221" s="46" t="s">
        <v>2123</v>
      </c>
      <c r="G2221" s="46" t="s">
        <v>2029</v>
      </c>
      <c r="H2221" s="43"/>
      <c r="I2221" s="43"/>
      <c r="J2221" s="43"/>
      <c r="K2221" s="43"/>
      <c r="L2221" s="43"/>
      <c r="M2221" s="43"/>
      <c r="N2221" s="43"/>
      <c r="O2221" s="43"/>
      <c r="P2221" s="43"/>
      <c r="Q2221" s="43"/>
      <c r="R2221" s="43"/>
      <c r="S2221" s="43"/>
      <c r="T2221" s="43"/>
      <c r="U2221" s="43"/>
      <c r="V2221" s="43"/>
    </row>
    <row r="2222" spans="1:22" ht="15.75" customHeight="1" x14ac:dyDescent="0.2">
      <c r="A2222" s="40"/>
      <c r="B2222" s="45" t="s">
        <v>109</v>
      </c>
      <c r="C2222" s="46" t="s">
        <v>2128</v>
      </c>
      <c r="D2222" s="46" t="s">
        <v>86</v>
      </c>
      <c r="E2222" s="46" t="s">
        <v>40</v>
      </c>
      <c r="F2222" s="46" t="s">
        <v>2123</v>
      </c>
      <c r="G2222" s="46" t="s">
        <v>2029</v>
      </c>
      <c r="H2222" s="43"/>
      <c r="I2222" s="43"/>
      <c r="J2222" s="43"/>
      <c r="K2222" s="43"/>
      <c r="L2222" s="43"/>
      <c r="M2222" s="43"/>
      <c r="N2222" s="43"/>
      <c r="O2222" s="43"/>
      <c r="P2222" s="43"/>
      <c r="Q2222" s="43"/>
      <c r="R2222" s="43"/>
      <c r="S2222" s="43"/>
      <c r="T2222" s="43"/>
      <c r="U2222" s="43"/>
      <c r="V2222" s="43"/>
    </row>
    <row r="2223" spans="1:22" ht="15.75" customHeight="1" x14ac:dyDescent="0.2">
      <c r="A2223" s="40"/>
      <c r="B2223" s="45" t="s">
        <v>108</v>
      </c>
      <c r="C2223" s="46" t="s">
        <v>2128</v>
      </c>
      <c r="D2223" s="46" t="s">
        <v>86</v>
      </c>
      <c r="E2223" s="46" t="s">
        <v>40</v>
      </c>
      <c r="F2223" s="46" t="s">
        <v>2123</v>
      </c>
      <c r="G2223" s="46" t="s">
        <v>2029</v>
      </c>
      <c r="H2223" s="43"/>
      <c r="I2223" s="43"/>
      <c r="J2223" s="43"/>
      <c r="K2223" s="43"/>
      <c r="L2223" s="43"/>
      <c r="M2223" s="43"/>
      <c r="N2223" s="43"/>
      <c r="O2223" s="43"/>
      <c r="P2223" s="43"/>
      <c r="Q2223" s="43"/>
      <c r="R2223" s="43"/>
      <c r="S2223" s="43"/>
      <c r="T2223" s="43"/>
      <c r="U2223" s="43"/>
      <c r="V2223" s="43"/>
    </row>
    <row r="2224" spans="1:22" ht="15.75" customHeight="1" x14ac:dyDescent="0.2">
      <c r="A2224" s="40"/>
      <c r="B2224" s="45" t="s">
        <v>315</v>
      </c>
      <c r="C2224" s="46" t="s">
        <v>2129</v>
      </c>
      <c r="D2224" s="46" t="s">
        <v>491</v>
      </c>
      <c r="E2224" s="46" t="s">
        <v>630</v>
      </c>
      <c r="F2224" s="46" t="s">
        <v>2123</v>
      </c>
      <c r="G2224" s="46" t="s">
        <v>2029</v>
      </c>
      <c r="H2224" s="43"/>
      <c r="I2224" s="43"/>
      <c r="J2224" s="43"/>
      <c r="K2224" s="43"/>
      <c r="L2224" s="43"/>
      <c r="M2224" s="43"/>
      <c r="N2224" s="43"/>
      <c r="O2224" s="43"/>
      <c r="P2224" s="43"/>
      <c r="Q2224" s="43"/>
      <c r="R2224" s="43"/>
      <c r="S2224" s="43"/>
      <c r="T2224" s="43"/>
      <c r="U2224" s="43"/>
      <c r="V2224" s="43"/>
    </row>
    <row r="2225" spans="1:22" ht="15.75" customHeight="1" x14ac:dyDescent="0.2">
      <c r="A2225" s="40"/>
      <c r="B2225" s="45" t="s">
        <v>323</v>
      </c>
      <c r="C2225" s="46" t="s">
        <v>2129</v>
      </c>
      <c r="D2225" s="46" t="s">
        <v>491</v>
      </c>
      <c r="E2225" s="46" t="s">
        <v>630</v>
      </c>
      <c r="F2225" s="46" t="s">
        <v>2123</v>
      </c>
      <c r="G2225" s="46" t="s">
        <v>2029</v>
      </c>
      <c r="H2225" s="43"/>
      <c r="I2225" s="43"/>
      <c r="J2225" s="43"/>
      <c r="K2225" s="43"/>
      <c r="L2225" s="43"/>
      <c r="M2225" s="43"/>
      <c r="N2225" s="43"/>
      <c r="O2225" s="43"/>
      <c r="P2225" s="43"/>
      <c r="Q2225" s="43"/>
      <c r="R2225" s="43"/>
      <c r="S2225" s="43"/>
      <c r="T2225" s="43"/>
      <c r="U2225" s="43"/>
      <c r="V2225" s="43"/>
    </row>
    <row r="2226" spans="1:22" ht="15.75" customHeight="1" x14ac:dyDescent="0.2">
      <c r="A2226" s="40"/>
      <c r="B2226" s="45" t="s">
        <v>108</v>
      </c>
      <c r="C2226" s="46" t="s">
        <v>2129</v>
      </c>
      <c r="D2226" s="46" t="s">
        <v>491</v>
      </c>
      <c r="E2226" s="46" t="s">
        <v>630</v>
      </c>
      <c r="F2226" s="46" t="s">
        <v>2123</v>
      </c>
      <c r="G2226" s="46" t="s">
        <v>2029</v>
      </c>
      <c r="H2226" s="43"/>
      <c r="I2226" s="43"/>
      <c r="J2226" s="43"/>
      <c r="K2226" s="43"/>
      <c r="L2226" s="43"/>
      <c r="M2226" s="43"/>
      <c r="N2226" s="43"/>
      <c r="O2226" s="43"/>
      <c r="P2226" s="43"/>
      <c r="Q2226" s="43"/>
      <c r="R2226" s="43"/>
      <c r="S2226" s="43"/>
      <c r="T2226" s="43"/>
      <c r="U2226" s="43"/>
      <c r="V2226" s="43"/>
    </row>
    <row r="2227" spans="1:22" ht="15.75" customHeight="1" x14ac:dyDescent="0.2">
      <c r="A2227" s="40"/>
      <c r="B2227" s="45" t="s">
        <v>300</v>
      </c>
      <c r="C2227" s="46" t="s">
        <v>2130</v>
      </c>
      <c r="D2227" s="46" t="s">
        <v>58</v>
      </c>
      <c r="E2227" s="46" t="s">
        <v>32</v>
      </c>
      <c r="F2227" s="46" t="s">
        <v>2123</v>
      </c>
      <c r="G2227" s="46" t="s">
        <v>2029</v>
      </c>
      <c r="H2227" s="43"/>
      <c r="I2227" s="43"/>
      <c r="J2227" s="43"/>
      <c r="K2227" s="43"/>
      <c r="L2227" s="43"/>
      <c r="M2227" s="43"/>
      <c r="N2227" s="43"/>
      <c r="O2227" s="43"/>
      <c r="P2227" s="43"/>
      <c r="Q2227" s="43"/>
      <c r="R2227" s="43"/>
      <c r="S2227" s="43"/>
      <c r="T2227" s="43"/>
      <c r="U2227" s="43"/>
      <c r="V2227" s="43"/>
    </row>
    <row r="2228" spans="1:22" ht="15.75" customHeight="1" x14ac:dyDescent="0.2">
      <c r="A2228" s="40"/>
      <c r="B2228" s="45" t="s">
        <v>102</v>
      </c>
      <c r="C2228" s="46" t="s">
        <v>2130</v>
      </c>
      <c r="D2228" s="46" t="s">
        <v>58</v>
      </c>
      <c r="E2228" s="46" t="s">
        <v>32</v>
      </c>
      <c r="F2228" s="46" t="s">
        <v>2123</v>
      </c>
      <c r="G2228" s="46" t="s">
        <v>2029</v>
      </c>
      <c r="H2228" s="43"/>
      <c r="I2228" s="43"/>
      <c r="J2228" s="43"/>
      <c r="K2228" s="43"/>
      <c r="L2228" s="43"/>
      <c r="M2228" s="43"/>
      <c r="N2228" s="43"/>
      <c r="O2228" s="43"/>
      <c r="P2228" s="43"/>
      <c r="Q2228" s="43"/>
      <c r="R2228" s="43"/>
      <c r="S2228" s="43"/>
      <c r="T2228" s="43"/>
      <c r="U2228" s="43"/>
      <c r="V2228" s="43"/>
    </row>
    <row r="2229" spans="1:22" ht="15.75" customHeight="1" x14ac:dyDescent="0.2">
      <c r="A2229" s="40"/>
      <c r="B2229" s="45" t="s">
        <v>122</v>
      </c>
      <c r="C2229" s="46" t="s">
        <v>2131</v>
      </c>
      <c r="D2229" s="46" t="s">
        <v>989</v>
      </c>
      <c r="E2229" s="46" t="s">
        <v>2132</v>
      </c>
      <c r="F2229" s="46" t="s">
        <v>2123</v>
      </c>
      <c r="G2229" s="46" t="s">
        <v>2029</v>
      </c>
      <c r="H2229" s="43"/>
      <c r="I2229" s="43"/>
      <c r="J2229" s="43"/>
      <c r="K2229" s="43"/>
      <c r="L2229" s="43"/>
      <c r="M2229" s="43"/>
      <c r="N2229" s="43"/>
      <c r="O2229" s="43"/>
      <c r="P2229" s="43"/>
      <c r="Q2229" s="43"/>
      <c r="R2229" s="43"/>
      <c r="S2229" s="43"/>
      <c r="T2229" s="43"/>
      <c r="U2229" s="43"/>
      <c r="V2229" s="43"/>
    </row>
    <row r="2230" spans="1:22" ht="15.75" customHeight="1" x14ac:dyDescent="0.2">
      <c r="A2230" s="40"/>
      <c r="B2230" s="45" t="s">
        <v>126</v>
      </c>
      <c r="C2230" s="46" t="s">
        <v>2131</v>
      </c>
      <c r="D2230" s="46" t="s">
        <v>989</v>
      </c>
      <c r="E2230" s="46" t="s">
        <v>2132</v>
      </c>
      <c r="F2230" s="46" t="s">
        <v>2123</v>
      </c>
      <c r="G2230" s="46" t="s">
        <v>2029</v>
      </c>
      <c r="H2230" s="43"/>
      <c r="I2230" s="43"/>
      <c r="J2230" s="43"/>
      <c r="K2230" s="43"/>
      <c r="L2230" s="43"/>
      <c r="M2230" s="43"/>
      <c r="N2230" s="43"/>
      <c r="O2230" s="43"/>
      <c r="P2230" s="43"/>
      <c r="Q2230" s="43"/>
      <c r="R2230" s="43"/>
      <c r="S2230" s="43"/>
      <c r="T2230" s="43"/>
      <c r="U2230" s="43"/>
      <c r="V2230" s="43"/>
    </row>
    <row r="2231" spans="1:22" ht="15.75" customHeight="1" x14ac:dyDescent="0.2">
      <c r="A2231" s="40"/>
      <c r="B2231" s="45" t="s">
        <v>315</v>
      </c>
      <c r="C2231" s="46" t="s">
        <v>2133</v>
      </c>
      <c r="D2231" s="46" t="s">
        <v>78</v>
      </c>
      <c r="E2231" s="46" t="s">
        <v>87</v>
      </c>
      <c r="F2231" s="46" t="s">
        <v>2123</v>
      </c>
      <c r="G2231" s="46" t="s">
        <v>2029</v>
      </c>
      <c r="H2231" s="43"/>
      <c r="I2231" s="43"/>
      <c r="J2231" s="43"/>
      <c r="K2231" s="43"/>
      <c r="L2231" s="43"/>
      <c r="M2231" s="43"/>
      <c r="N2231" s="43"/>
      <c r="O2231" s="43"/>
      <c r="P2231" s="43"/>
      <c r="Q2231" s="43"/>
      <c r="R2231" s="43"/>
      <c r="S2231" s="43"/>
      <c r="T2231" s="43"/>
      <c r="U2231" s="43"/>
      <c r="V2231" s="43"/>
    </row>
    <row r="2232" spans="1:22" ht="15.75" customHeight="1" x14ac:dyDescent="0.2">
      <c r="A2232" s="40"/>
      <c r="B2232" s="45" t="s">
        <v>108</v>
      </c>
      <c r="C2232" s="46" t="s">
        <v>2133</v>
      </c>
      <c r="D2232" s="46" t="s">
        <v>78</v>
      </c>
      <c r="E2232" s="46" t="s">
        <v>87</v>
      </c>
      <c r="F2232" s="46" t="s">
        <v>2123</v>
      </c>
      <c r="G2232" s="46" t="s">
        <v>2029</v>
      </c>
      <c r="H2232" s="43"/>
      <c r="I2232" s="43"/>
      <c r="J2232" s="43"/>
      <c r="K2232" s="43"/>
      <c r="L2232" s="43"/>
      <c r="M2232" s="43"/>
      <c r="N2232" s="43"/>
      <c r="O2232" s="43"/>
      <c r="P2232" s="43"/>
      <c r="Q2232" s="43"/>
      <c r="R2232" s="43"/>
      <c r="S2232" s="43"/>
      <c r="T2232" s="43"/>
      <c r="U2232" s="43"/>
      <c r="V2232" s="43"/>
    </row>
    <row r="2233" spans="1:22" ht="15.75" customHeight="1" x14ac:dyDescent="0.2">
      <c r="A2233" s="40">
        <v>1413</v>
      </c>
      <c r="B2233" s="41" t="s">
        <v>386</v>
      </c>
      <c r="C2233" s="42" t="s">
        <v>2134</v>
      </c>
      <c r="D2233" s="42" t="s">
        <v>183</v>
      </c>
      <c r="E2233" s="42" t="s">
        <v>2135</v>
      </c>
      <c r="F2233" s="42" t="s">
        <v>2123</v>
      </c>
      <c r="G2233" s="42" t="s">
        <v>2029</v>
      </c>
      <c r="H2233" s="43"/>
      <c r="I2233" s="43"/>
      <c r="J2233" s="43"/>
      <c r="K2233" s="43"/>
      <c r="L2233" s="43"/>
      <c r="M2233" s="43"/>
      <c r="N2233" s="43"/>
      <c r="O2233" s="43"/>
      <c r="P2233" s="43"/>
      <c r="Q2233" s="43"/>
      <c r="R2233" s="43"/>
      <c r="S2233" s="43"/>
      <c r="T2233" s="43"/>
      <c r="U2233" s="43"/>
      <c r="V2233" s="43"/>
    </row>
    <row r="2234" spans="1:22" ht="15.75" customHeight="1" x14ac:dyDescent="0.2">
      <c r="A2234" s="40">
        <v>2153</v>
      </c>
      <c r="B2234" s="41" t="s">
        <v>281</v>
      </c>
      <c r="C2234" s="42" t="s">
        <v>2134</v>
      </c>
      <c r="D2234" s="42" t="s">
        <v>183</v>
      </c>
      <c r="E2234" s="42" t="s">
        <v>2135</v>
      </c>
      <c r="F2234" s="42" t="s">
        <v>2123</v>
      </c>
      <c r="G2234" s="42" t="s">
        <v>2029</v>
      </c>
      <c r="H2234" s="43"/>
      <c r="I2234" s="43"/>
      <c r="J2234" s="43"/>
      <c r="K2234" s="43"/>
      <c r="L2234" s="43"/>
      <c r="M2234" s="43"/>
      <c r="N2234" s="43"/>
      <c r="O2234" s="43"/>
      <c r="P2234" s="43"/>
      <c r="Q2234" s="43"/>
      <c r="R2234" s="43"/>
      <c r="S2234" s="43"/>
      <c r="T2234" s="43"/>
      <c r="U2234" s="43"/>
      <c r="V2234" s="43"/>
    </row>
    <row r="2235" spans="1:22" ht="15.75" customHeight="1" x14ac:dyDescent="0.2">
      <c r="A2235" s="40"/>
      <c r="B2235" s="45" t="s">
        <v>114</v>
      </c>
      <c r="C2235" s="46" t="s">
        <v>2136</v>
      </c>
      <c r="D2235" s="46" t="s">
        <v>441</v>
      </c>
      <c r="E2235" s="46" t="s">
        <v>129</v>
      </c>
      <c r="F2235" s="46" t="s">
        <v>2123</v>
      </c>
      <c r="G2235" s="46" t="s">
        <v>2029</v>
      </c>
      <c r="H2235" s="43"/>
      <c r="I2235" s="43"/>
      <c r="J2235" s="43"/>
      <c r="K2235" s="43"/>
      <c r="L2235" s="43"/>
      <c r="M2235" s="43"/>
      <c r="N2235" s="43"/>
      <c r="O2235" s="43"/>
      <c r="P2235" s="43"/>
      <c r="Q2235" s="43"/>
      <c r="R2235" s="43"/>
      <c r="S2235" s="43"/>
      <c r="T2235" s="43"/>
      <c r="U2235" s="43"/>
      <c r="V2235" s="43"/>
    </row>
    <row r="2236" spans="1:22" ht="15.75" customHeight="1" x14ac:dyDescent="0.2">
      <c r="A2236" s="40"/>
      <c r="B2236" s="45" t="s">
        <v>108</v>
      </c>
      <c r="C2236" s="46" t="s">
        <v>2136</v>
      </c>
      <c r="D2236" s="46" t="s">
        <v>441</v>
      </c>
      <c r="E2236" s="46" t="s">
        <v>129</v>
      </c>
      <c r="F2236" s="46" t="s">
        <v>2123</v>
      </c>
      <c r="G2236" s="46" t="s">
        <v>2029</v>
      </c>
      <c r="H2236" s="43"/>
      <c r="I2236" s="43"/>
      <c r="J2236" s="43"/>
      <c r="K2236" s="43"/>
      <c r="L2236" s="43"/>
      <c r="M2236" s="43"/>
      <c r="N2236" s="43"/>
      <c r="O2236" s="43"/>
      <c r="P2236" s="43"/>
      <c r="Q2236" s="43"/>
      <c r="R2236" s="43"/>
      <c r="S2236" s="43"/>
      <c r="T2236" s="43"/>
      <c r="U2236" s="43"/>
      <c r="V2236" s="43"/>
    </row>
    <row r="2237" spans="1:22" ht="15.75" customHeight="1" x14ac:dyDescent="0.2">
      <c r="A2237" s="40">
        <v>1593</v>
      </c>
      <c r="B2237" s="41" t="s">
        <v>264</v>
      </c>
      <c r="C2237" s="42" t="s">
        <v>2137</v>
      </c>
      <c r="D2237" s="42" t="s">
        <v>1685</v>
      </c>
      <c r="E2237" s="42" t="s">
        <v>326</v>
      </c>
      <c r="F2237" s="42" t="s">
        <v>2123</v>
      </c>
      <c r="G2237" s="42" t="s">
        <v>2029</v>
      </c>
      <c r="H2237" s="43"/>
      <c r="I2237" s="43"/>
      <c r="J2237" s="43"/>
      <c r="K2237" s="43"/>
      <c r="L2237" s="43"/>
      <c r="M2237" s="43"/>
      <c r="N2237" s="43"/>
      <c r="O2237" s="43"/>
      <c r="P2237" s="43"/>
      <c r="Q2237" s="43"/>
      <c r="R2237" s="43"/>
      <c r="S2237" s="43"/>
      <c r="T2237" s="43"/>
      <c r="U2237" s="43"/>
      <c r="V2237" s="43"/>
    </row>
    <row r="2238" spans="1:22" ht="15.75" customHeight="1" x14ac:dyDescent="0.2">
      <c r="A2238" s="40"/>
      <c r="B2238" s="45" t="s">
        <v>102</v>
      </c>
      <c r="C2238" s="46" t="s">
        <v>2138</v>
      </c>
      <c r="D2238" s="46" t="s">
        <v>104</v>
      </c>
      <c r="E2238" s="46" t="s">
        <v>596</v>
      </c>
      <c r="F2238" s="46" t="s">
        <v>2123</v>
      </c>
      <c r="G2238" s="46" t="s">
        <v>2029</v>
      </c>
      <c r="H2238" s="43"/>
      <c r="I2238" s="43"/>
      <c r="J2238" s="43"/>
      <c r="K2238" s="43"/>
      <c r="L2238" s="43"/>
      <c r="M2238" s="43"/>
      <c r="N2238" s="43"/>
      <c r="O2238" s="43"/>
      <c r="P2238" s="43"/>
      <c r="Q2238" s="43"/>
      <c r="R2238" s="43"/>
      <c r="S2238" s="43"/>
      <c r="T2238" s="43"/>
      <c r="U2238" s="43"/>
      <c r="V2238" s="43"/>
    </row>
    <row r="2239" spans="1:22" ht="15.75" customHeight="1" x14ac:dyDescent="0.2">
      <c r="A2239" s="40"/>
      <c r="B2239" s="45" t="s">
        <v>102</v>
      </c>
      <c r="C2239" s="46" t="s">
        <v>2139</v>
      </c>
      <c r="D2239" s="46" t="s">
        <v>600</v>
      </c>
      <c r="E2239" s="46" t="s">
        <v>319</v>
      </c>
      <c r="F2239" s="46" t="s">
        <v>2123</v>
      </c>
      <c r="G2239" s="46" t="s">
        <v>2029</v>
      </c>
      <c r="H2239" s="43"/>
      <c r="I2239" s="43"/>
      <c r="J2239" s="43"/>
      <c r="K2239" s="43"/>
      <c r="L2239" s="43"/>
      <c r="M2239" s="43"/>
      <c r="N2239" s="43"/>
      <c r="O2239" s="43"/>
      <c r="P2239" s="43"/>
      <c r="Q2239" s="43"/>
      <c r="R2239" s="43"/>
      <c r="S2239" s="43"/>
      <c r="T2239" s="43"/>
      <c r="U2239" s="43"/>
      <c r="V2239" s="43"/>
    </row>
    <row r="2240" spans="1:22" ht="15.75" customHeight="1" x14ac:dyDescent="0.2">
      <c r="A2240" s="40"/>
      <c r="B2240" s="45" t="s">
        <v>108</v>
      </c>
      <c r="C2240" s="46" t="s">
        <v>2139</v>
      </c>
      <c r="D2240" s="46" t="s">
        <v>600</v>
      </c>
      <c r="E2240" s="46" t="s">
        <v>319</v>
      </c>
      <c r="F2240" s="46" t="s">
        <v>2123</v>
      </c>
      <c r="G2240" s="46" t="s">
        <v>2029</v>
      </c>
      <c r="H2240" s="43"/>
      <c r="I2240" s="43"/>
      <c r="J2240" s="43"/>
      <c r="K2240" s="43"/>
      <c r="L2240" s="43"/>
      <c r="M2240" s="43"/>
      <c r="N2240" s="43"/>
      <c r="O2240" s="43"/>
      <c r="P2240" s="43"/>
      <c r="Q2240" s="43"/>
      <c r="R2240" s="43"/>
      <c r="S2240" s="43"/>
      <c r="T2240" s="43"/>
      <c r="U2240" s="43"/>
      <c r="V2240" s="43"/>
    </row>
    <row r="2241" spans="1:22" ht="15.75" customHeight="1" x14ac:dyDescent="0.2">
      <c r="A2241" s="40">
        <v>1393</v>
      </c>
      <c r="B2241" s="41" t="s">
        <v>386</v>
      </c>
      <c r="C2241" s="42" t="s">
        <v>2140</v>
      </c>
      <c r="D2241" s="42" t="s">
        <v>86</v>
      </c>
      <c r="E2241" s="42" t="s">
        <v>40</v>
      </c>
      <c r="F2241" s="42" t="s">
        <v>2141</v>
      </c>
      <c r="G2241" s="42" t="s">
        <v>2029</v>
      </c>
      <c r="H2241" s="43"/>
      <c r="I2241" s="43"/>
      <c r="J2241" s="43"/>
      <c r="K2241" s="43"/>
      <c r="L2241" s="43"/>
      <c r="M2241" s="43"/>
      <c r="N2241" s="43"/>
      <c r="O2241" s="43"/>
      <c r="P2241" s="43"/>
      <c r="Q2241" s="43"/>
      <c r="R2241" s="43"/>
      <c r="S2241" s="43"/>
      <c r="T2241" s="43"/>
      <c r="U2241" s="43"/>
      <c r="V2241" s="43"/>
    </row>
    <row r="2242" spans="1:22" ht="15.75" customHeight="1" x14ac:dyDescent="0.2">
      <c r="A2242" s="40">
        <v>1867</v>
      </c>
      <c r="B2242" s="41" t="s">
        <v>711</v>
      </c>
      <c r="C2242" s="42" t="s">
        <v>2140</v>
      </c>
      <c r="D2242" s="42" t="s">
        <v>86</v>
      </c>
      <c r="E2242" s="42" t="s">
        <v>40</v>
      </c>
      <c r="F2242" s="42" t="s">
        <v>2141</v>
      </c>
      <c r="G2242" s="42" t="s">
        <v>2029</v>
      </c>
      <c r="H2242" s="43"/>
      <c r="I2242" s="43"/>
      <c r="J2242" s="43"/>
      <c r="K2242" s="43"/>
      <c r="L2242" s="43"/>
      <c r="M2242" s="43"/>
      <c r="N2242" s="43"/>
      <c r="O2242" s="43"/>
      <c r="P2242" s="43"/>
      <c r="Q2242" s="43"/>
      <c r="R2242" s="43"/>
      <c r="S2242" s="43"/>
      <c r="T2242" s="43"/>
      <c r="U2242" s="43"/>
      <c r="V2242" s="43"/>
    </row>
    <row r="2243" spans="1:22" ht="15.75" customHeight="1" x14ac:dyDescent="0.2">
      <c r="A2243" s="40">
        <v>1397</v>
      </c>
      <c r="B2243" s="41" t="s">
        <v>386</v>
      </c>
      <c r="C2243" s="42" t="s">
        <v>1047</v>
      </c>
      <c r="D2243" s="42" t="s">
        <v>64</v>
      </c>
      <c r="E2243" s="42" t="s">
        <v>2142</v>
      </c>
      <c r="F2243" s="42" t="s">
        <v>2141</v>
      </c>
      <c r="G2243" s="42" t="s">
        <v>2029</v>
      </c>
      <c r="H2243" s="43"/>
      <c r="I2243" s="43"/>
      <c r="J2243" s="43"/>
      <c r="K2243" s="43"/>
      <c r="L2243" s="43"/>
      <c r="M2243" s="43"/>
      <c r="N2243" s="43"/>
      <c r="O2243" s="43"/>
      <c r="P2243" s="43"/>
      <c r="Q2243" s="43"/>
      <c r="R2243" s="43"/>
      <c r="S2243" s="43"/>
      <c r="T2243" s="43"/>
      <c r="U2243" s="43"/>
      <c r="V2243" s="43"/>
    </row>
    <row r="2244" spans="1:22" ht="15.75" customHeight="1" x14ac:dyDescent="0.2">
      <c r="A2244" s="40">
        <v>1869</v>
      </c>
      <c r="B2244" s="41" t="s">
        <v>711</v>
      </c>
      <c r="C2244" s="42" t="s">
        <v>1047</v>
      </c>
      <c r="D2244" s="42" t="s">
        <v>64</v>
      </c>
      <c r="E2244" s="42" t="s">
        <v>2142</v>
      </c>
      <c r="F2244" s="42" t="s">
        <v>2141</v>
      </c>
      <c r="G2244" s="42" t="s">
        <v>2029</v>
      </c>
      <c r="H2244" s="43"/>
      <c r="I2244" s="43"/>
      <c r="J2244" s="43"/>
      <c r="K2244" s="43"/>
      <c r="L2244" s="43"/>
      <c r="M2244" s="43"/>
      <c r="N2244" s="43"/>
      <c r="O2244" s="43"/>
      <c r="P2244" s="43"/>
      <c r="Q2244" s="43"/>
      <c r="R2244" s="43"/>
      <c r="S2244" s="43"/>
      <c r="T2244" s="43"/>
      <c r="U2244" s="43"/>
      <c r="V2244" s="43"/>
    </row>
    <row r="2245" spans="1:22" ht="15.75" customHeight="1" x14ac:dyDescent="0.2">
      <c r="A2245" s="40">
        <v>1271</v>
      </c>
      <c r="B2245" s="41" t="s">
        <v>453</v>
      </c>
      <c r="C2245" s="42" t="s">
        <v>2143</v>
      </c>
      <c r="D2245" s="42" t="s">
        <v>901</v>
      </c>
      <c r="E2245" s="42" t="s">
        <v>1811</v>
      </c>
      <c r="F2245" s="42" t="s">
        <v>2141</v>
      </c>
      <c r="G2245" s="42" t="s">
        <v>2029</v>
      </c>
      <c r="H2245" s="43"/>
      <c r="I2245" s="43"/>
      <c r="J2245" s="43"/>
      <c r="K2245" s="43"/>
      <c r="L2245" s="43"/>
      <c r="M2245" s="43"/>
      <c r="N2245" s="43"/>
      <c r="O2245" s="43"/>
      <c r="P2245" s="43"/>
      <c r="Q2245" s="43"/>
      <c r="R2245" s="43"/>
      <c r="S2245" s="43"/>
      <c r="T2245" s="43"/>
      <c r="U2245" s="43"/>
      <c r="V2245" s="43"/>
    </row>
    <row r="2246" spans="1:22" ht="15.75" customHeight="1" x14ac:dyDescent="0.2">
      <c r="A2246" s="40">
        <v>2923</v>
      </c>
      <c r="B2246" s="41" t="s">
        <v>722</v>
      </c>
      <c r="C2246" s="42" t="s">
        <v>2143</v>
      </c>
      <c r="D2246" s="42" t="s">
        <v>901</v>
      </c>
      <c r="E2246" s="42" t="s">
        <v>1811</v>
      </c>
      <c r="F2246" s="42" t="s">
        <v>2141</v>
      </c>
      <c r="G2246" s="42" t="s">
        <v>2029</v>
      </c>
      <c r="H2246" s="43"/>
      <c r="I2246" s="43"/>
      <c r="J2246" s="43"/>
      <c r="K2246" s="43"/>
      <c r="L2246" s="43"/>
      <c r="M2246" s="43"/>
      <c r="N2246" s="43"/>
      <c r="O2246" s="43"/>
      <c r="P2246" s="43"/>
      <c r="Q2246" s="43"/>
      <c r="R2246" s="43"/>
      <c r="S2246" s="43"/>
      <c r="T2246" s="43"/>
      <c r="U2246" s="43"/>
      <c r="V2246" s="43"/>
    </row>
    <row r="2247" spans="1:22" ht="15.75" customHeight="1" x14ac:dyDescent="0.2">
      <c r="A2247" s="40">
        <v>123</v>
      </c>
      <c r="B2247" s="41" t="s">
        <v>504</v>
      </c>
      <c r="C2247" s="42" t="s">
        <v>2144</v>
      </c>
      <c r="D2247" s="42" t="s">
        <v>236</v>
      </c>
      <c r="E2247" s="42" t="s">
        <v>40</v>
      </c>
      <c r="F2247" s="42" t="s">
        <v>2141</v>
      </c>
      <c r="G2247" s="42" t="s">
        <v>2029</v>
      </c>
      <c r="H2247" s="43"/>
      <c r="I2247" s="43"/>
      <c r="J2247" s="43"/>
      <c r="K2247" s="43"/>
      <c r="L2247" s="43"/>
      <c r="M2247" s="43"/>
      <c r="N2247" s="43"/>
      <c r="O2247" s="43"/>
      <c r="P2247" s="43"/>
      <c r="Q2247" s="43"/>
      <c r="R2247" s="43"/>
      <c r="S2247" s="43"/>
      <c r="T2247" s="43"/>
      <c r="U2247" s="43"/>
      <c r="V2247" s="43"/>
    </row>
    <row r="2248" spans="1:22" ht="15.75" customHeight="1" x14ac:dyDescent="0.2">
      <c r="A2248" s="40">
        <v>1013</v>
      </c>
      <c r="B2248" s="41" t="s">
        <v>1076</v>
      </c>
      <c r="C2248" s="42" t="s">
        <v>2144</v>
      </c>
      <c r="D2248" s="42" t="s">
        <v>236</v>
      </c>
      <c r="E2248" s="42" t="s">
        <v>40</v>
      </c>
      <c r="F2248" s="42" t="s">
        <v>2141</v>
      </c>
      <c r="G2248" s="42" t="s">
        <v>2029</v>
      </c>
      <c r="H2248" s="43"/>
      <c r="I2248" s="43"/>
      <c r="J2248" s="43"/>
      <c r="K2248" s="43"/>
      <c r="L2248" s="43"/>
      <c r="M2248" s="43"/>
      <c r="N2248" s="43"/>
      <c r="O2248" s="43"/>
      <c r="P2248" s="43"/>
      <c r="Q2248" s="43"/>
      <c r="R2248" s="43"/>
      <c r="S2248" s="43"/>
      <c r="T2248" s="43"/>
      <c r="U2248" s="43"/>
      <c r="V2248" s="43"/>
    </row>
    <row r="2249" spans="1:22" ht="15.75" customHeight="1" x14ac:dyDescent="0.2">
      <c r="A2249" s="40"/>
      <c r="B2249" s="45" t="s">
        <v>315</v>
      </c>
      <c r="C2249" s="46" t="s">
        <v>2145</v>
      </c>
      <c r="D2249" s="46" t="s">
        <v>318</v>
      </c>
      <c r="E2249" s="46" t="s">
        <v>2146</v>
      </c>
      <c r="F2249" s="46" t="s">
        <v>2141</v>
      </c>
      <c r="G2249" s="46" t="s">
        <v>2029</v>
      </c>
      <c r="H2249" s="43"/>
      <c r="I2249" s="43"/>
      <c r="J2249" s="43"/>
      <c r="K2249" s="43"/>
      <c r="L2249" s="43"/>
      <c r="M2249" s="43"/>
      <c r="N2249" s="43"/>
      <c r="O2249" s="43"/>
      <c r="P2249" s="43"/>
      <c r="Q2249" s="43"/>
      <c r="R2249" s="43"/>
      <c r="S2249" s="43"/>
      <c r="T2249" s="43"/>
      <c r="U2249" s="43"/>
      <c r="V2249" s="43"/>
    </row>
    <row r="2250" spans="1:22" ht="15.75" customHeight="1" x14ac:dyDescent="0.2">
      <c r="A2250" s="40"/>
      <c r="B2250" s="45" t="s">
        <v>108</v>
      </c>
      <c r="C2250" s="46" t="s">
        <v>2145</v>
      </c>
      <c r="D2250" s="46" t="s">
        <v>318</v>
      </c>
      <c r="E2250" s="46" t="s">
        <v>2146</v>
      </c>
      <c r="F2250" s="46" t="s">
        <v>2141</v>
      </c>
      <c r="G2250" s="46" t="s">
        <v>2029</v>
      </c>
      <c r="H2250" s="43"/>
      <c r="I2250" s="43"/>
      <c r="J2250" s="43"/>
      <c r="K2250" s="43"/>
      <c r="L2250" s="43"/>
      <c r="M2250" s="43"/>
      <c r="N2250" s="43"/>
      <c r="O2250" s="43"/>
      <c r="P2250" s="43"/>
      <c r="Q2250" s="43"/>
      <c r="R2250" s="43"/>
      <c r="S2250" s="43"/>
      <c r="T2250" s="43"/>
      <c r="U2250" s="43"/>
      <c r="V2250" s="43"/>
    </row>
    <row r="2251" spans="1:22" ht="15.75" customHeight="1" x14ac:dyDescent="0.2">
      <c r="A2251" s="40"/>
      <c r="B2251" s="45" t="s">
        <v>126</v>
      </c>
      <c r="C2251" s="46" t="s">
        <v>2140</v>
      </c>
      <c r="D2251" s="46" t="s">
        <v>333</v>
      </c>
      <c r="E2251" s="46" t="s">
        <v>40</v>
      </c>
      <c r="F2251" s="46" t="s">
        <v>2141</v>
      </c>
      <c r="G2251" s="46" t="s">
        <v>2029</v>
      </c>
      <c r="H2251" s="43"/>
      <c r="I2251" s="43"/>
      <c r="J2251" s="43"/>
      <c r="K2251" s="43"/>
      <c r="L2251" s="43"/>
      <c r="M2251" s="43"/>
      <c r="N2251" s="43"/>
      <c r="O2251" s="43"/>
      <c r="P2251" s="43"/>
      <c r="Q2251" s="43"/>
      <c r="R2251" s="43"/>
      <c r="S2251" s="43"/>
      <c r="T2251" s="43"/>
      <c r="U2251" s="43"/>
      <c r="V2251" s="43"/>
    </row>
    <row r="2252" spans="1:22" ht="15.75" customHeight="1" x14ac:dyDescent="0.2">
      <c r="A2252" s="40"/>
      <c r="B2252" s="45" t="s">
        <v>131</v>
      </c>
      <c r="C2252" s="46" t="s">
        <v>2140</v>
      </c>
      <c r="D2252" s="46" t="s">
        <v>333</v>
      </c>
      <c r="E2252" s="46" t="s">
        <v>40</v>
      </c>
      <c r="F2252" s="46" t="s">
        <v>2141</v>
      </c>
      <c r="G2252" s="46" t="s">
        <v>2029</v>
      </c>
      <c r="H2252" s="43"/>
      <c r="I2252" s="43"/>
      <c r="J2252" s="43"/>
      <c r="K2252" s="43"/>
      <c r="L2252" s="43"/>
      <c r="M2252" s="43"/>
      <c r="N2252" s="43"/>
      <c r="O2252" s="43"/>
      <c r="P2252" s="43"/>
      <c r="Q2252" s="43"/>
      <c r="R2252" s="43"/>
      <c r="S2252" s="43"/>
      <c r="T2252" s="43"/>
      <c r="U2252" s="43"/>
      <c r="V2252" s="43"/>
    </row>
    <row r="2253" spans="1:22" ht="15.75" customHeight="1" x14ac:dyDescent="0.2">
      <c r="A2253" s="40"/>
      <c r="B2253" s="45" t="s">
        <v>109</v>
      </c>
      <c r="C2253" s="46" t="s">
        <v>2147</v>
      </c>
      <c r="D2253" s="46" t="s">
        <v>554</v>
      </c>
      <c r="E2253" s="46" t="s">
        <v>40</v>
      </c>
      <c r="F2253" s="46" t="s">
        <v>2141</v>
      </c>
      <c r="G2253" s="46" t="s">
        <v>2029</v>
      </c>
      <c r="H2253" s="43"/>
      <c r="I2253" s="43"/>
      <c r="J2253" s="43"/>
      <c r="K2253" s="43"/>
      <c r="L2253" s="43"/>
      <c r="M2253" s="43"/>
      <c r="N2253" s="43"/>
      <c r="O2253" s="43"/>
      <c r="P2253" s="43"/>
      <c r="Q2253" s="43"/>
      <c r="R2253" s="43"/>
      <c r="S2253" s="43"/>
      <c r="T2253" s="43"/>
      <c r="U2253" s="43"/>
      <c r="V2253" s="43"/>
    </row>
    <row r="2254" spans="1:22" ht="15.75" customHeight="1" x14ac:dyDescent="0.2">
      <c r="A2254" s="40"/>
      <c r="B2254" s="45" t="s">
        <v>108</v>
      </c>
      <c r="C2254" s="46" t="s">
        <v>2147</v>
      </c>
      <c r="D2254" s="46" t="s">
        <v>554</v>
      </c>
      <c r="E2254" s="46" t="s">
        <v>40</v>
      </c>
      <c r="F2254" s="46" t="s">
        <v>2141</v>
      </c>
      <c r="G2254" s="46" t="s">
        <v>2029</v>
      </c>
      <c r="H2254" s="43"/>
      <c r="I2254" s="43"/>
      <c r="J2254" s="43"/>
      <c r="K2254" s="43"/>
      <c r="L2254" s="43"/>
      <c r="M2254" s="43"/>
      <c r="N2254" s="43"/>
      <c r="O2254" s="43"/>
      <c r="P2254" s="43"/>
      <c r="Q2254" s="43"/>
      <c r="R2254" s="43"/>
      <c r="S2254" s="43"/>
      <c r="T2254" s="43"/>
      <c r="U2254" s="43"/>
      <c r="V2254" s="43"/>
    </row>
    <row r="2255" spans="1:22" ht="15.75" customHeight="1" x14ac:dyDescent="0.2">
      <c r="A2255" s="40"/>
      <c r="B2255" s="45" t="s">
        <v>303</v>
      </c>
      <c r="C2255" s="46" t="s">
        <v>2148</v>
      </c>
      <c r="D2255" s="46" t="s">
        <v>104</v>
      </c>
      <c r="E2255" s="46" t="s">
        <v>134</v>
      </c>
      <c r="F2255" s="46" t="s">
        <v>2141</v>
      </c>
      <c r="G2255" s="46" t="s">
        <v>2029</v>
      </c>
      <c r="H2255" s="43"/>
      <c r="I2255" s="43"/>
      <c r="J2255" s="43"/>
      <c r="K2255" s="43"/>
      <c r="L2255" s="43"/>
      <c r="M2255" s="43"/>
      <c r="N2255" s="43"/>
      <c r="O2255" s="43"/>
      <c r="P2255" s="43"/>
      <c r="Q2255" s="43"/>
      <c r="R2255" s="43"/>
      <c r="S2255" s="43"/>
      <c r="T2255" s="43"/>
      <c r="U2255" s="43"/>
      <c r="V2255" s="43"/>
    </row>
    <row r="2256" spans="1:22" ht="15.75" customHeight="1" x14ac:dyDescent="0.2">
      <c r="A2256" s="40"/>
      <c r="B2256" s="45" t="s">
        <v>94</v>
      </c>
      <c r="C2256" s="46" t="s">
        <v>2148</v>
      </c>
      <c r="D2256" s="46" t="s">
        <v>104</v>
      </c>
      <c r="E2256" s="46" t="s">
        <v>134</v>
      </c>
      <c r="F2256" s="46" t="s">
        <v>2141</v>
      </c>
      <c r="G2256" s="46" t="s">
        <v>2029</v>
      </c>
      <c r="H2256" s="43"/>
      <c r="I2256" s="43"/>
      <c r="J2256" s="43"/>
      <c r="K2256" s="43"/>
      <c r="L2256" s="43"/>
      <c r="M2256" s="43"/>
      <c r="N2256" s="43"/>
      <c r="O2256" s="43"/>
      <c r="P2256" s="43"/>
      <c r="Q2256" s="43"/>
      <c r="R2256" s="43"/>
      <c r="S2256" s="43"/>
      <c r="T2256" s="43"/>
      <c r="U2256" s="43"/>
      <c r="V2256" s="43"/>
    </row>
    <row r="2257" spans="1:22" ht="15.75" customHeight="1" x14ac:dyDescent="0.2">
      <c r="A2257" s="40"/>
      <c r="B2257" s="45" t="s">
        <v>94</v>
      </c>
      <c r="C2257" s="46" t="s">
        <v>2148</v>
      </c>
      <c r="D2257" s="46" t="s">
        <v>513</v>
      </c>
      <c r="E2257" s="46" t="s">
        <v>134</v>
      </c>
      <c r="F2257" s="46" t="s">
        <v>2141</v>
      </c>
      <c r="G2257" s="46" t="s">
        <v>2029</v>
      </c>
      <c r="H2257" s="43"/>
      <c r="I2257" s="43"/>
      <c r="J2257" s="43"/>
      <c r="K2257" s="43"/>
      <c r="L2257" s="43"/>
      <c r="M2257" s="43"/>
      <c r="N2257" s="43"/>
      <c r="O2257" s="43"/>
      <c r="P2257" s="43"/>
      <c r="Q2257" s="43"/>
      <c r="R2257" s="43"/>
      <c r="S2257" s="43"/>
      <c r="T2257" s="43"/>
      <c r="U2257" s="43"/>
      <c r="V2257" s="43"/>
    </row>
    <row r="2258" spans="1:22" ht="15.75" customHeight="1" x14ac:dyDescent="0.2">
      <c r="A2258" s="40"/>
      <c r="B2258" s="45" t="s">
        <v>108</v>
      </c>
      <c r="C2258" s="46" t="s">
        <v>2149</v>
      </c>
      <c r="D2258" s="46" t="s">
        <v>471</v>
      </c>
      <c r="E2258" s="46" t="s">
        <v>259</v>
      </c>
      <c r="F2258" s="46" t="s">
        <v>2141</v>
      </c>
      <c r="G2258" s="46" t="s">
        <v>2029</v>
      </c>
      <c r="H2258" s="43"/>
      <c r="I2258" s="43"/>
      <c r="J2258" s="43"/>
      <c r="K2258" s="43"/>
      <c r="L2258" s="43"/>
      <c r="M2258" s="43"/>
      <c r="N2258" s="43"/>
      <c r="O2258" s="43"/>
      <c r="P2258" s="43"/>
      <c r="Q2258" s="43"/>
      <c r="R2258" s="43"/>
      <c r="S2258" s="43"/>
      <c r="T2258" s="43"/>
      <c r="U2258" s="43"/>
      <c r="V2258" s="43"/>
    </row>
    <row r="2259" spans="1:22" ht="15.75" customHeight="1" x14ac:dyDescent="0.2">
      <c r="A2259" s="40"/>
      <c r="B2259" s="45" t="s">
        <v>303</v>
      </c>
      <c r="C2259" s="46" t="s">
        <v>2149</v>
      </c>
      <c r="D2259" s="46" t="s">
        <v>471</v>
      </c>
      <c r="E2259" s="46" t="s">
        <v>259</v>
      </c>
      <c r="F2259" s="46" t="s">
        <v>2141</v>
      </c>
      <c r="G2259" s="46" t="s">
        <v>2029</v>
      </c>
      <c r="H2259" s="43"/>
      <c r="I2259" s="43"/>
      <c r="J2259" s="43"/>
      <c r="K2259" s="43"/>
      <c r="L2259" s="43"/>
      <c r="M2259" s="43"/>
      <c r="N2259" s="43"/>
      <c r="O2259" s="43"/>
      <c r="P2259" s="43"/>
      <c r="Q2259" s="43"/>
      <c r="R2259" s="43"/>
      <c r="S2259" s="43"/>
      <c r="T2259" s="43"/>
      <c r="U2259" s="43"/>
      <c r="V2259" s="43"/>
    </row>
    <row r="2260" spans="1:22" ht="15.75" customHeight="1" x14ac:dyDescent="0.2">
      <c r="A2260" s="40"/>
      <c r="B2260" s="45" t="s">
        <v>94</v>
      </c>
      <c r="C2260" s="46" t="s">
        <v>2149</v>
      </c>
      <c r="D2260" s="46" t="s">
        <v>471</v>
      </c>
      <c r="E2260" s="46" t="s">
        <v>259</v>
      </c>
      <c r="F2260" s="46" t="s">
        <v>2141</v>
      </c>
      <c r="G2260" s="46" t="s">
        <v>2029</v>
      </c>
      <c r="H2260" s="43"/>
      <c r="I2260" s="43"/>
      <c r="J2260" s="43"/>
      <c r="K2260" s="43"/>
      <c r="L2260" s="43"/>
      <c r="M2260" s="43"/>
      <c r="N2260" s="43"/>
      <c r="O2260" s="43"/>
      <c r="P2260" s="43"/>
      <c r="Q2260" s="43"/>
      <c r="R2260" s="43"/>
      <c r="S2260" s="43"/>
      <c r="T2260" s="43"/>
      <c r="U2260" s="43"/>
      <c r="V2260" s="43"/>
    </row>
    <row r="2261" spans="1:22" ht="15.75" customHeight="1" x14ac:dyDescent="0.2">
      <c r="A2261" s="40"/>
      <c r="B2261" s="45" t="s">
        <v>94</v>
      </c>
      <c r="C2261" s="46" t="s">
        <v>2144</v>
      </c>
      <c r="D2261" s="46" t="s">
        <v>295</v>
      </c>
      <c r="E2261" s="46" t="s">
        <v>259</v>
      </c>
      <c r="F2261" s="46" t="s">
        <v>2141</v>
      </c>
      <c r="G2261" s="46" t="s">
        <v>2029</v>
      </c>
      <c r="H2261" s="43"/>
      <c r="I2261" s="43"/>
      <c r="J2261" s="43"/>
      <c r="K2261" s="43"/>
      <c r="L2261" s="43"/>
      <c r="M2261" s="43"/>
      <c r="N2261" s="43"/>
      <c r="O2261" s="43"/>
      <c r="P2261" s="43"/>
      <c r="Q2261" s="43"/>
      <c r="R2261" s="43"/>
      <c r="S2261" s="43"/>
      <c r="T2261" s="43"/>
      <c r="U2261" s="43"/>
      <c r="V2261" s="43"/>
    </row>
    <row r="2262" spans="1:22" ht="15.75" customHeight="1" x14ac:dyDescent="0.2">
      <c r="A2262" s="40">
        <v>975</v>
      </c>
      <c r="B2262" s="41" t="s">
        <v>698</v>
      </c>
      <c r="C2262" s="42" t="s">
        <v>2150</v>
      </c>
      <c r="D2262" s="42" t="s">
        <v>574</v>
      </c>
      <c r="E2262" s="42" t="s">
        <v>348</v>
      </c>
      <c r="F2262" s="42" t="s">
        <v>2151</v>
      </c>
      <c r="G2262" s="42" t="s">
        <v>2029</v>
      </c>
      <c r="H2262" s="43"/>
      <c r="I2262" s="43"/>
      <c r="J2262" s="43"/>
      <c r="K2262" s="43"/>
      <c r="L2262" s="43"/>
      <c r="M2262" s="43"/>
      <c r="N2262" s="43"/>
      <c r="O2262" s="43"/>
      <c r="P2262" s="43"/>
      <c r="Q2262" s="43"/>
      <c r="R2262" s="43"/>
      <c r="S2262" s="43"/>
      <c r="T2262" s="43"/>
      <c r="U2262" s="43"/>
      <c r="V2262" s="43"/>
    </row>
    <row r="2263" spans="1:22" ht="15.75" customHeight="1" x14ac:dyDescent="0.2">
      <c r="A2263" s="40">
        <v>1497</v>
      </c>
      <c r="B2263" s="41" t="s">
        <v>262</v>
      </c>
      <c r="C2263" s="42" t="s">
        <v>2150</v>
      </c>
      <c r="D2263" s="42" t="s">
        <v>1107</v>
      </c>
      <c r="E2263" s="42" t="s">
        <v>348</v>
      </c>
      <c r="F2263" s="42" t="s">
        <v>2151</v>
      </c>
      <c r="G2263" s="42" t="s">
        <v>2029</v>
      </c>
      <c r="H2263" s="43"/>
      <c r="I2263" s="43"/>
      <c r="J2263" s="43"/>
      <c r="K2263" s="43"/>
      <c r="L2263" s="43"/>
      <c r="M2263" s="43"/>
      <c r="N2263" s="43"/>
      <c r="O2263" s="43"/>
      <c r="P2263" s="43"/>
      <c r="Q2263" s="43"/>
      <c r="R2263" s="43"/>
      <c r="S2263" s="43"/>
      <c r="T2263" s="43"/>
      <c r="U2263" s="43"/>
      <c r="V2263" s="43"/>
    </row>
    <row r="2264" spans="1:22" ht="15.75" customHeight="1" x14ac:dyDescent="0.2">
      <c r="A2264" s="40">
        <v>2251</v>
      </c>
      <c r="B2264" s="41" t="s">
        <v>627</v>
      </c>
      <c r="C2264" s="42" t="s">
        <v>2150</v>
      </c>
      <c r="D2264" s="42" t="s">
        <v>574</v>
      </c>
      <c r="E2264" s="42" t="s">
        <v>348</v>
      </c>
      <c r="F2264" s="42" t="s">
        <v>2151</v>
      </c>
      <c r="G2264" s="42" t="s">
        <v>2029</v>
      </c>
      <c r="H2264" s="43"/>
      <c r="I2264" s="43"/>
      <c r="J2264" s="43"/>
      <c r="K2264" s="43"/>
      <c r="L2264" s="43"/>
      <c r="M2264" s="43"/>
      <c r="N2264" s="43"/>
      <c r="O2264" s="43"/>
      <c r="P2264" s="43"/>
      <c r="Q2264" s="43"/>
      <c r="R2264" s="43"/>
      <c r="S2264" s="43"/>
      <c r="T2264" s="43"/>
      <c r="U2264" s="43"/>
      <c r="V2264" s="43"/>
    </row>
    <row r="2265" spans="1:22" ht="15.75" customHeight="1" x14ac:dyDescent="0.2">
      <c r="A2265" s="40">
        <v>2291</v>
      </c>
      <c r="B2265" s="41" t="s">
        <v>284</v>
      </c>
      <c r="C2265" s="42" t="s">
        <v>2150</v>
      </c>
      <c r="D2265" s="42" t="s">
        <v>1107</v>
      </c>
      <c r="E2265" s="42" t="s">
        <v>348</v>
      </c>
      <c r="F2265" s="42" t="s">
        <v>2151</v>
      </c>
      <c r="G2265" s="42" t="s">
        <v>2029</v>
      </c>
      <c r="H2265" s="43"/>
      <c r="I2265" s="43"/>
      <c r="J2265" s="43"/>
      <c r="K2265" s="43"/>
      <c r="L2265" s="43"/>
      <c r="M2265" s="43"/>
      <c r="N2265" s="43"/>
      <c r="O2265" s="43"/>
      <c r="P2265" s="43"/>
      <c r="Q2265" s="43"/>
      <c r="R2265" s="43"/>
      <c r="S2265" s="43"/>
      <c r="T2265" s="43"/>
      <c r="U2265" s="43"/>
      <c r="V2265" s="43"/>
    </row>
    <row r="2266" spans="1:22" ht="15.75" customHeight="1" x14ac:dyDescent="0.2">
      <c r="A2266" s="40">
        <v>2289</v>
      </c>
      <c r="B2266" s="41" t="s">
        <v>284</v>
      </c>
      <c r="C2266" s="42" t="s">
        <v>2152</v>
      </c>
      <c r="D2266" s="42" t="s">
        <v>350</v>
      </c>
      <c r="E2266" s="42" t="s">
        <v>530</v>
      </c>
      <c r="F2266" s="42" t="s">
        <v>2151</v>
      </c>
      <c r="G2266" s="42" t="s">
        <v>2029</v>
      </c>
      <c r="H2266" s="43"/>
      <c r="I2266" s="43"/>
      <c r="J2266" s="43"/>
      <c r="K2266" s="43"/>
      <c r="L2266" s="43"/>
      <c r="M2266" s="43"/>
      <c r="N2266" s="43"/>
      <c r="O2266" s="43"/>
      <c r="P2266" s="43"/>
      <c r="Q2266" s="43"/>
      <c r="R2266" s="43"/>
      <c r="S2266" s="43"/>
      <c r="T2266" s="43"/>
      <c r="U2266" s="43"/>
      <c r="V2266" s="43"/>
    </row>
    <row r="2267" spans="1:22" ht="15.75" customHeight="1" x14ac:dyDescent="0.2">
      <c r="A2267" s="40">
        <v>2855</v>
      </c>
      <c r="B2267" s="41" t="s">
        <v>519</v>
      </c>
      <c r="C2267" s="42" t="s">
        <v>2152</v>
      </c>
      <c r="D2267" s="42" t="s">
        <v>350</v>
      </c>
      <c r="E2267" s="42" t="s">
        <v>530</v>
      </c>
      <c r="F2267" s="42" t="s">
        <v>2151</v>
      </c>
      <c r="G2267" s="42" t="s">
        <v>2029</v>
      </c>
      <c r="H2267" s="43"/>
      <c r="I2267" s="43"/>
      <c r="J2267" s="43"/>
      <c r="K2267" s="43"/>
      <c r="L2267" s="43"/>
      <c r="M2267" s="43"/>
      <c r="N2267" s="43"/>
      <c r="O2267" s="43"/>
      <c r="P2267" s="43"/>
      <c r="Q2267" s="43"/>
      <c r="R2267" s="43"/>
      <c r="S2267" s="43"/>
      <c r="T2267" s="43"/>
      <c r="U2267" s="43"/>
      <c r="V2267" s="43"/>
    </row>
    <row r="2268" spans="1:22" ht="15.75" customHeight="1" x14ac:dyDescent="0.2">
      <c r="A2268" s="40">
        <v>1549</v>
      </c>
      <c r="B2268" s="41" t="s">
        <v>377</v>
      </c>
      <c r="C2268" s="42" t="s">
        <v>2153</v>
      </c>
      <c r="D2268" s="42" t="s">
        <v>373</v>
      </c>
      <c r="E2268" s="42" t="s">
        <v>2154</v>
      </c>
      <c r="F2268" s="42" t="s">
        <v>2151</v>
      </c>
      <c r="G2268" s="42" t="s">
        <v>2029</v>
      </c>
      <c r="H2268" s="43"/>
      <c r="I2268" s="43"/>
      <c r="J2268" s="43"/>
      <c r="K2268" s="43"/>
      <c r="L2268" s="43"/>
      <c r="M2268" s="43"/>
      <c r="N2268" s="43"/>
      <c r="O2268" s="43"/>
      <c r="P2268" s="43"/>
      <c r="Q2268" s="43"/>
      <c r="R2268" s="43"/>
      <c r="S2268" s="43"/>
      <c r="T2268" s="43"/>
      <c r="U2268" s="43"/>
      <c r="V2268" s="43"/>
    </row>
    <row r="2269" spans="1:22" ht="15.75" customHeight="1" x14ac:dyDescent="0.2">
      <c r="A2269" s="40">
        <v>2329</v>
      </c>
      <c r="B2269" s="41" t="s">
        <v>285</v>
      </c>
      <c r="C2269" s="42" t="s">
        <v>2153</v>
      </c>
      <c r="D2269" s="42" t="s">
        <v>373</v>
      </c>
      <c r="E2269" s="42" t="s">
        <v>2154</v>
      </c>
      <c r="F2269" s="42" t="s">
        <v>2151</v>
      </c>
      <c r="G2269" s="42" t="s">
        <v>2029</v>
      </c>
      <c r="H2269" s="43"/>
      <c r="I2269" s="43"/>
      <c r="J2269" s="43"/>
      <c r="K2269" s="43"/>
      <c r="L2269" s="43"/>
      <c r="M2269" s="43"/>
      <c r="N2269" s="43"/>
      <c r="O2269" s="43"/>
      <c r="P2269" s="43"/>
      <c r="Q2269" s="43"/>
      <c r="R2269" s="43"/>
      <c r="S2269" s="43"/>
      <c r="T2269" s="43"/>
      <c r="U2269" s="43"/>
      <c r="V2269" s="43"/>
    </row>
    <row r="2270" spans="1:22" ht="15.75" customHeight="1" x14ac:dyDescent="0.2">
      <c r="A2270" s="40">
        <v>999</v>
      </c>
      <c r="B2270" s="41" t="s">
        <v>624</v>
      </c>
      <c r="C2270" s="42" t="s">
        <v>2155</v>
      </c>
      <c r="D2270" s="42" t="s">
        <v>345</v>
      </c>
      <c r="E2270" s="42" t="s">
        <v>91</v>
      </c>
      <c r="F2270" s="42" t="s">
        <v>2151</v>
      </c>
      <c r="G2270" s="42" t="s">
        <v>2029</v>
      </c>
      <c r="H2270" s="43"/>
      <c r="I2270" s="43"/>
      <c r="J2270" s="43"/>
      <c r="K2270" s="43"/>
      <c r="L2270" s="43"/>
      <c r="M2270" s="43"/>
      <c r="N2270" s="43"/>
      <c r="O2270" s="43"/>
      <c r="P2270" s="43"/>
      <c r="Q2270" s="43"/>
      <c r="R2270" s="43"/>
      <c r="S2270" s="43"/>
      <c r="T2270" s="43"/>
      <c r="U2270" s="43"/>
      <c r="V2270" s="43"/>
    </row>
    <row r="2271" spans="1:22" ht="15.75" customHeight="1" x14ac:dyDescent="0.2">
      <c r="A2271" s="40">
        <v>1545</v>
      </c>
      <c r="B2271" s="41" t="s">
        <v>377</v>
      </c>
      <c r="C2271" s="42" t="s">
        <v>2155</v>
      </c>
      <c r="D2271" s="42" t="s">
        <v>295</v>
      </c>
      <c r="E2271" s="42" t="s">
        <v>91</v>
      </c>
      <c r="F2271" s="42" t="s">
        <v>2151</v>
      </c>
      <c r="G2271" s="42" t="s">
        <v>2029</v>
      </c>
      <c r="H2271" s="43"/>
      <c r="I2271" s="43"/>
      <c r="J2271" s="43"/>
      <c r="K2271" s="43"/>
      <c r="L2271" s="43"/>
      <c r="M2271" s="43"/>
      <c r="N2271" s="43"/>
      <c r="O2271" s="43"/>
      <c r="P2271" s="43"/>
      <c r="Q2271" s="43"/>
      <c r="R2271" s="43"/>
      <c r="S2271" s="43"/>
      <c r="T2271" s="43"/>
      <c r="U2271" s="43"/>
      <c r="V2271" s="43"/>
    </row>
    <row r="2272" spans="1:22" ht="15.75" customHeight="1" x14ac:dyDescent="0.2">
      <c r="A2272" s="40">
        <v>2253</v>
      </c>
      <c r="B2272" s="41" t="s">
        <v>627</v>
      </c>
      <c r="C2272" s="42" t="s">
        <v>2155</v>
      </c>
      <c r="D2272" s="42" t="s">
        <v>345</v>
      </c>
      <c r="E2272" s="42" t="s">
        <v>91</v>
      </c>
      <c r="F2272" s="42" t="s">
        <v>2151</v>
      </c>
      <c r="G2272" s="42" t="s">
        <v>2029</v>
      </c>
      <c r="H2272" s="43"/>
      <c r="I2272" s="43"/>
      <c r="J2272" s="43"/>
      <c r="K2272" s="43"/>
      <c r="L2272" s="43"/>
      <c r="M2272" s="43"/>
      <c r="N2272" s="43"/>
      <c r="O2272" s="43"/>
      <c r="P2272" s="43"/>
      <c r="Q2272" s="43"/>
      <c r="R2272" s="43"/>
      <c r="S2272" s="43"/>
      <c r="T2272" s="43"/>
      <c r="U2272" s="43"/>
      <c r="V2272" s="43"/>
    </row>
    <row r="2273" spans="1:22" ht="15.75" customHeight="1" x14ac:dyDescent="0.2">
      <c r="A2273" s="40">
        <v>2285</v>
      </c>
      <c r="B2273" s="41" t="s">
        <v>284</v>
      </c>
      <c r="C2273" s="42" t="s">
        <v>2155</v>
      </c>
      <c r="D2273" s="42" t="s">
        <v>295</v>
      </c>
      <c r="E2273" s="42" t="s">
        <v>91</v>
      </c>
      <c r="F2273" s="42" t="s">
        <v>2151</v>
      </c>
      <c r="G2273" s="42" t="s">
        <v>2029</v>
      </c>
      <c r="H2273" s="43"/>
      <c r="I2273" s="43"/>
      <c r="J2273" s="43"/>
      <c r="K2273" s="43"/>
      <c r="L2273" s="43"/>
      <c r="M2273" s="43"/>
      <c r="N2273" s="43"/>
      <c r="O2273" s="43"/>
      <c r="P2273" s="43"/>
      <c r="Q2273" s="43"/>
      <c r="R2273" s="43"/>
      <c r="S2273" s="43"/>
      <c r="T2273" s="43"/>
      <c r="U2273" s="43"/>
      <c r="V2273" s="43"/>
    </row>
    <row r="2274" spans="1:22" ht="15.75" customHeight="1" x14ac:dyDescent="0.2">
      <c r="A2274" s="40">
        <v>25</v>
      </c>
      <c r="B2274" s="41" t="s">
        <v>2156</v>
      </c>
      <c r="C2274" s="42" t="s">
        <v>2157</v>
      </c>
      <c r="D2274" s="42" t="s">
        <v>2158</v>
      </c>
      <c r="E2274" s="42" t="s">
        <v>329</v>
      </c>
      <c r="F2274" s="42" t="s">
        <v>2159</v>
      </c>
      <c r="G2274" s="42" t="s">
        <v>2029</v>
      </c>
      <c r="H2274" s="43"/>
      <c r="I2274" s="43"/>
      <c r="J2274" s="43"/>
      <c r="K2274" s="43"/>
      <c r="L2274" s="43"/>
      <c r="M2274" s="43"/>
      <c r="N2274" s="43"/>
      <c r="O2274" s="43"/>
      <c r="P2274" s="43"/>
      <c r="Q2274" s="43"/>
      <c r="R2274" s="43"/>
      <c r="S2274" s="43"/>
      <c r="T2274" s="43"/>
      <c r="U2274" s="43"/>
      <c r="V2274" s="43"/>
    </row>
    <row r="2275" spans="1:22" ht="15.75" customHeight="1" x14ac:dyDescent="0.2">
      <c r="A2275" s="40">
        <v>47</v>
      </c>
      <c r="B2275" s="41" t="s">
        <v>226</v>
      </c>
      <c r="C2275" s="42" t="s">
        <v>2157</v>
      </c>
      <c r="D2275" s="42" t="s">
        <v>2158</v>
      </c>
      <c r="E2275" s="42" t="s">
        <v>329</v>
      </c>
      <c r="F2275" s="42" t="s">
        <v>2159</v>
      </c>
      <c r="G2275" s="42" t="s">
        <v>2029</v>
      </c>
      <c r="H2275" s="43"/>
      <c r="I2275" s="43"/>
      <c r="J2275" s="43"/>
      <c r="K2275" s="43"/>
      <c r="L2275" s="43"/>
      <c r="M2275" s="43"/>
      <c r="N2275" s="43"/>
      <c r="O2275" s="43"/>
      <c r="P2275" s="43"/>
      <c r="Q2275" s="43"/>
      <c r="R2275" s="43"/>
      <c r="S2275" s="43"/>
      <c r="T2275" s="43"/>
      <c r="U2275" s="43"/>
      <c r="V2275" s="43"/>
    </row>
    <row r="2276" spans="1:22" ht="15.75" customHeight="1" x14ac:dyDescent="0.2">
      <c r="A2276" s="40">
        <v>43</v>
      </c>
      <c r="B2276" s="41" t="s">
        <v>2156</v>
      </c>
      <c r="C2276" s="42" t="s">
        <v>2160</v>
      </c>
      <c r="D2276" s="42" t="s">
        <v>2161</v>
      </c>
      <c r="E2276" s="42"/>
      <c r="F2276" s="42" t="s">
        <v>2162</v>
      </c>
      <c r="G2276" s="42" t="s">
        <v>2163</v>
      </c>
      <c r="H2276" s="43"/>
      <c r="I2276" s="43"/>
      <c r="J2276" s="43"/>
      <c r="K2276" s="43"/>
      <c r="L2276" s="43"/>
      <c r="M2276" s="43"/>
      <c r="N2276" s="43"/>
      <c r="O2276" s="43"/>
      <c r="P2276" s="43"/>
      <c r="Q2276" s="43"/>
      <c r="R2276" s="43"/>
      <c r="S2276" s="43"/>
      <c r="T2276" s="43"/>
      <c r="U2276" s="43"/>
      <c r="V2276" s="43"/>
    </row>
    <row r="2277" spans="1:22" ht="15.75" customHeight="1" x14ac:dyDescent="0.2">
      <c r="A2277" s="40"/>
      <c r="B2277" s="45" t="s">
        <v>232</v>
      </c>
      <c r="C2277" s="46" t="s">
        <v>1679</v>
      </c>
      <c r="D2277" s="46" t="s">
        <v>554</v>
      </c>
      <c r="E2277" s="46" t="s">
        <v>546</v>
      </c>
      <c r="F2277" s="46" t="s">
        <v>2162</v>
      </c>
      <c r="G2277" s="46" t="s">
        <v>2163</v>
      </c>
      <c r="H2277" s="43"/>
      <c r="I2277" s="43"/>
      <c r="J2277" s="43"/>
      <c r="K2277" s="43"/>
      <c r="L2277" s="43"/>
      <c r="M2277" s="43"/>
      <c r="N2277" s="43"/>
      <c r="O2277" s="43"/>
      <c r="P2277" s="43"/>
      <c r="Q2277" s="43"/>
      <c r="R2277" s="43"/>
      <c r="S2277" s="43"/>
      <c r="T2277" s="43"/>
      <c r="U2277" s="43"/>
      <c r="V2277" s="43"/>
    </row>
    <row r="2278" spans="1:22" ht="15.75" customHeight="1" x14ac:dyDescent="0.2">
      <c r="A2278" s="40"/>
      <c r="B2278" s="45" t="s">
        <v>114</v>
      </c>
      <c r="C2278" s="46" t="s">
        <v>1679</v>
      </c>
      <c r="D2278" s="46" t="s">
        <v>554</v>
      </c>
      <c r="E2278" s="46" t="s">
        <v>546</v>
      </c>
      <c r="F2278" s="46" t="s">
        <v>2162</v>
      </c>
      <c r="G2278" s="46" t="s">
        <v>2163</v>
      </c>
      <c r="H2278" s="43"/>
      <c r="I2278" s="43"/>
      <c r="J2278" s="43"/>
      <c r="K2278" s="43"/>
      <c r="L2278" s="43"/>
      <c r="M2278" s="43"/>
      <c r="N2278" s="43"/>
      <c r="O2278" s="43"/>
      <c r="P2278" s="43"/>
      <c r="Q2278" s="43"/>
      <c r="R2278" s="43"/>
      <c r="S2278" s="43"/>
      <c r="T2278" s="43"/>
      <c r="U2278" s="43"/>
      <c r="V2278" s="43"/>
    </row>
    <row r="2279" spans="1:22" ht="15.75" customHeight="1" x14ac:dyDescent="0.2">
      <c r="A2279" s="40"/>
      <c r="B2279" s="45" t="s">
        <v>88</v>
      </c>
      <c r="C2279" s="46" t="s">
        <v>1679</v>
      </c>
      <c r="D2279" s="46" t="s">
        <v>554</v>
      </c>
      <c r="E2279" s="46" t="s">
        <v>546</v>
      </c>
      <c r="F2279" s="46" t="s">
        <v>2162</v>
      </c>
      <c r="G2279" s="46" t="s">
        <v>2163</v>
      </c>
      <c r="H2279" s="43"/>
      <c r="I2279" s="43"/>
      <c r="J2279" s="43"/>
      <c r="K2279" s="43"/>
      <c r="L2279" s="43"/>
      <c r="M2279" s="43"/>
      <c r="N2279" s="43"/>
      <c r="O2279" s="43"/>
      <c r="P2279" s="43"/>
      <c r="Q2279" s="43"/>
      <c r="R2279" s="43"/>
      <c r="S2279" s="43"/>
      <c r="T2279" s="43"/>
      <c r="U2279" s="43"/>
      <c r="V2279" s="43"/>
    </row>
    <row r="2280" spans="1:22" ht="15.75" customHeight="1" x14ac:dyDescent="0.2">
      <c r="A2280" s="40"/>
      <c r="B2280" s="45" t="s">
        <v>88</v>
      </c>
      <c r="C2280" s="46" t="s">
        <v>2164</v>
      </c>
      <c r="D2280" s="46" t="s">
        <v>1068</v>
      </c>
      <c r="E2280" s="46" t="s">
        <v>319</v>
      </c>
      <c r="F2280" s="46" t="s">
        <v>2162</v>
      </c>
      <c r="G2280" s="46" t="s">
        <v>2163</v>
      </c>
      <c r="H2280" s="43"/>
      <c r="I2280" s="43"/>
      <c r="J2280" s="43"/>
      <c r="K2280" s="43"/>
      <c r="L2280" s="43"/>
      <c r="M2280" s="43"/>
      <c r="N2280" s="43"/>
      <c r="O2280" s="43"/>
      <c r="P2280" s="43"/>
      <c r="Q2280" s="43"/>
      <c r="R2280" s="43"/>
      <c r="S2280" s="43"/>
      <c r="T2280" s="43"/>
      <c r="U2280" s="43"/>
      <c r="V2280" s="43"/>
    </row>
    <row r="2281" spans="1:22" ht="15.75" customHeight="1" x14ac:dyDescent="0.2">
      <c r="A2281" s="40"/>
      <c r="B2281" s="45" t="s">
        <v>548</v>
      </c>
      <c r="C2281" s="46" t="s">
        <v>2164</v>
      </c>
      <c r="D2281" s="46" t="s">
        <v>1068</v>
      </c>
      <c r="E2281" s="46" t="s">
        <v>319</v>
      </c>
      <c r="F2281" s="46" t="s">
        <v>2162</v>
      </c>
      <c r="G2281" s="46" t="s">
        <v>2163</v>
      </c>
      <c r="H2281" s="43"/>
      <c r="I2281" s="43"/>
      <c r="J2281" s="43"/>
      <c r="K2281" s="43"/>
      <c r="L2281" s="43"/>
      <c r="M2281" s="43"/>
      <c r="N2281" s="43"/>
      <c r="O2281" s="43"/>
      <c r="P2281" s="43"/>
      <c r="Q2281" s="43"/>
      <c r="R2281" s="43"/>
      <c r="S2281" s="43"/>
      <c r="T2281" s="43"/>
      <c r="U2281" s="43"/>
      <c r="V2281" s="43"/>
    </row>
    <row r="2282" spans="1:22" ht="15.75" customHeight="1" x14ac:dyDescent="0.2">
      <c r="A2282" s="40"/>
      <c r="B2282" s="45" t="s">
        <v>296</v>
      </c>
      <c r="C2282" s="46" t="s">
        <v>940</v>
      </c>
      <c r="D2282" s="46" t="s">
        <v>128</v>
      </c>
      <c r="E2282" s="46" t="s">
        <v>397</v>
      </c>
      <c r="F2282" s="46" t="s">
        <v>2162</v>
      </c>
      <c r="G2282" s="46" t="s">
        <v>2163</v>
      </c>
      <c r="H2282" s="43"/>
      <c r="I2282" s="43"/>
      <c r="J2282" s="43"/>
      <c r="K2282" s="43"/>
      <c r="L2282" s="43"/>
      <c r="M2282" s="43"/>
      <c r="N2282" s="43"/>
      <c r="O2282" s="43"/>
      <c r="P2282" s="43"/>
      <c r="Q2282" s="43"/>
      <c r="R2282" s="43"/>
      <c r="S2282" s="43"/>
      <c r="T2282" s="43"/>
      <c r="U2282" s="43"/>
      <c r="V2282" s="43"/>
    </row>
    <row r="2283" spans="1:22" ht="15.75" customHeight="1" x14ac:dyDescent="0.2">
      <c r="A2283" s="40"/>
      <c r="B2283" s="45" t="s">
        <v>88</v>
      </c>
      <c r="C2283" s="46" t="s">
        <v>940</v>
      </c>
      <c r="D2283" s="46" t="s">
        <v>128</v>
      </c>
      <c r="E2283" s="46" t="s">
        <v>397</v>
      </c>
      <c r="F2283" s="46" t="s">
        <v>2162</v>
      </c>
      <c r="G2283" s="46" t="s">
        <v>2163</v>
      </c>
      <c r="H2283" s="43"/>
      <c r="I2283" s="43"/>
      <c r="J2283" s="43"/>
      <c r="K2283" s="43"/>
      <c r="L2283" s="43"/>
      <c r="M2283" s="43"/>
      <c r="N2283" s="43"/>
      <c r="O2283" s="43"/>
      <c r="P2283" s="43"/>
      <c r="Q2283" s="43"/>
      <c r="R2283" s="43"/>
      <c r="S2283" s="43"/>
      <c r="T2283" s="43"/>
      <c r="U2283" s="43"/>
      <c r="V2283" s="43"/>
    </row>
    <row r="2284" spans="1:22" ht="15.75" customHeight="1" x14ac:dyDescent="0.2">
      <c r="A2284" s="40">
        <v>1345</v>
      </c>
      <c r="B2284" s="41" t="s">
        <v>260</v>
      </c>
      <c r="C2284" s="42" t="s">
        <v>1541</v>
      </c>
      <c r="D2284" s="42" t="s">
        <v>2165</v>
      </c>
      <c r="E2284" s="42" t="s">
        <v>452</v>
      </c>
      <c r="F2284" s="42" t="s">
        <v>2166</v>
      </c>
      <c r="G2284" s="42" t="s">
        <v>2163</v>
      </c>
      <c r="H2284" s="43"/>
      <c r="I2284" s="43"/>
      <c r="J2284" s="43"/>
      <c r="K2284" s="43"/>
      <c r="L2284" s="43"/>
      <c r="M2284" s="43"/>
      <c r="N2284" s="43"/>
      <c r="O2284" s="43"/>
      <c r="P2284" s="43"/>
      <c r="Q2284" s="43"/>
      <c r="R2284" s="43"/>
      <c r="S2284" s="43"/>
      <c r="T2284" s="43"/>
      <c r="U2284" s="43"/>
      <c r="V2284" s="43"/>
    </row>
    <row r="2285" spans="1:22" ht="15.75" customHeight="1" x14ac:dyDescent="0.2">
      <c r="A2285" s="40">
        <v>2137</v>
      </c>
      <c r="B2285" s="41" t="s">
        <v>280</v>
      </c>
      <c r="C2285" s="42" t="s">
        <v>1541</v>
      </c>
      <c r="D2285" s="42" t="s">
        <v>2165</v>
      </c>
      <c r="E2285" s="42" t="s">
        <v>452</v>
      </c>
      <c r="F2285" s="42" t="s">
        <v>2166</v>
      </c>
      <c r="G2285" s="42" t="s">
        <v>2163</v>
      </c>
      <c r="H2285" s="43"/>
      <c r="I2285" s="43"/>
      <c r="J2285" s="43"/>
      <c r="K2285" s="43"/>
      <c r="L2285" s="43"/>
      <c r="M2285" s="43"/>
      <c r="N2285" s="43"/>
      <c r="O2285" s="43"/>
      <c r="P2285" s="43"/>
      <c r="Q2285" s="43"/>
      <c r="R2285" s="43"/>
      <c r="S2285" s="43"/>
      <c r="T2285" s="43"/>
      <c r="U2285" s="43"/>
      <c r="V2285" s="43"/>
    </row>
    <row r="2286" spans="1:22" ht="15.75" customHeight="1" x14ac:dyDescent="0.2">
      <c r="A2286" s="40">
        <v>795</v>
      </c>
      <c r="B2286" s="41" t="s">
        <v>691</v>
      </c>
      <c r="C2286" s="42" t="s">
        <v>2167</v>
      </c>
      <c r="D2286" s="42" t="s">
        <v>2168</v>
      </c>
      <c r="E2286" s="42" t="s">
        <v>836</v>
      </c>
      <c r="F2286" s="42" t="s">
        <v>2166</v>
      </c>
      <c r="G2286" s="42" t="s">
        <v>2163</v>
      </c>
      <c r="H2286" s="43"/>
      <c r="I2286" s="43"/>
      <c r="J2286" s="43"/>
      <c r="K2286" s="43"/>
      <c r="L2286" s="43"/>
      <c r="M2286" s="43"/>
      <c r="N2286" s="43"/>
      <c r="O2286" s="43"/>
      <c r="P2286" s="43"/>
      <c r="Q2286" s="43"/>
      <c r="R2286" s="43"/>
      <c r="S2286" s="43"/>
      <c r="T2286" s="43"/>
      <c r="U2286" s="43"/>
      <c r="V2286" s="43"/>
    </row>
    <row r="2287" spans="1:22" ht="15.75" customHeight="1" x14ac:dyDescent="0.2">
      <c r="A2287" s="40"/>
      <c r="B2287" s="45" t="s">
        <v>94</v>
      </c>
      <c r="C2287" s="46" t="s">
        <v>2167</v>
      </c>
      <c r="D2287" s="46" t="s">
        <v>2169</v>
      </c>
      <c r="E2287" s="46" t="s">
        <v>743</v>
      </c>
      <c r="F2287" s="46" t="s">
        <v>2166</v>
      </c>
      <c r="G2287" s="46" t="s">
        <v>2163</v>
      </c>
    </row>
    <row r="2288" spans="1:22" ht="15.75" customHeight="1" x14ac:dyDescent="0.2">
      <c r="A2288" s="40"/>
      <c r="B2288" s="45" t="s">
        <v>118</v>
      </c>
      <c r="C2288" s="46" t="s">
        <v>2170</v>
      </c>
      <c r="D2288" s="46" t="s">
        <v>325</v>
      </c>
      <c r="E2288" s="46" t="s">
        <v>40</v>
      </c>
      <c r="F2288" s="46" t="s">
        <v>2166</v>
      </c>
      <c r="G2288" s="46" t="s">
        <v>2163</v>
      </c>
    </row>
    <row r="2289" spans="1:22" ht="15.75" customHeight="1" x14ac:dyDescent="0.2">
      <c r="A2289" s="40"/>
      <c r="B2289" s="45" t="s">
        <v>88</v>
      </c>
      <c r="C2289" s="46" t="s">
        <v>2170</v>
      </c>
      <c r="D2289" s="46" t="s">
        <v>325</v>
      </c>
      <c r="E2289" s="46" t="s">
        <v>40</v>
      </c>
      <c r="F2289" s="46" t="s">
        <v>2166</v>
      </c>
      <c r="G2289" s="46" t="s">
        <v>2163</v>
      </c>
    </row>
    <row r="2290" spans="1:22" ht="15.75" customHeight="1" x14ac:dyDescent="0.2">
      <c r="A2290" s="40"/>
      <c r="B2290" s="45" t="s">
        <v>94</v>
      </c>
      <c r="C2290" s="46" t="s">
        <v>2170</v>
      </c>
      <c r="D2290" s="46" t="s">
        <v>325</v>
      </c>
      <c r="E2290" s="46" t="s">
        <v>40</v>
      </c>
      <c r="F2290" s="46" t="s">
        <v>2166</v>
      </c>
      <c r="G2290" s="46" t="s">
        <v>2163</v>
      </c>
    </row>
    <row r="2291" spans="1:22" ht="15.75" customHeight="1" x14ac:dyDescent="0.2">
      <c r="A2291" s="40"/>
      <c r="B2291" s="45" t="s">
        <v>102</v>
      </c>
      <c r="C2291" s="46" t="s">
        <v>2171</v>
      </c>
      <c r="D2291" s="46" t="s">
        <v>526</v>
      </c>
      <c r="E2291" s="46" t="s">
        <v>539</v>
      </c>
      <c r="F2291" s="46" t="s">
        <v>2166</v>
      </c>
      <c r="G2291" s="46" t="s">
        <v>2163</v>
      </c>
      <c r="H2291" s="43"/>
      <c r="I2291" s="43"/>
      <c r="J2291" s="43"/>
      <c r="K2291" s="43"/>
      <c r="L2291" s="43"/>
      <c r="M2291" s="43"/>
      <c r="N2291" s="43"/>
      <c r="O2291" s="43"/>
      <c r="P2291" s="43"/>
      <c r="Q2291" s="43"/>
      <c r="R2291" s="43"/>
      <c r="S2291" s="43"/>
      <c r="T2291" s="43"/>
      <c r="U2291" s="43"/>
      <c r="V2291" s="43"/>
    </row>
    <row r="2292" spans="1:22" ht="15.75" customHeight="1" x14ac:dyDescent="0.2">
      <c r="A2292" s="40"/>
      <c r="B2292" s="45" t="s">
        <v>108</v>
      </c>
      <c r="C2292" s="46" t="s">
        <v>2171</v>
      </c>
      <c r="D2292" s="46" t="s">
        <v>526</v>
      </c>
      <c r="E2292" s="46" t="s">
        <v>539</v>
      </c>
      <c r="F2292" s="46" t="s">
        <v>2166</v>
      </c>
      <c r="G2292" s="46" t="s">
        <v>2163</v>
      </c>
      <c r="H2292" s="43"/>
      <c r="I2292" s="43"/>
      <c r="J2292" s="43"/>
      <c r="K2292" s="43"/>
      <c r="L2292" s="43"/>
      <c r="M2292" s="43"/>
      <c r="N2292" s="43"/>
      <c r="O2292" s="43"/>
      <c r="P2292" s="43"/>
      <c r="Q2292" s="43"/>
      <c r="R2292" s="43"/>
      <c r="S2292" s="43"/>
      <c r="T2292" s="43"/>
      <c r="U2292" s="43"/>
      <c r="V2292" s="43"/>
    </row>
    <row r="2293" spans="1:22" ht="15.75" customHeight="1" x14ac:dyDescent="0.2">
      <c r="A2293" s="40"/>
      <c r="B2293" s="45" t="s">
        <v>88</v>
      </c>
      <c r="C2293" s="46" t="s">
        <v>2172</v>
      </c>
      <c r="D2293" s="46" t="s">
        <v>120</v>
      </c>
      <c r="E2293" s="46" t="s">
        <v>87</v>
      </c>
      <c r="F2293" s="46" t="s">
        <v>2166</v>
      </c>
      <c r="G2293" s="46" t="s">
        <v>2163</v>
      </c>
      <c r="H2293" s="43"/>
      <c r="I2293" s="43"/>
      <c r="J2293" s="43"/>
      <c r="K2293" s="43"/>
      <c r="L2293" s="43"/>
      <c r="M2293" s="43"/>
      <c r="N2293" s="43"/>
      <c r="O2293" s="43"/>
      <c r="P2293" s="43"/>
      <c r="Q2293" s="43"/>
      <c r="R2293" s="43"/>
      <c r="S2293" s="43"/>
      <c r="T2293" s="43"/>
      <c r="U2293" s="43"/>
      <c r="V2293" s="43"/>
    </row>
    <row r="2294" spans="1:22" ht="15.75" customHeight="1" x14ac:dyDescent="0.2">
      <c r="A2294" s="40"/>
      <c r="B2294" s="45" t="s">
        <v>94</v>
      </c>
      <c r="C2294" s="46" t="s">
        <v>2172</v>
      </c>
      <c r="D2294" s="46" t="s">
        <v>120</v>
      </c>
      <c r="E2294" s="46" t="s">
        <v>87</v>
      </c>
      <c r="F2294" s="46" t="s">
        <v>2166</v>
      </c>
      <c r="G2294" s="46" t="s">
        <v>2163</v>
      </c>
      <c r="H2294" s="43"/>
      <c r="I2294" s="43"/>
      <c r="J2294" s="43"/>
      <c r="K2294" s="43"/>
      <c r="L2294" s="43"/>
      <c r="M2294" s="43"/>
      <c r="N2294" s="43"/>
      <c r="O2294" s="43"/>
      <c r="P2294" s="43"/>
      <c r="Q2294" s="43"/>
      <c r="R2294" s="43"/>
      <c r="S2294" s="43"/>
      <c r="T2294" s="43"/>
      <c r="U2294" s="43"/>
      <c r="V2294" s="43"/>
    </row>
    <row r="2295" spans="1:22" ht="15.75" customHeight="1" x14ac:dyDescent="0.2">
      <c r="A2295" s="40">
        <v>357</v>
      </c>
      <c r="B2295" s="41" t="s">
        <v>100</v>
      </c>
      <c r="C2295" s="42" t="s">
        <v>2173</v>
      </c>
      <c r="D2295" s="42" t="s">
        <v>2174</v>
      </c>
      <c r="E2295" s="42"/>
      <c r="F2295" s="42" t="s">
        <v>2175</v>
      </c>
      <c r="G2295" s="42" t="s">
        <v>2163</v>
      </c>
      <c r="H2295" s="43"/>
      <c r="I2295" s="43"/>
      <c r="J2295" s="43"/>
      <c r="K2295" s="43"/>
      <c r="L2295" s="43"/>
      <c r="M2295" s="43"/>
      <c r="N2295" s="43"/>
      <c r="O2295" s="43"/>
      <c r="P2295" s="43"/>
      <c r="Q2295" s="43"/>
      <c r="R2295" s="43"/>
      <c r="S2295" s="43"/>
      <c r="T2295" s="43"/>
      <c r="U2295" s="43"/>
      <c r="V2295" s="43"/>
    </row>
    <row r="2296" spans="1:22" ht="15.75" customHeight="1" x14ac:dyDescent="0.2">
      <c r="A2296" s="40"/>
      <c r="B2296" s="45" t="s">
        <v>94</v>
      </c>
      <c r="C2296" s="46" t="s">
        <v>2176</v>
      </c>
      <c r="D2296" s="46" t="s">
        <v>534</v>
      </c>
      <c r="E2296" s="46" t="s">
        <v>2177</v>
      </c>
      <c r="F2296" s="46" t="s">
        <v>2175</v>
      </c>
      <c r="G2296" s="46" t="s">
        <v>2163</v>
      </c>
      <c r="H2296" s="43"/>
      <c r="I2296" s="43"/>
      <c r="J2296" s="43"/>
      <c r="K2296" s="43"/>
      <c r="L2296" s="43"/>
      <c r="M2296" s="43"/>
      <c r="N2296" s="43"/>
      <c r="O2296" s="43"/>
      <c r="P2296" s="43"/>
      <c r="Q2296" s="43"/>
      <c r="R2296" s="43"/>
      <c r="S2296" s="43"/>
      <c r="T2296" s="43"/>
      <c r="U2296" s="43"/>
      <c r="V2296" s="43"/>
    </row>
    <row r="2297" spans="1:22" ht="15.75" customHeight="1" x14ac:dyDescent="0.2">
      <c r="A2297" s="40">
        <v>1567</v>
      </c>
      <c r="B2297" s="41" t="s">
        <v>377</v>
      </c>
      <c r="C2297" s="42" t="s">
        <v>2178</v>
      </c>
      <c r="D2297" s="42" t="s">
        <v>399</v>
      </c>
      <c r="E2297" s="42" t="s">
        <v>2179</v>
      </c>
      <c r="F2297" s="42" t="s">
        <v>2180</v>
      </c>
      <c r="G2297" s="42" t="s">
        <v>2163</v>
      </c>
      <c r="H2297" s="43"/>
      <c r="I2297" s="43"/>
      <c r="J2297" s="43"/>
      <c r="K2297" s="43"/>
      <c r="L2297" s="43"/>
      <c r="M2297" s="43"/>
      <c r="N2297" s="43"/>
      <c r="O2297" s="43"/>
      <c r="P2297" s="43"/>
      <c r="Q2297" s="43"/>
      <c r="R2297" s="43"/>
      <c r="S2297" s="43"/>
      <c r="T2297" s="43"/>
      <c r="U2297" s="43"/>
      <c r="V2297" s="43"/>
    </row>
    <row r="2298" spans="1:22" ht="15.75" customHeight="1" x14ac:dyDescent="0.2">
      <c r="A2298" s="40">
        <v>2315</v>
      </c>
      <c r="B2298" s="41" t="s">
        <v>284</v>
      </c>
      <c r="C2298" s="42" t="s">
        <v>2178</v>
      </c>
      <c r="D2298" s="42" t="s">
        <v>399</v>
      </c>
      <c r="E2298" s="42" t="s">
        <v>2179</v>
      </c>
      <c r="F2298" s="42" t="s">
        <v>2180</v>
      </c>
      <c r="G2298" s="42" t="s">
        <v>2163</v>
      </c>
      <c r="H2298" s="43"/>
      <c r="I2298" s="43"/>
      <c r="J2298" s="43"/>
      <c r="K2298" s="43"/>
      <c r="L2298" s="43"/>
      <c r="M2298" s="43"/>
      <c r="N2298" s="43"/>
      <c r="O2298" s="43"/>
      <c r="P2298" s="43"/>
      <c r="Q2298" s="43"/>
      <c r="R2298" s="43"/>
      <c r="S2298" s="43"/>
      <c r="T2298" s="43"/>
      <c r="U2298" s="43"/>
      <c r="V2298" s="43"/>
    </row>
    <row r="2299" spans="1:22" ht="15.75" customHeight="1" x14ac:dyDescent="0.2">
      <c r="A2299" s="40">
        <v>2317</v>
      </c>
      <c r="B2299" s="41" t="s">
        <v>284</v>
      </c>
      <c r="C2299" s="42" t="s">
        <v>2181</v>
      </c>
      <c r="D2299" s="42" t="s">
        <v>574</v>
      </c>
      <c r="E2299" s="42" t="s">
        <v>676</v>
      </c>
      <c r="F2299" s="42" t="s">
        <v>2180</v>
      </c>
      <c r="G2299" s="42" t="s">
        <v>2163</v>
      </c>
      <c r="H2299" s="43"/>
      <c r="I2299" s="43"/>
      <c r="J2299" s="43"/>
      <c r="K2299" s="43"/>
      <c r="L2299" s="43"/>
      <c r="M2299" s="43"/>
      <c r="N2299" s="43"/>
      <c r="O2299" s="43"/>
      <c r="P2299" s="43"/>
      <c r="Q2299" s="43"/>
      <c r="R2299" s="43"/>
      <c r="S2299" s="43"/>
      <c r="T2299" s="43"/>
      <c r="U2299" s="43"/>
      <c r="V2299" s="43"/>
    </row>
    <row r="2300" spans="1:22" ht="15.75" customHeight="1" x14ac:dyDescent="0.2">
      <c r="A2300" s="40">
        <v>2877</v>
      </c>
      <c r="B2300" s="41" t="s">
        <v>519</v>
      </c>
      <c r="C2300" s="42" t="s">
        <v>2181</v>
      </c>
      <c r="D2300" s="42" t="s">
        <v>574</v>
      </c>
      <c r="E2300" s="42" t="s">
        <v>676</v>
      </c>
      <c r="F2300" s="42" t="s">
        <v>2180</v>
      </c>
      <c r="G2300" s="42" t="s">
        <v>2163</v>
      </c>
      <c r="H2300" s="43"/>
      <c r="I2300" s="43"/>
      <c r="J2300" s="43"/>
      <c r="K2300" s="43"/>
      <c r="L2300" s="43"/>
      <c r="M2300" s="43"/>
      <c r="N2300" s="43"/>
      <c r="O2300" s="43"/>
      <c r="P2300" s="43"/>
      <c r="Q2300" s="43"/>
      <c r="R2300" s="43"/>
      <c r="S2300" s="43"/>
      <c r="T2300" s="43"/>
      <c r="U2300" s="43"/>
      <c r="V2300" s="43"/>
    </row>
    <row r="2301" spans="1:22" ht="15.75" customHeight="1" x14ac:dyDescent="0.2">
      <c r="A2301" s="40"/>
      <c r="B2301" s="45" t="s">
        <v>114</v>
      </c>
      <c r="C2301" s="46" t="s">
        <v>2182</v>
      </c>
      <c r="D2301" s="46" t="s">
        <v>526</v>
      </c>
      <c r="E2301" s="46" t="s">
        <v>1083</v>
      </c>
      <c r="F2301" s="46" t="s">
        <v>2180</v>
      </c>
      <c r="G2301" s="46" t="s">
        <v>2163</v>
      </c>
      <c r="H2301" s="43"/>
      <c r="I2301" s="43"/>
      <c r="J2301" s="43"/>
      <c r="K2301" s="43"/>
      <c r="L2301" s="43"/>
      <c r="M2301" s="43"/>
      <c r="N2301" s="43"/>
      <c r="O2301" s="43"/>
      <c r="P2301" s="43"/>
      <c r="Q2301" s="43"/>
      <c r="R2301" s="43"/>
      <c r="S2301" s="43"/>
      <c r="T2301" s="43"/>
      <c r="U2301" s="43"/>
      <c r="V2301" s="43"/>
    </row>
    <row r="2302" spans="1:22" ht="15.75" customHeight="1" x14ac:dyDescent="0.2">
      <c r="A2302" s="40"/>
      <c r="B2302" s="45" t="s">
        <v>108</v>
      </c>
      <c r="C2302" s="46" t="s">
        <v>2182</v>
      </c>
      <c r="D2302" s="46" t="s">
        <v>526</v>
      </c>
      <c r="E2302" s="46" t="s">
        <v>1083</v>
      </c>
      <c r="F2302" s="46" t="s">
        <v>2180</v>
      </c>
      <c r="G2302" s="46" t="s">
        <v>2163</v>
      </c>
      <c r="H2302" s="43"/>
      <c r="I2302" s="43"/>
      <c r="J2302" s="43"/>
      <c r="K2302" s="43"/>
      <c r="L2302" s="43"/>
      <c r="M2302" s="43"/>
      <c r="N2302" s="43"/>
      <c r="O2302" s="43"/>
      <c r="P2302" s="43"/>
      <c r="Q2302" s="43"/>
      <c r="R2302" s="43"/>
      <c r="S2302" s="43"/>
      <c r="T2302" s="43"/>
      <c r="U2302" s="43"/>
      <c r="V2302" s="43"/>
    </row>
    <row r="2303" spans="1:22" ht="15.75" customHeight="1" x14ac:dyDescent="0.2">
      <c r="A2303" s="40">
        <v>1121</v>
      </c>
      <c r="B2303" s="41" t="s">
        <v>1344</v>
      </c>
      <c r="C2303" s="42" t="s">
        <v>2183</v>
      </c>
      <c r="D2303" s="42" t="s">
        <v>605</v>
      </c>
      <c r="E2303" s="42" t="s">
        <v>314</v>
      </c>
      <c r="F2303" s="42" t="s">
        <v>2180</v>
      </c>
      <c r="G2303" s="42" t="s">
        <v>2163</v>
      </c>
      <c r="H2303" s="43"/>
      <c r="I2303" s="43"/>
      <c r="J2303" s="43"/>
      <c r="K2303" s="43"/>
      <c r="L2303" s="43"/>
      <c r="M2303" s="43"/>
      <c r="N2303" s="43"/>
      <c r="O2303" s="43"/>
      <c r="P2303" s="43"/>
      <c r="Q2303" s="43"/>
      <c r="R2303" s="43"/>
      <c r="S2303" s="43"/>
      <c r="T2303" s="43"/>
      <c r="U2303" s="43"/>
      <c r="V2303" s="43"/>
    </row>
    <row r="2304" spans="1:22" ht="15.75" customHeight="1" x14ac:dyDescent="0.2">
      <c r="A2304" s="40">
        <v>1845</v>
      </c>
      <c r="B2304" s="41" t="s">
        <v>439</v>
      </c>
      <c r="C2304" s="42" t="s">
        <v>2183</v>
      </c>
      <c r="D2304" s="42" t="s">
        <v>605</v>
      </c>
      <c r="E2304" s="42" t="s">
        <v>314</v>
      </c>
      <c r="F2304" s="42" t="s">
        <v>2180</v>
      </c>
      <c r="G2304" s="42" t="s">
        <v>2163</v>
      </c>
      <c r="H2304" s="43"/>
      <c r="I2304" s="43"/>
      <c r="J2304" s="43"/>
      <c r="K2304" s="43"/>
      <c r="L2304" s="43"/>
      <c r="M2304" s="43"/>
      <c r="N2304" s="43"/>
      <c r="O2304" s="43"/>
      <c r="P2304" s="43"/>
      <c r="Q2304" s="43"/>
      <c r="R2304" s="43"/>
      <c r="S2304" s="43"/>
      <c r="T2304" s="43"/>
      <c r="U2304" s="43"/>
      <c r="V2304" s="43"/>
    </row>
    <row r="2305" spans="1:22" ht="15.75" customHeight="1" x14ac:dyDescent="0.2">
      <c r="A2305" s="40"/>
      <c r="B2305" s="45" t="s">
        <v>126</v>
      </c>
      <c r="C2305" s="46" t="s">
        <v>2183</v>
      </c>
      <c r="D2305" s="46" t="s">
        <v>513</v>
      </c>
      <c r="E2305" s="46" t="s">
        <v>314</v>
      </c>
      <c r="F2305" s="46" t="s">
        <v>2180</v>
      </c>
      <c r="G2305" s="46" t="s">
        <v>2163</v>
      </c>
      <c r="H2305" s="43"/>
      <c r="I2305" s="43"/>
      <c r="J2305" s="43"/>
      <c r="K2305" s="43"/>
      <c r="L2305" s="43"/>
      <c r="M2305" s="43"/>
      <c r="N2305" s="43"/>
      <c r="O2305" s="43"/>
      <c r="P2305" s="43"/>
      <c r="Q2305" s="43"/>
      <c r="R2305" s="43"/>
      <c r="S2305" s="43"/>
      <c r="T2305" s="43"/>
      <c r="U2305" s="43"/>
      <c r="V2305" s="43"/>
    </row>
    <row r="2306" spans="1:22" ht="15.75" customHeight="1" x14ac:dyDescent="0.2">
      <c r="A2306" s="40"/>
      <c r="B2306" s="45" t="s">
        <v>131</v>
      </c>
      <c r="C2306" s="46" t="s">
        <v>2183</v>
      </c>
      <c r="D2306" s="46" t="s">
        <v>513</v>
      </c>
      <c r="E2306" s="46" t="s">
        <v>314</v>
      </c>
      <c r="F2306" s="46" t="s">
        <v>2180</v>
      </c>
      <c r="G2306" s="46" t="s">
        <v>2163</v>
      </c>
      <c r="H2306" s="43"/>
      <c r="I2306" s="43"/>
      <c r="J2306" s="43"/>
      <c r="K2306" s="43"/>
      <c r="L2306" s="43"/>
      <c r="M2306" s="43"/>
      <c r="N2306" s="43"/>
      <c r="O2306" s="43"/>
      <c r="P2306" s="43"/>
      <c r="Q2306" s="43"/>
      <c r="R2306" s="43"/>
      <c r="S2306" s="43"/>
      <c r="T2306" s="43"/>
      <c r="U2306" s="43"/>
      <c r="V2306" s="43"/>
    </row>
    <row r="2307" spans="1:22" ht="15.75" customHeight="1" x14ac:dyDescent="0.2">
      <c r="A2307" s="40"/>
      <c r="B2307" s="45" t="s">
        <v>88</v>
      </c>
      <c r="C2307" s="46" t="s">
        <v>2183</v>
      </c>
      <c r="D2307" s="46" t="s">
        <v>513</v>
      </c>
      <c r="E2307" s="46" t="s">
        <v>314</v>
      </c>
      <c r="F2307" s="46" t="s">
        <v>2180</v>
      </c>
      <c r="G2307" s="46" t="s">
        <v>2163</v>
      </c>
      <c r="H2307" s="43"/>
      <c r="I2307" s="43"/>
      <c r="J2307" s="43"/>
      <c r="K2307" s="43"/>
      <c r="L2307" s="43"/>
      <c r="M2307" s="43"/>
      <c r="N2307" s="43"/>
      <c r="O2307" s="43"/>
      <c r="P2307" s="43"/>
      <c r="Q2307" s="43"/>
      <c r="R2307" s="43"/>
      <c r="S2307" s="43"/>
      <c r="T2307" s="43"/>
      <c r="U2307" s="43"/>
      <c r="V2307" s="43"/>
    </row>
    <row r="2308" spans="1:22" ht="15.75" customHeight="1" x14ac:dyDescent="0.2">
      <c r="A2308" s="40"/>
      <c r="B2308" s="45" t="s">
        <v>300</v>
      </c>
      <c r="C2308" s="46" t="s">
        <v>2183</v>
      </c>
      <c r="D2308" s="46" t="s">
        <v>350</v>
      </c>
      <c r="E2308" s="46" t="s">
        <v>314</v>
      </c>
      <c r="F2308" s="46" t="s">
        <v>2180</v>
      </c>
      <c r="G2308" s="46" t="s">
        <v>2163</v>
      </c>
      <c r="H2308" s="43"/>
      <c r="I2308" s="43"/>
      <c r="J2308" s="43"/>
      <c r="K2308" s="43"/>
      <c r="L2308" s="43"/>
      <c r="M2308" s="43"/>
      <c r="N2308" s="43"/>
      <c r="O2308" s="43"/>
      <c r="P2308" s="43"/>
      <c r="Q2308" s="43"/>
      <c r="R2308" s="43"/>
      <c r="S2308" s="43"/>
      <c r="T2308" s="43"/>
      <c r="U2308" s="43"/>
      <c r="V2308" s="43"/>
    </row>
    <row r="2309" spans="1:22" ht="15.75" customHeight="1" x14ac:dyDescent="0.2">
      <c r="A2309" s="40"/>
      <c r="B2309" s="45" t="s">
        <v>102</v>
      </c>
      <c r="C2309" s="46" t="s">
        <v>2183</v>
      </c>
      <c r="D2309" s="46" t="s">
        <v>350</v>
      </c>
      <c r="E2309" s="46" t="s">
        <v>314</v>
      </c>
      <c r="F2309" s="46" t="s">
        <v>2180</v>
      </c>
      <c r="G2309" s="46" t="s">
        <v>2163</v>
      </c>
      <c r="H2309" s="43"/>
      <c r="I2309" s="43"/>
      <c r="J2309" s="43"/>
      <c r="K2309" s="43"/>
      <c r="L2309" s="43"/>
      <c r="M2309" s="43"/>
      <c r="N2309" s="43"/>
      <c r="O2309" s="43"/>
      <c r="P2309" s="43"/>
      <c r="Q2309" s="43"/>
      <c r="R2309" s="43"/>
      <c r="S2309" s="43"/>
      <c r="T2309" s="43"/>
      <c r="U2309" s="43"/>
      <c r="V2309" s="43"/>
    </row>
    <row r="2310" spans="1:22" ht="15.75" customHeight="1" x14ac:dyDescent="0.2">
      <c r="A2310" s="40"/>
      <c r="B2310" s="45" t="s">
        <v>88</v>
      </c>
      <c r="C2310" s="46" t="s">
        <v>2183</v>
      </c>
      <c r="D2310" s="46" t="s">
        <v>350</v>
      </c>
      <c r="E2310" s="46" t="s">
        <v>314</v>
      </c>
      <c r="F2310" s="46" t="s">
        <v>2180</v>
      </c>
      <c r="G2310" s="46" t="s">
        <v>2163</v>
      </c>
      <c r="H2310" s="43"/>
      <c r="I2310" s="43"/>
      <c r="J2310" s="43"/>
      <c r="K2310" s="43"/>
      <c r="L2310" s="43"/>
      <c r="M2310" s="43"/>
      <c r="N2310" s="43"/>
      <c r="O2310" s="43"/>
      <c r="P2310" s="43"/>
      <c r="Q2310" s="43"/>
      <c r="R2310" s="43"/>
      <c r="S2310" s="43"/>
      <c r="T2310" s="43"/>
      <c r="U2310" s="43"/>
      <c r="V2310" s="43"/>
    </row>
    <row r="2311" spans="1:22" ht="15.75" customHeight="1" x14ac:dyDescent="0.2">
      <c r="A2311" s="40"/>
      <c r="B2311" s="45" t="s">
        <v>315</v>
      </c>
      <c r="C2311" s="46" t="s">
        <v>2184</v>
      </c>
      <c r="D2311" s="46" t="s">
        <v>600</v>
      </c>
      <c r="E2311" s="46" t="s">
        <v>105</v>
      </c>
      <c r="F2311" s="46" t="s">
        <v>2180</v>
      </c>
      <c r="G2311" s="46" t="s">
        <v>2163</v>
      </c>
      <c r="H2311" s="43"/>
      <c r="I2311" s="43"/>
      <c r="J2311" s="43"/>
      <c r="K2311" s="43"/>
      <c r="L2311" s="43"/>
      <c r="M2311" s="43"/>
      <c r="N2311" s="43"/>
      <c r="O2311" s="43"/>
      <c r="P2311" s="43"/>
      <c r="Q2311" s="43"/>
      <c r="R2311" s="43"/>
      <c r="S2311" s="43"/>
      <c r="T2311" s="43"/>
      <c r="U2311" s="43"/>
      <c r="V2311" s="43"/>
    </row>
    <row r="2312" spans="1:22" ht="15.75" customHeight="1" x14ac:dyDescent="0.2">
      <c r="A2312" s="40"/>
      <c r="B2312" s="45" t="s">
        <v>88</v>
      </c>
      <c r="C2312" s="46" t="s">
        <v>2184</v>
      </c>
      <c r="D2312" s="46" t="s">
        <v>600</v>
      </c>
      <c r="E2312" s="46" t="s">
        <v>105</v>
      </c>
      <c r="F2312" s="46" t="s">
        <v>2180</v>
      </c>
      <c r="G2312" s="46" t="s">
        <v>2163</v>
      </c>
      <c r="H2312" s="43"/>
      <c r="I2312" s="43"/>
      <c r="J2312" s="43"/>
      <c r="K2312" s="43"/>
      <c r="L2312" s="43"/>
      <c r="M2312" s="43"/>
      <c r="N2312" s="43"/>
      <c r="O2312" s="43"/>
      <c r="P2312" s="43"/>
      <c r="Q2312" s="43"/>
      <c r="R2312" s="43"/>
      <c r="S2312" s="43"/>
      <c r="T2312" s="43"/>
      <c r="U2312" s="43"/>
      <c r="V2312" s="43"/>
    </row>
    <row r="2313" spans="1:22" ht="15.75" customHeight="1" x14ac:dyDescent="0.2">
      <c r="A2313" s="40"/>
      <c r="B2313" s="45" t="s">
        <v>323</v>
      </c>
      <c r="C2313" s="46" t="s">
        <v>2185</v>
      </c>
      <c r="D2313" s="46" t="s">
        <v>58</v>
      </c>
      <c r="E2313" s="46" t="s">
        <v>397</v>
      </c>
      <c r="F2313" s="46" t="s">
        <v>2180</v>
      </c>
      <c r="G2313" s="46" t="s">
        <v>2163</v>
      </c>
      <c r="H2313" s="43"/>
      <c r="I2313" s="43"/>
      <c r="J2313" s="43"/>
      <c r="K2313" s="43"/>
      <c r="L2313" s="43"/>
      <c r="M2313" s="43"/>
      <c r="N2313" s="43"/>
      <c r="O2313" s="43"/>
      <c r="P2313" s="43"/>
      <c r="Q2313" s="43"/>
      <c r="R2313" s="43"/>
      <c r="S2313" s="43"/>
      <c r="T2313" s="43"/>
      <c r="U2313" s="43"/>
      <c r="V2313" s="43"/>
    </row>
    <row r="2314" spans="1:22" ht="15.75" customHeight="1" x14ac:dyDescent="0.2">
      <c r="A2314" s="40"/>
      <c r="B2314" s="45" t="s">
        <v>297</v>
      </c>
      <c r="C2314" s="46" t="s">
        <v>2185</v>
      </c>
      <c r="D2314" s="46" t="s">
        <v>58</v>
      </c>
      <c r="E2314" s="46" t="s">
        <v>397</v>
      </c>
      <c r="F2314" s="46" t="s">
        <v>2180</v>
      </c>
      <c r="G2314" s="46" t="s">
        <v>2163</v>
      </c>
      <c r="H2314" s="43"/>
      <c r="I2314" s="43"/>
      <c r="J2314" s="43"/>
      <c r="K2314" s="43"/>
      <c r="L2314" s="43"/>
      <c r="M2314" s="43"/>
      <c r="N2314" s="43"/>
      <c r="O2314" s="43"/>
      <c r="P2314" s="43"/>
      <c r="Q2314" s="43"/>
      <c r="R2314" s="43"/>
      <c r="S2314" s="43"/>
      <c r="T2314" s="43"/>
      <c r="U2314" s="43"/>
      <c r="V2314" s="43"/>
    </row>
    <row r="2315" spans="1:22" ht="15.75" customHeight="1" x14ac:dyDescent="0.2">
      <c r="A2315" s="40"/>
      <c r="B2315" s="45" t="s">
        <v>316</v>
      </c>
      <c r="C2315" s="46" t="s">
        <v>2186</v>
      </c>
      <c r="D2315" s="46" t="s">
        <v>90</v>
      </c>
      <c r="E2315" s="46" t="s">
        <v>1200</v>
      </c>
      <c r="F2315" s="46" t="s">
        <v>2180</v>
      </c>
      <c r="G2315" s="46" t="s">
        <v>2163</v>
      </c>
      <c r="H2315" s="43"/>
      <c r="I2315" s="43"/>
      <c r="J2315" s="43"/>
      <c r="K2315" s="43"/>
      <c r="L2315" s="43"/>
      <c r="M2315" s="43"/>
      <c r="N2315" s="43"/>
      <c r="O2315" s="43"/>
      <c r="P2315" s="43"/>
      <c r="Q2315" s="43"/>
      <c r="R2315" s="43"/>
      <c r="S2315" s="43"/>
      <c r="T2315" s="43"/>
      <c r="U2315" s="43"/>
      <c r="V2315" s="43"/>
    </row>
    <row r="2316" spans="1:22" ht="15.75" customHeight="1" x14ac:dyDescent="0.2">
      <c r="A2316" s="40"/>
      <c r="B2316" s="45" t="s">
        <v>102</v>
      </c>
      <c r="C2316" s="46" t="s">
        <v>2186</v>
      </c>
      <c r="D2316" s="46" t="s">
        <v>90</v>
      </c>
      <c r="E2316" s="46" t="s">
        <v>1200</v>
      </c>
      <c r="F2316" s="46" t="s">
        <v>2180</v>
      </c>
      <c r="G2316" s="46" t="s">
        <v>2163</v>
      </c>
      <c r="H2316" s="43"/>
      <c r="I2316" s="43"/>
      <c r="J2316" s="43"/>
      <c r="K2316" s="43"/>
      <c r="L2316" s="43"/>
      <c r="M2316" s="43"/>
      <c r="N2316" s="43"/>
      <c r="O2316" s="43"/>
      <c r="P2316" s="43"/>
      <c r="Q2316" s="43"/>
      <c r="R2316" s="43"/>
      <c r="S2316" s="43"/>
      <c r="T2316" s="43"/>
      <c r="U2316" s="43"/>
      <c r="V2316" s="43"/>
    </row>
    <row r="2317" spans="1:22" ht="15.75" customHeight="1" x14ac:dyDescent="0.2">
      <c r="A2317" s="40"/>
      <c r="B2317" s="45" t="s">
        <v>88</v>
      </c>
      <c r="C2317" s="46" t="s">
        <v>2186</v>
      </c>
      <c r="D2317" s="46" t="s">
        <v>90</v>
      </c>
      <c r="E2317" s="46" t="s">
        <v>1200</v>
      </c>
      <c r="F2317" s="46" t="s">
        <v>2180</v>
      </c>
      <c r="G2317" s="46" t="s">
        <v>2163</v>
      </c>
      <c r="H2317" s="43"/>
      <c r="I2317" s="43"/>
      <c r="J2317" s="43"/>
      <c r="K2317" s="43"/>
      <c r="L2317" s="43"/>
      <c r="M2317" s="43"/>
      <c r="N2317" s="43"/>
      <c r="O2317" s="43"/>
      <c r="P2317" s="43"/>
      <c r="Q2317" s="43"/>
      <c r="R2317" s="43"/>
      <c r="S2317" s="43"/>
      <c r="T2317" s="43"/>
      <c r="U2317" s="43"/>
      <c r="V2317" s="43"/>
    </row>
    <row r="2318" spans="1:22" ht="15.75" customHeight="1" x14ac:dyDescent="0.2">
      <c r="A2318" s="40"/>
      <c r="B2318" s="45" t="s">
        <v>102</v>
      </c>
      <c r="C2318" s="46" t="s">
        <v>2187</v>
      </c>
      <c r="D2318" s="46" t="s">
        <v>1171</v>
      </c>
      <c r="E2318" s="46" t="s">
        <v>357</v>
      </c>
      <c r="F2318" s="46" t="s">
        <v>2180</v>
      </c>
      <c r="G2318" s="46" t="s">
        <v>2163</v>
      </c>
      <c r="H2318" s="43"/>
      <c r="I2318" s="43"/>
      <c r="J2318" s="43"/>
      <c r="K2318" s="43"/>
      <c r="L2318" s="43"/>
      <c r="M2318" s="43"/>
      <c r="N2318" s="43"/>
      <c r="O2318" s="43"/>
      <c r="P2318" s="43"/>
      <c r="Q2318" s="43"/>
      <c r="R2318" s="43"/>
      <c r="S2318" s="43"/>
      <c r="T2318" s="43"/>
      <c r="U2318" s="43"/>
      <c r="V2318" s="43"/>
    </row>
    <row r="2319" spans="1:22" ht="15.75" customHeight="1" x14ac:dyDescent="0.2">
      <c r="A2319" s="40"/>
      <c r="B2319" s="45" t="s">
        <v>421</v>
      </c>
      <c r="C2319" s="46" t="s">
        <v>2187</v>
      </c>
      <c r="D2319" s="46" t="s">
        <v>1171</v>
      </c>
      <c r="E2319" s="46" t="s">
        <v>357</v>
      </c>
      <c r="F2319" s="46" t="s">
        <v>2180</v>
      </c>
      <c r="G2319" s="46" t="s">
        <v>2163</v>
      </c>
      <c r="H2319" s="43"/>
      <c r="I2319" s="43"/>
      <c r="J2319" s="43"/>
      <c r="K2319" s="43"/>
      <c r="L2319" s="43"/>
      <c r="M2319" s="43"/>
      <c r="N2319" s="43"/>
      <c r="O2319" s="43"/>
      <c r="P2319" s="43"/>
      <c r="Q2319" s="43"/>
      <c r="R2319" s="43"/>
      <c r="S2319" s="43"/>
      <c r="T2319" s="43"/>
      <c r="U2319" s="43"/>
      <c r="V2319" s="43"/>
    </row>
    <row r="2320" spans="1:22" ht="15.75" customHeight="1" x14ac:dyDescent="0.2">
      <c r="A2320" s="40"/>
      <c r="B2320" s="45" t="s">
        <v>108</v>
      </c>
      <c r="C2320" s="46" t="s">
        <v>2187</v>
      </c>
      <c r="D2320" s="46" t="s">
        <v>1171</v>
      </c>
      <c r="E2320" s="46" t="s">
        <v>357</v>
      </c>
      <c r="F2320" s="46" t="s">
        <v>2180</v>
      </c>
      <c r="G2320" s="46" t="s">
        <v>2163</v>
      </c>
      <c r="H2320" s="43"/>
      <c r="I2320" s="43"/>
      <c r="J2320" s="43"/>
      <c r="K2320" s="43"/>
      <c r="L2320" s="43"/>
      <c r="M2320" s="43"/>
      <c r="N2320" s="43"/>
      <c r="O2320" s="43"/>
      <c r="P2320" s="43"/>
      <c r="Q2320" s="43"/>
      <c r="R2320" s="43"/>
      <c r="S2320" s="43"/>
      <c r="T2320" s="43"/>
      <c r="U2320" s="43"/>
      <c r="V2320" s="43"/>
    </row>
    <row r="2321" spans="1:22" ht="15.75" customHeight="1" x14ac:dyDescent="0.2">
      <c r="A2321" s="40">
        <v>757</v>
      </c>
      <c r="B2321" s="41" t="s">
        <v>977</v>
      </c>
      <c r="C2321" s="42" t="s">
        <v>443</v>
      </c>
      <c r="D2321" s="42" t="s">
        <v>183</v>
      </c>
      <c r="E2321" s="42" t="s">
        <v>650</v>
      </c>
      <c r="F2321" s="42" t="s">
        <v>2180</v>
      </c>
      <c r="G2321" s="42" t="s">
        <v>2163</v>
      </c>
      <c r="H2321" s="43"/>
      <c r="I2321" s="43"/>
      <c r="J2321" s="43"/>
      <c r="K2321" s="43"/>
      <c r="L2321" s="43"/>
      <c r="M2321" s="43"/>
      <c r="N2321" s="43"/>
      <c r="O2321" s="43"/>
      <c r="P2321" s="43"/>
      <c r="Q2321" s="43"/>
      <c r="R2321" s="43"/>
      <c r="S2321" s="43"/>
      <c r="T2321" s="43"/>
      <c r="U2321" s="43"/>
      <c r="V2321" s="43"/>
    </row>
    <row r="2322" spans="1:22" ht="15.75" customHeight="1" x14ac:dyDescent="0.2">
      <c r="A2322" s="40"/>
      <c r="B2322" s="45" t="s">
        <v>421</v>
      </c>
      <c r="C2322" s="46" t="s">
        <v>443</v>
      </c>
      <c r="D2322" s="46" t="s">
        <v>441</v>
      </c>
      <c r="E2322" s="46" t="s">
        <v>32</v>
      </c>
      <c r="F2322" s="46" t="s">
        <v>2180</v>
      </c>
      <c r="G2322" s="46" t="s">
        <v>2163</v>
      </c>
      <c r="H2322" s="43"/>
      <c r="I2322" s="43"/>
      <c r="J2322" s="43"/>
      <c r="K2322" s="43"/>
      <c r="L2322" s="43"/>
      <c r="M2322" s="43"/>
      <c r="N2322" s="43"/>
      <c r="O2322" s="43"/>
      <c r="P2322" s="43"/>
      <c r="Q2322" s="43"/>
      <c r="R2322" s="43"/>
      <c r="S2322" s="43"/>
      <c r="T2322" s="43"/>
      <c r="U2322" s="43"/>
      <c r="V2322" s="43"/>
    </row>
    <row r="2323" spans="1:22" ht="15.75" customHeight="1" x14ac:dyDescent="0.2">
      <c r="A2323" s="40"/>
      <c r="B2323" s="45" t="s">
        <v>307</v>
      </c>
      <c r="C2323" s="46" t="s">
        <v>443</v>
      </c>
      <c r="D2323" s="46" t="s">
        <v>441</v>
      </c>
      <c r="E2323" s="46" t="s">
        <v>32</v>
      </c>
      <c r="F2323" s="46" t="s">
        <v>2180</v>
      </c>
      <c r="G2323" s="46" t="s">
        <v>2163</v>
      </c>
      <c r="H2323" s="43"/>
      <c r="I2323" s="43"/>
      <c r="J2323" s="43"/>
      <c r="K2323" s="43"/>
      <c r="L2323" s="43"/>
      <c r="M2323" s="43"/>
      <c r="N2323" s="43"/>
      <c r="O2323" s="43"/>
      <c r="P2323" s="43"/>
      <c r="Q2323" s="43"/>
      <c r="R2323" s="43"/>
      <c r="S2323" s="43"/>
      <c r="T2323" s="43"/>
      <c r="U2323" s="43"/>
      <c r="V2323" s="43"/>
    </row>
    <row r="2324" spans="1:22" ht="15.75" customHeight="1" x14ac:dyDescent="0.2">
      <c r="A2324" s="40"/>
      <c r="B2324" s="45" t="s">
        <v>88</v>
      </c>
      <c r="C2324" s="46" t="s">
        <v>443</v>
      </c>
      <c r="D2324" s="46" t="s">
        <v>441</v>
      </c>
      <c r="E2324" s="46" t="s">
        <v>32</v>
      </c>
      <c r="F2324" s="46" t="s">
        <v>2180</v>
      </c>
      <c r="G2324" s="46" t="s">
        <v>2163</v>
      </c>
      <c r="H2324" s="43"/>
      <c r="I2324" s="43"/>
      <c r="J2324" s="43"/>
      <c r="K2324" s="43"/>
      <c r="L2324" s="43"/>
      <c r="M2324" s="43"/>
      <c r="N2324" s="43"/>
      <c r="O2324" s="43"/>
      <c r="P2324" s="43"/>
      <c r="Q2324" s="43"/>
      <c r="R2324" s="43"/>
      <c r="S2324" s="43"/>
      <c r="T2324" s="43"/>
      <c r="U2324" s="43"/>
      <c r="V2324" s="43"/>
    </row>
    <row r="2325" spans="1:22" ht="15.75" customHeight="1" x14ac:dyDescent="0.2">
      <c r="A2325" s="40"/>
      <c r="B2325" s="45" t="s">
        <v>297</v>
      </c>
      <c r="C2325" s="46" t="s">
        <v>2188</v>
      </c>
      <c r="D2325" s="46" t="s">
        <v>120</v>
      </c>
      <c r="E2325" s="46" t="s">
        <v>40</v>
      </c>
      <c r="F2325" s="46" t="s">
        <v>2180</v>
      </c>
      <c r="G2325" s="46" t="s">
        <v>2163</v>
      </c>
      <c r="H2325" s="43"/>
      <c r="I2325" s="43"/>
      <c r="J2325" s="43"/>
      <c r="K2325" s="43"/>
      <c r="L2325" s="43"/>
      <c r="M2325" s="43"/>
      <c r="N2325" s="43"/>
      <c r="O2325" s="43"/>
      <c r="P2325" s="43"/>
      <c r="Q2325" s="43"/>
      <c r="R2325" s="43"/>
      <c r="S2325" s="43"/>
      <c r="T2325" s="43"/>
      <c r="U2325" s="43"/>
      <c r="V2325" s="43"/>
    </row>
    <row r="2326" spans="1:22" ht="15.75" customHeight="1" x14ac:dyDescent="0.2">
      <c r="A2326" s="40"/>
      <c r="B2326" s="45" t="s">
        <v>300</v>
      </c>
      <c r="C2326" s="46" t="s">
        <v>2188</v>
      </c>
      <c r="D2326" s="46" t="s">
        <v>120</v>
      </c>
      <c r="E2326" s="46" t="s">
        <v>40</v>
      </c>
      <c r="F2326" s="46" t="s">
        <v>2180</v>
      </c>
      <c r="G2326" s="46" t="s">
        <v>2163</v>
      </c>
      <c r="H2326" s="43"/>
      <c r="I2326" s="43"/>
      <c r="J2326" s="43"/>
      <c r="K2326" s="43"/>
      <c r="L2326" s="43"/>
      <c r="M2326" s="43"/>
      <c r="N2326" s="43"/>
      <c r="O2326" s="43"/>
      <c r="P2326" s="43"/>
      <c r="Q2326" s="43"/>
      <c r="R2326" s="43"/>
      <c r="S2326" s="43"/>
      <c r="T2326" s="43"/>
      <c r="U2326" s="43"/>
      <c r="V2326" s="43"/>
    </row>
    <row r="2327" spans="1:22" ht="15.75" customHeight="1" x14ac:dyDescent="0.2">
      <c r="A2327" s="40"/>
      <c r="B2327" s="45" t="s">
        <v>88</v>
      </c>
      <c r="C2327" s="46" t="s">
        <v>2188</v>
      </c>
      <c r="D2327" s="46" t="s">
        <v>120</v>
      </c>
      <c r="E2327" s="46" t="s">
        <v>40</v>
      </c>
      <c r="F2327" s="46" t="s">
        <v>2180</v>
      </c>
      <c r="G2327" s="46" t="s">
        <v>2163</v>
      </c>
      <c r="H2327" s="43"/>
      <c r="I2327" s="43"/>
      <c r="J2327" s="43"/>
      <c r="K2327" s="43"/>
      <c r="L2327" s="43"/>
      <c r="M2327" s="43"/>
      <c r="N2327" s="43"/>
      <c r="O2327" s="43"/>
      <c r="P2327" s="43"/>
      <c r="Q2327" s="43"/>
      <c r="R2327" s="43"/>
      <c r="S2327" s="43"/>
      <c r="T2327" s="43"/>
      <c r="U2327" s="43"/>
      <c r="V2327" s="43"/>
    </row>
    <row r="2328" spans="1:22" ht="15.75" customHeight="1" x14ac:dyDescent="0.2">
      <c r="A2328" s="40"/>
      <c r="B2328" s="45" t="s">
        <v>315</v>
      </c>
      <c r="C2328" s="46" t="s">
        <v>2189</v>
      </c>
      <c r="D2328" s="46" t="s">
        <v>399</v>
      </c>
      <c r="E2328" s="46" t="s">
        <v>259</v>
      </c>
      <c r="F2328" s="46" t="s">
        <v>2180</v>
      </c>
      <c r="G2328" s="46" t="s">
        <v>2163</v>
      </c>
      <c r="H2328" s="43"/>
      <c r="I2328" s="43"/>
      <c r="J2328" s="43"/>
      <c r="K2328" s="43"/>
      <c r="L2328" s="43"/>
      <c r="M2328" s="43"/>
      <c r="N2328" s="43"/>
      <c r="O2328" s="43"/>
      <c r="P2328" s="43"/>
      <c r="Q2328" s="43"/>
      <c r="R2328" s="43"/>
      <c r="S2328" s="43"/>
      <c r="T2328" s="43"/>
      <c r="U2328" s="43"/>
      <c r="V2328" s="43"/>
    </row>
    <row r="2329" spans="1:22" ht="15.75" customHeight="1" x14ac:dyDescent="0.2">
      <c r="A2329" s="40"/>
      <c r="B2329" s="45" t="s">
        <v>316</v>
      </c>
      <c r="C2329" s="46" t="s">
        <v>2189</v>
      </c>
      <c r="D2329" s="46" t="s">
        <v>399</v>
      </c>
      <c r="E2329" s="46" t="s">
        <v>259</v>
      </c>
      <c r="F2329" s="46" t="s">
        <v>2180</v>
      </c>
      <c r="G2329" s="46" t="s">
        <v>2163</v>
      </c>
      <c r="H2329" s="43"/>
      <c r="I2329" s="43"/>
      <c r="J2329" s="43"/>
      <c r="K2329" s="43"/>
      <c r="L2329" s="43"/>
      <c r="M2329" s="43"/>
      <c r="N2329" s="43"/>
      <c r="O2329" s="43"/>
      <c r="P2329" s="43"/>
      <c r="Q2329" s="43"/>
      <c r="R2329" s="43"/>
      <c r="S2329" s="43"/>
      <c r="T2329" s="43"/>
      <c r="U2329" s="43"/>
      <c r="V2329" s="43"/>
    </row>
    <row r="2330" spans="1:22" ht="15.75" customHeight="1" x14ac:dyDescent="0.2">
      <c r="A2330" s="40"/>
      <c r="B2330" s="45" t="s">
        <v>88</v>
      </c>
      <c r="C2330" s="46" t="s">
        <v>2189</v>
      </c>
      <c r="D2330" s="46" t="s">
        <v>399</v>
      </c>
      <c r="E2330" s="46" t="s">
        <v>259</v>
      </c>
      <c r="F2330" s="46" t="s">
        <v>2180</v>
      </c>
      <c r="G2330" s="46" t="s">
        <v>2163</v>
      </c>
      <c r="H2330" s="43"/>
      <c r="I2330" s="43"/>
      <c r="J2330" s="43"/>
      <c r="K2330" s="43"/>
      <c r="L2330" s="43"/>
      <c r="M2330" s="43"/>
      <c r="N2330" s="43"/>
      <c r="O2330" s="43"/>
      <c r="P2330" s="43"/>
      <c r="Q2330" s="43"/>
      <c r="R2330" s="43"/>
      <c r="S2330" s="43"/>
      <c r="T2330" s="43"/>
      <c r="U2330" s="43"/>
      <c r="V2330" s="43"/>
    </row>
    <row r="2331" spans="1:22" ht="15.75" customHeight="1" x14ac:dyDescent="0.2">
      <c r="A2331" s="40"/>
      <c r="B2331" s="45" t="s">
        <v>118</v>
      </c>
      <c r="C2331" s="46" t="s">
        <v>274</v>
      </c>
      <c r="D2331" s="46" t="s">
        <v>309</v>
      </c>
      <c r="E2331" s="46" t="s">
        <v>79</v>
      </c>
      <c r="F2331" s="46" t="s">
        <v>2180</v>
      </c>
      <c r="G2331" s="46" t="s">
        <v>2163</v>
      </c>
      <c r="H2331" s="43"/>
      <c r="I2331" s="43"/>
      <c r="J2331" s="43"/>
      <c r="K2331" s="43"/>
      <c r="L2331" s="43"/>
      <c r="M2331" s="43"/>
      <c r="N2331" s="43"/>
      <c r="O2331" s="43"/>
      <c r="P2331" s="43"/>
      <c r="Q2331" s="43"/>
      <c r="R2331" s="43"/>
      <c r="S2331" s="43"/>
      <c r="T2331" s="43"/>
      <c r="U2331" s="43"/>
      <c r="V2331" s="43"/>
    </row>
    <row r="2332" spans="1:22" ht="15.75" customHeight="1" x14ac:dyDescent="0.2">
      <c r="A2332" s="40"/>
      <c r="B2332" s="45" t="s">
        <v>121</v>
      </c>
      <c r="C2332" s="46" t="s">
        <v>274</v>
      </c>
      <c r="D2332" s="46" t="s">
        <v>309</v>
      </c>
      <c r="E2332" s="46" t="s">
        <v>79</v>
      </c>
      <c r="F2332" s="46" t="s">
        <v>2180</v>
      </c>
      <c r="G2332" s="46" t="s">
        <v>2163</v>
      </c>
      <c r="H2332" s="43"/>
      <c r="I2332" s="43"/>
      <c r="J2332" s="43"/>
      <c r="K2332" s="43"/>
      <c r="L2332" s="43"/>
      <c r="M2332" s="43"/>
      <c r="N2332" s="43"/>
      <c r="O2332" s="43"/>
      <c r="P2332" s="43"/>
      <c r="Q2332" s="43"/>
      <c r="R2332" s="43"/>
      <c r="S2332" s="43"/>
      <c r="T2332" s="43"/>
      <c r="U2332" s="43"/>
      <c r="V2332" s="43"/>
    </row>
    <row r="2333" spans="1:22" ht="15.75" customHeight="1" x14ac:dyDescent="0.2">
      <c r="A2333" s="40"/>
      <c r="B2333" s="45" t="s">
        <v>88</v>
      </c>
      <c r="C2333" s="46" t="s">
        <v>274</v>
      </c>
      <c r="D2333" s="46" t="s">
        <v>309</v>
      </c>
      <c r="E2333" s="46" t="s">
        <v>79</v>
      </c>
      <c r="F2333" s="46" t="s">
        <v>2180</v>
      </c>
      <c r="G2333" s="46" t="s">
        <v>2163</v>
      </c>
      <c r="H2333" s="43"/>
      <c r="I2333" s="43"/>
      <c r="J2333" s="43"/>
      <c r="K2333" s="43"/>
      <c r="L2333" s="43"/>
      <c r="M2333" s="43"/>
      <c r="N2333" s="43"/>
      <c r="O2333" s="43"/>
      <c r="P2333" s="43"/>
      <c r="Q2333" s="43"/>
      <c r="R2333" s="43"/>
      <c r="S2333" s="43"/>
      <c r="T2333" s="43"/>
      <c r="U2333" s="43"/>
      <c r="V2333" s="43"/>
    </row>
    <row r="2334" spans="1:22" ht="15.75" customHeight="1" x14ac:dyDescent="0.2">
      <c r="A2334" s="40">
        <v>1057</v>
      </c>
      <c r="B2334" s="41" t="s">
        <v>464</v>
      </c>
      <c r="C2334" s="42" t="s">
        <v>2190</v>
      </c>
      <c r="D2334" s="42" t="s">
        <v>992</v>
      </c>
      <c r="E2334" s="42" t="s">
        <v>424</v>
      </c>
      <c r="F2334" s="42" t="s">
        <v>2180</v>
      </c>
      <c r="G2334" s="42" t="s">
        <v>2163</v>
      </c>
      <c r="H2334" s="43"/>
      <c r="I2334" s="43"/>
      <c r="J2334" s="43"/>
      <c r="K2334" s="43"/>
      <c r="L2334" s="43"/>
      <c r="M2334" s="43"/>
      <c r="N2334" s="43"/>
      <c r="O2334" s="43"/>
      <c r="P2334" s="43"/>
      <c r="Q2334" s="43"/>
      <c r="R2334" s="43"/>
      <c r="S2334" s="43"/>
      <c r="T2334" s="43"/>
      <c r="U2334" s="43"/>
      <c r="V2334" s="43"/>
    </row>
    <row r="2335" spans="1:22" ht="15.75" customHeight="1" x14ac:dyDescent="0.2">
      <c r="A2335" s="40">
        <v>1749</v>
      </c>
      <c r="B2335" s="41" t="s">
        <v>465</v>
      </c>
      <c r="C2335" s="42" t="s">
        <v>2190</v>
      </c>
      <c r="D2335" s="42" t="s">
        <v>992</v>
      </c>
      <c r="E2335" s="42" t="s">
        <v>424</v>
      </c>
      <c r="F2335" s="42" t="s">
        <v>2180</v>
      </c>
      <c r="G2335" s="42" t="s">
        <v>2163</v>
      </c>
      <c r="H2335" s="43"/>
      <c r="I2335" s="43"/>
      <c r="J2335" s="43"/>
      <c r="K2335" s="43"/>
      <c r="L2335" s="43"/>
      <c r="M2335" s="43"/>
      <c r="N2335" s="43"/>
      <c r="O2335" s="43"/>
      <c r="P2335" s="43"/>
      <c r="Q2335" s="43"/>
      <c r="R2335" s="43"/>
      <c r="S2335" s="43"/>
      <c r="T2335" s="43"/>
      <c r="U2335" s="43"/>
      <c r="V2335" s="43"/>
    </row>
    <row r="2336" spans="1:22" ht="15.75" customHeight="1" x14ac:dyDescent="0.2">
      <c r="A2336" s="40">
        <v>2091</v>
      </c>
      <c r="B2336" s="41" t="s">
        <v>653</v>
      </c>
      <c r="C2336" s="42" t="s">
        <v>2190</v>
      </c>
      <c r="D2336" s="42" t="s">
        <v>992</v>
      </c>
      <c r="E2336" s="42" t="s">
        <v>424</v>
      </c>
      <c r="F2336" s="42" t="s">
        <v>2180</v>
      </c>
      <c r="G2336" s="42" t="s">
        <v>2163</v>
      </c>
      <c r="H2336" s="43"/>
      <c r="I2336" s="43"/>
      <c r="J2336" s="43"/>
      <c r="K2336" s="43"/>
      <c r="L2336" s="43"/>
      <c r="M2336" s="43"/>
      <c r="N2336" s="43"/>
      <c r="O2336" s="43"/>
      <c r="P2336" s="43"/>
      <c r="Q2336" s="43"/>
      <c r="R2336" s="43"/>
      <c r="S2336" s="43"/>
      <c r="T2336" s="43"/>
      <c r="U2336" s="43"/>
      <c r="V2336" s="43"/>
    </row>
    <row r="2337" spans="1:22" ht="15.75" customHeight="1" x14ac:dyDescent="0.2">
      <c r="A2337" s="40">
        <v>383</v>
      </c>
      <c r="B2337" s="41" t="s">
        <v>246</v>
      </c>
      <c r="C2337" s="42" t="s">
        <v>2191</v>
      </c>
      <c r="D2337" s="42" t="s">
        <v>491</v>
      </c>
      <c r="E2337" s="42" t="s">
        <v>87</v>
      </c>
      <c r="F2337" s="42" t="s">
        <v>2192</v>
      </c>
      <c r="G2337" s="42" t="s">
        <v>2193</v>
      </c>
      <c r="H2337" s="43"/>
      <c r="I2337" s="43"/>
      <c r="J2337" s="43"/>
      <c r="K2337" s="43"/>
      <c r="L2337" s="43"/>
      <c r="M2337" s="43"/>
      <c r="N2337" s="43"/>
      <c r="O2337" s="43"/>
      <c r="P2337" s="43"/>
      <c r="Q2337" s="43"/>
      <c r="R2337" s="43"/>
      <c r="S2337" s="43"/>
      <c r="T2337" s="43"/>
      <c r="U2337" s="43"/>
      <c r="V2337" s="43"/>
    </row>
    <row r="2338" spans="1:22" ht="15.75" customHeight="1" x14ac:dyDescent="0.2">
      <c r="A2338" s="40">
        <v>2151</v>
      </c>
      <c r="B2338" s="41" t="s">
        <v>281</v>
      </c>
      <c r="C2338" s="42" t="s">
        <v>2191</v>
      </c>
      <c r="D2338" s="42" t="s">
        <v>491</v>
      </c>
      <c r="E2338" s="42" t="s">
        <v>87</v>
      </c>
      <c r="F2338" s="42" t="s">
        <v>2192</v>
      </c>
      <c r="G2338" s="42" t="s">
        <v>2193</v>
      </c>
      <c r="H2338" s="43"/>
      <c r="I2338" s="43"/>
      <c r="J2338" s="43"/>
      <c r="K2338" s="43"/>
      <c r="L2338" s="43"/>
      <c r="M2338" s="43"/>
      <c r="N2338" s="43"/>
      <c r="O2338" s="43"/>
      <c r="P2338" s="43"/>
      <c r="Q2338" s="43"/>
      <c r="R2338" s="43"/>
      <c r="S2338" s="43"/>
      <c r="T2338" s="43"/>
      <c r="U2338" s="43"/>
      <c r="V2338" s="43"/>
    </row>
    <row r="2339" spans="1:22" ht="15.75" customHeight="1" x14ac:dyDescent="0.2">
      <c r="A2339" s="40"/>
      <c r="B2339" s="45" t="s">
        <v>126</v>
      </c>
      <c r="C2339" s="46" t="s">
        <v>2194</v>
      </c>
      <c r="D2339" s="46" t="s">
        <v>272</v>
      </c>
      <c r="E2339" s="46" t="s">
        <v>79</v>
      </c>
      <c r="F2339" s="46" t="s">
        <v>2192</v>
      </c>
      <c r="G2339" s="46" t="s">
        <v>2193</v>
      </c>
      <c r="H2339" s="43"/>
      <c r="I2339" s="43"/>
      <c r="J2339" s="43"/>
      <c r="K2339" s="43"/>
      <c r="L2339" s="43"/>
      <c r="M2339" s="43"/>
      <c r="N2339" s="43"/>
      <c r="O2339" s="43"/>
      <c r="P2339" s="43"/>
      <c r="Q2339" s="43"/>
      <c r="R2339" s="43"/>
      <c r="S2339" s="43"/>
      <c r="T2339" s="43"/>
      <c r="U2339" s="43"/>
      <c r="V2339" s="43"/>
    </row>
    <row r="2340" spans="1:22" ht="15.75" customHeight="1" x14ac:dyDescent="0.2">
      <c r="A2340" s="40"/>
      <c r="B2340" s="45" t="s">
        <v>94</v>
      </c>
      <c r="C2340" s="46" t="s">
        <v>2194</v>
      </c>
      <c r="D2340" s="46" t="s">
        <v>272</v>
      </c>
      <c r="E2340" s="46" t="s">
        <v>79</v>
      </c>
      <c r="F2340" s="46" t="s">
        <v>2192</v>
      </c>
      <c r="G2340" s="46" t="s">
        <v>2193</v>
      </c>
      <c r="H2340" s="43"/>
      <c r="I2340" s="43"/>
      <c r="J2340" s="43"/>
      <c r="K2340" s="43"/>
      <c r="L2340" s="43"/>
      <c r="M2340" s="43"/>
      <c r="N2340" s="43"/>
      <c r="O2340" s="43"/>
      <c r="P2340" s="43"/>
      <c r="Q2340" s="43"/>
      <c r="R2340" s="43"/>
      <c r="S2340" s="43"/>
      <c r="T2340" s="43"/>
      <c r="U2340" s="43"/>
      <c r="V2340" s="43"/>
    </row>
    <row r="2341" spans="1:22" ht="15.75" customHeight="1" x14ac:dyDescent="0.2">
      <c r="A2341" s="40"/>
      <c r="B2341" s="45" t="s">
        <v>126</v>
      </c>
      <c r="C2341" s="46" t="s">
        <v>2195</v>
      </c>
      <c r="D2341" s="46" t="s">
        <v>73</v>
      </c>
      <c r="E2341" s="46" t="s">
        <v>326</v>
      </c>
      <c r="F2341" s="46" t="s">
        <v>2192</v>
      </c>
      <c r="G2341" s="46" t="s">
        <v>2193</v>
      </c>
      <c r="H2341" s="43"/>
      <c r="I2341" s="43"/>
      <c r="J2341" s="43"/>
      <c r="K2341" s="43"/>
      <c r="L2341" s="43"/>
      <c r="M2341" s="43"/>
      <c r="N2341" s="43"/>
      <c r="O2341" s="43"/>
      <c r="P2341" s="43"/>
      <c r="Q2341" s="43"/>
      <c r="R2341" s="43"/>
      <c r="S2341" s="43"/>
      <c r="T2341" s="43"/>
      <c r="U2341" s="43"/>
      <c r="V2341" s="43"/>
    </row>
    <row r="2342" spans="1:22" ht="15.75" customHeight="1" x14ac:dyDescent="0.2">
      <c r="A2342" s="40"/>
      <c r="B2342" s="45" t="s">
        <v>94</v>
      </c>
      <c r="C2342" s="46" t="s">
        <v>2195</v>
      </c>
      <c r="D2342" s="46" t="s">
        <v>73</v>
      </c>
      <c r="E2342" s="46" t="s">
        <v>326</v>
      </c>
      <c r="F2342" s="46" t="s">
        <v>2192</v>
      </c>
      <c r="G2342" s="46" t="s">
        <v>2193</v>
      </c>
      <c r="H2342" s="43"/>
      <c r="I2342" s="43"/>
      <c r="J2342" s="43"/>
      <c r="K2342" s="43"/>
      <c r="L2342" s="43"/>
      <c r="M2342" s="43"/>
      <c r="N2342" s="43"/>
      <c r="O2342" s="43"/>
      <c r="P2342" s="43"/>
      <c r="Q2342" s="43"/>
      <c r="R2342" s="43"/>
      <c r="S2342" s="43"/>
      <c r="T2342" s="43"/>
      <c r="U2342" s="43"/>
      <c r="V2342" s="43"/>
    </row>
    <row r="2343" spans="1:22" ht="15.75" customHeight="1" x14ac:dyDescent="0.2">
      <c r="A2343" s="40">
        <v>275</v>
      </c>
      <c r="B2343" s="41" t="s">
        <v>896</v>
      </c>
      <c r="C2343" s="42" t="s">
        <v>2196</v>
      </c>
      <c r="D2343" s="42" t="s">
        <v>21</v>
      </c>
      <c r="E2343" s="42" t="s">
        <v>306</v>
      </c>
      <c r="F2343" s="42" t="s">
        <v>2197</v>
      </c>
      <c r="G2343" s="42" t="s">
        <v>2193</v>
      </c>
    </row>
    <row r="2344" spans="1:22" ht="15.75" customHeight="1" x14ac:dyDescent="0.2">
      <c r="A2344" s="40">
        <v>853</v>
      </c>
      <c r="B2344" s="41" t="s">
        <v>975</v>
      </c>
      <c r="C2344" s="42" t="s">
        <v>2198</v>
      </c>
      <c r="D2344" s="42" t="s">
        <v>534</v>
      </c>
      <c r="E2344" s="42" t="s">
        <v>1566</v>
      </c>
      <c r="F2344" s="42" t="s">
        <v>2199</v>
      </c>
      <c r="G2344" s="42" t="s">
        <v>2193</v>
      </c>
    </row>
    <row r="2345" spans="1:22" ht="15.75" customHeight="1" x14ac:dyDescent="0.2">
      <c r="A2345" s="40">
        <v>855</v>
      </c>
      <c r="B2345" s="41" t="s">
        <v>975</v>
      </c>
      <c r="C2345" s="42" t="s">
        <v>833</v>
      </c>
      <c r="D2345" s="42" t="s">
        <v>1497</v>
      </c>
      <c r="E2345" s="42" t="s">
        <v>259</v>
      </c>
      <c r="F2345" s="42" t="s">
        <v>2199</v>
      </c>
      <c r="G2345" s="42" t="s">
        <v>2193</v>
      </c>
    </row>
    <row r="2346" spans="1:22" ht="15.75" customHeight="1" x14ac:dyDescent="0.2">
      <c r="A2346" s="40">
        <v>2471</v>
      </c>
      <c r="B2346" s="41" t="s">
        <v>16</v>
      </c>
      <c r="C2346" s="42" t="s">
        <v>2198</v>
      </c>
      <c r="D2346" s="42" t="s">
        <v>534</v>
      </c>
      <c r="E2346" s="42" t="s">
        <v>1566</v>
      </c>
      <c r="F2346" s="42" t="s">
        <v>2199</v>
      </c>
      <c r="G2346" s="42" t="s">
        <v>2193</v>
      </c>
    </row>
    <row r="2347" spans="1:22" ht="15.75" customHeight="1" x14ac:dyDescent="0.2">
      <c r="A2347" s="40">
        <v>2473</v>
      </c>
      <c r="B2347" s="41" t="s">
        <v>16</v>
      </c>
      <c r="C2347" s="42" t="s">
        <v>833</v>
      </c>
      <c r="D2347" s="42" t="s">
        <v>1497</v>
      </c>
      <c r="E2347" s="42" t="s">
        <v>259</v>
      </c>
      <c r="F2347" s="42" t="s">
        <v>2199</v>
      </c>
      <c r="G2347" s="42" t="s">
        <v>2193</v>
      </c>
    </row>
    <row r="2348" spans="1:22" ht="15.75" customHeight="1" x14ac:dyDescent="0.2">
      <c r="A2348" s="40">
        <v>837</v>
      </c>
      <c r="B2348" s="41" t="s">
        <v>971</v>
      </c>
      <c r="C2348" s="42" t="s">
        <v>2200</v>
      </c>
      <c r="D2348" s="42" t="s">
        <v>31</v>
      </c>
      <c r="E2348" s="42" t="s">
        <v>1212</v>
      </c>
      <c r="F2348" s="42" t="s">
        <v>2201</v>
      </c>
      <c r="G2348" s="42" t="s">
        <v>2193</v>
      </c>
    </row>
    <row r="2349" spans="1:22" ht="15.75" customHeight="1" x14ac:dyDescent="0.2">
      <c r="A2349" s="40">
        <v>839</v>
      </c>
      <c r="B2349" s="41" t="s">
        <v>971</v>
      </c>
      <c r="C2349" s="42" t="s">
        <v>700</v>
      </c>
      <c r="D2349" s="42" t="s">
        <v>78</v>
      </c>
      <c r="E2349" s="42" t="s">
        <v>32</v>
      </c>
      <c r="F2349" s="42" t="s">
        <v>2201</v>
      </c>
      <c r="G2349" s="42" t="s">
        <v>2193</v>
      </c>
    </row>
    <row r="2350" spans="1:22" ht="15.75" customHeight="1" x14ac:dyDescent="0.2">
      <c r="A2350" s="40"/>
      <c r="B2350" s="45" t="s">
        <v>45</v>
      </c>
      <c r="C2350" s="46" t="s">
        <v>655</v>
      </c>
      <c r="D2350" s="46" t="s">
        <v>1171</v>
      </c>
      <c r="E2350" s="46" t="s">
        <v>259</v>
      </c>
      <c r="F2350" s="46" t="s">
        <v>2201</v>
      </c>
      <c r="G2350" s="46" t="s">
        <v>2193</v>
      </c>
    </row>
    <row r="2351" spans="1:22" ht="15.75" customHeight="1" x14ac:dyDescent="0.2">
      <c r="A2351" s="40">
        <v>1531</v>
      </c>
      <c r="B2351" s="41" t="s">
        <v>263</v>
      </c>
      <c r="C2351" s="42" t="s">
        <v>2202</v>
      </c>
      <c r="D2351" s="42" t="s">
        <v>513</v>
      </c>
      <c r="E2351" s="42" t="s">
        <v>18</v>
      </c>
      <c r="F2351" s="42" t="s">
        <v>2203</v>
      </c>
      <c r="G2351" s="42" t="s">
        <v>2193</v>
      </c>
    </row>
    <row r="2352" spans="1:22" ht="15.75" customHeight="1" x14ac:dyDescent="0.2">
      <c r="A2352" s="40"/>
      <c r="B2352" s="45" t="s">
        <v>102</v>
      </c>
      <c r="C2352" s="46" t="s">
        <v>2204</v>
      </c>
      <c r="D2352" s="46" t="s">
        <v>58</v>
      </c>
      <c r="E2352" s="46" t="s">
        <v>40</v>
      </c>
      <c r="F2352" s="46" t="s">
        <v>2203</v>
      </c>
      <c r="G2352" s="46" t="s">
        <v>2193</v>
      </c>
    </row>
    <row r="2353" spans="1:7" ht="15.75" customHeight="1" x14ac:dyDescent="0.2">
      <c r="A2353" s="40"/>
      <c r="B2353" s="45" t="s">
        <v>297</v>
      </c>
      <c r="C2353" s="46" t="s">
        <v>2205</v>
      </c>
      <c r="D2353" s="46" t="s">
        <v>1401</v>
      </c>
      <c r="E2353" s="46" t="s">
        <v>326</v>
      </c>
      <c r="F2353" s="46" t="s">
        <v>2203</v>
      </c>
      <c r="G2353" s="46" t="s">
        <v>2193</v>
      </c>
    </row>
    <row r="2354" spans="1:7" ht="15.75" customHeight="1" x14ac:dyDescent="0.2">
      <c r="A2354" s="40"/>
      <c r="B2354" s="45" t="s">
        <v>315</v>
      </c>
      <c r="C2354" s="46" t="s">
        <v>2206</v>
      </c>
      <c r="D2354" s="46" t="s">
        <v>474</v>
      </c>
      <c r="E2354" s="46" t="s">
        <v>319</v>
      </c>
      <c r="F2354" s="46" t="s">
        <v>2203</v>
      </c>
      <c r="G2354" s="46" t="s">
        <v>2193</v>
      </c>
    </row>
    <row r="2355" spans="1:7" ht="15.75" customHeight="1" x14ac:dyDescent="0.2">
      <c r="A2355" s="40"/>
      <c r="B2355" s="45" t="s">
        <v>315</v>
      </c>
      <c r="C2355" s="46" t="s">
        <v>878</v>
      </c>
      <c r="D2355" s="46" t="s">
        <v>557</v>
      </c>
      <c r="E2355" s="46" t="s">
        <v>32</v>
      </c>
      <c r="F2355" s="46" t="s">
        <v>2203</v>
      </c>
      <c r="G2355" s="46" t="s">
        <v>2193</v>
      </c>
    </row>
    <row r="2356" spans="1:7" ht="15.75" customHeight="1" x14ac:dyDescent="0.2">
      <c r="A2356" s="40">
        <v>833</v>
      </c>
      <c r="B2356" s="41" t="s">
        <v>971</v>
      </c>
      <c r="C2356" s="42" t="s">
        <v>2207</v>
      </c>
      <c r="D2356" s="42" t="s">
        <v>39</v>
      </c>
      <c r="E2356" s="42" t="s">
        <v>306</v>
      </c>
      <c r="F2356" s="42" t="s">
        <v>2208</v>
      </c>
      <c r="G2356" s="42" t="s">
        <v>2193</v>
      </c>
    </row>
    <row r="2357" spans="1:7" ht="15.75" customHeight="1" x14ac:dyDescent="0.2">
      <c r="A2357" s="40">
        <v>847</v>
      </c>
      <c r="B2357" s="41" t="s">
        <v>980</v>
      </c>
      <c r="C2357" s="42" t="s">
        <v>2209</v>
      </c>
      <c r="D2357" s="42" t="s">
        <v>388</v>
      </c>
      <c r="E2357" s="42" t="s">
        <v>259</v>
      </c>
      <c r="F2357" s="42" t="s">
        <v>2208</v>
      </c>
      <c r="G2357" s="42" t="s">
        <v>2193</v>
      </c>
    </row>
    <row r="2358" spans="1:7" ht="15.75" customHeight="1" x14ac:dyDescent="0.2">
      <c r="A2358" s="40">
        <v>857</v>
      </c>
      <c r="B2358" s="41" t="s">
        <v>975</v>
      </c>
      <c r="C2358" s="42" t="s">
        <v>2210</v>
      </c>
      <c r="D2358" s="42" t="s">
        <v>593</v>
      </c>
      <c r="E2358" s="42" t="s">
        <v>530</v>
      </c>
      <c r="F2358" s="42" t="s">
        <v>2208</v>
      </c>
      <c r="G2358" s="42" t="s">
        <v>2193</v>
      </c>
    </row>
    <row r="2359" spans="1:7" ht="15.75" customHeight="1" x14ac:dyDescent="0.2">
      <c r="A2359" s="40">
        <v>2387</v>
      </c>
      <c r="B2359" s="41" t="s">
        <v>150</v>
      </c>
      <c r="C2359" s="42" t="s">
        <v>2209</v>
      </c>
      <c r="D2359" s="42" t="s">
        <v>388</v>
      </c>
      <c r="E2359" s="42" t="s">
        <v>259</v>
      </c>
      <c r="F2359" s="42" t="s">
        <v>2208</v>
      </c>
      <c r="G2359" s="42" t="s">
        <v>2193</v>
      </c>
    </row>
    <row r="2360" spans="1:7" ht="15.75" customHeight="1" x14ac:dyDescent="0.2">
      <c r="A2360" s="40">
        <v>2401</v>
      </c>
      <c r="B2360" s="41" t="s">
        <v>154</v>
      </c>
      <c r="C2360" s="42" t="s">
        <v>2207</v>
      </c>
      <c r="D2360" s="42" t="s">
        <v>39</v>
      </c>
      <c r="E2360" s="42" t="s">
        <v>306</v>
      </c>
      <c r="F2360" s="42" t="s">
        <v>2208</v>
      </c>
      <c r="G2360" s="42" t="s">
        <v>2193</v>
      </c>
    </row>
    <row r="2361" spans="1:7" ht="15.75" customHeight="1" x14ac:dyDescent="0.2">
      <c r="A2361" s="40"/>
      <c r="B2361" s="45" t="s">
        <v>33</v>
      </c>
      <c r="C2361" s="46" t="s">
        <v>2211</v>
      </c>
      <c r="D2361" s="46" t="s">
        <v>339</v>
      </c>
      <c r="E2361" s="46" t="s">
        <v>40</v>
      </c>
      <c r="F2361" s="46" t="s">
        <v>2208</v>
      </c>
      <c r="G2361" s="46" t="s">
        <v>2193</v>
      </c>
    </row>
    <row r="2362" spans="1:7" ht="15.75" customHeight="1" x14ac:dyDescent="0.2">
      <c r="A2362" s="40"/>
      <c r="B2362" s="45" t="s">
        <v>45</v>
      </c>
      <c r="C2362" s="46" t="s">
        <v>2211</v>
      </c>
      <c r="D2362" s="46" t="s">
        <v>339</v>
      </c>
      <c r="E2362" s="46" t="s">
        <v>40</v>
      </c>
      <c r="F2362" s="46" t="s">
        <v>2208</v>
      </c>
      <c r="G2362" s="46" t="s">
        <v>2193</v>
      </c>
    </row>
    <row r="2363" spans="1:7" ht="15.75" customHeight="1" x14ac:dyDescent="0.2">
      <c r="A2363" s="40"/>
      <c r="B2363" s="45" t="s">
        <v>84</v>
      </c>
      <c r="C2363" s="46" t="s">
        <v>2212</v>
      </c>
      <c r="D2363" s="46" t="s">
        <v>345</v>
      </c>
      <c r="E2363" s="46" t="s">
        <v>259</v>
      </c>
      <c r="F2363" s="46" t="s">
        <v>2208</v>
      </c>
      <c r="G2363" s="46" t="s">
        <v>2193</v>
      </c>
    </row>
    <row r="2364" spans="1:7" ht="15.75" customHeight="1" x14ac:dyDescent="0.2">
      <c r="A2364" s="40"/>
      <c r="B2364" s="45" t="s">
        <v>45</v>
      </c>
      <c r="C2364" s="46" t="s">
        <v>2212</v>
      </c>
      <c r="D2364" s="46" t="s">
        <v>345</v>
      </c>
      <c r="E2364" s="46" t="s">
        <v>259</v>
      </c>
      <c r="F2364" s="46" t="s">
        <v>2208</v>
      </c>
      <c r="G2364" s="46" t="s">
        <v>2193</v>
      </c>
    </row>
    <row r="2365" spans="1:7" ht="15.75" customHeight="1" x14ac:dyDescent="0.2">
      <c r="A2365" s="40"/>
      <c r="B2365" s="45" t="s">
        <v>41</v>
      </c>
      <c r="C2365" s="46" t="s">
        <v>2213</v>
      </c>
      <c r="D2365" s="46" t="s">
        <v>58</v>
      </c>
      <c r="E2365" s="46" t="s">
        <v>79</v>
      </c>
      <c r="F2365" s="46" t="s">
        <v>2208</v>
      </c>
      <c r="G2365" s="46" t="s">
        <v>2193</v>
      </c>
    </row>
    <row r="2366" spans="1:7" ht="15.75" customHeight="1" x14ac:dyDescent="0.2">
      <c r="A2366" s="40"/>
      <c r="B2366" s="45" t="s">
        <v>45</v>
      </c>
      <c r="C2366" s="46" t="s">
        <v>2213</v>
      </c>
      <c r="D2366" s="46" t="s">
        <v>58</v>
      </c>
      <c r="E2366" s="46" t="s">
        <v>79</v>
      </c>
      <c r="F2366" s="46" t="s">
        <v>2208</v>
      </c>
      <c r="G2366" s="46" t="s">
        <v>2193</v>
      </c>
    </row>
    <row r="2367" spans="1:7" ht="15.75" customHeight="1" x14ac:dyDescent="0.2">
      <c r="A2367" s="40"/>
      <c r="B2367" s="45" t="s">
        <v>45</v>
      </c>
      <c r="C2367" s="46" t="s">
        <v>2214</v>
      </c>
      <c r="D2367" s="46" t="s">
        <v>124</v>
      </c>
      <c r="E2367" s="46" t="s">
        <v>637</v>
      </c>
      <c r="F2367" s="46" t="s">
        <v>2208</v>
      </c>
      <c r="G2367" s="46" t="s">
        <v>2193</v>
      </c>
    </row>
    <row r="2368" spans="1:7" ht="15.75" customHeight="1" x14ac:dyDescent="0.2">
      <c r="A2368" s="40">
        <v>261</v>
      </c>
      <c r="B2368" s="41" t="s">
        <v>23</v>
      </c>
      <c r="C2368" s="42" t="s">
        <v>2215</v>
      </c>
      <c r="D2368" s="42" t="s">
        <v>456</v>
      </c>
      <c r="E2368" s="42" t="s">
        <v>237</v>
      </c>
      <c r="F2368" s="42" t="s">
        <v>2216</v>
      </c>
      <c r="G2368" s="42" t="s">
        <v>2193</v>
      </c>
    </row>
    <row r="2369" spans="1:7" ht="15.75" customHeight="1" x14ac:dyDescent="0.2">
      <c r="A2369" s="40">
        <v>793</v>
      </c>
      <c r="B2369" s="41" t="s">
        <v>691</v>
      </c>
      <c r="C2369" s="42" t="s">
        <v>2217</v>
      </c>
      <c r="D2369" s="42" t="s">
        <v>526</v>
      </c>
      <c r="E2369" s="42" t="s">
        <v>259</v>
      </c>
      <c r="F2369" s="42" t="s">
        <v>2218</v>
      </c>
      <c r="G2369" s="42" t="s">
        <v>2193</v>
      </c>
    </row>
    <row r="2370" spans="1:7" ht="15.75" customHeight="1" x14ac:dyDescent="0.2">
      <c r="A2370" s="40">
        <v>827</v>
      </c>
      <c r="B2370" s="41" t="s">
        <v>971</v>
      </c>
      <c r="C2370" s="42" t="s">
        <v>2219</v>
      </c>
      <c r="D2370" s="42" t="s">
        <v>554</v>
      </c>
      <c r="E2370" s="42" t="s">
        <v>87</v>
      </c>
      <c r="F2370" s="42" t="s">
        <v>2218</v>
      </c>
      <c r="G2370" s="42" t="s">
        <v>2193</v>
      </c>
    </row>
    <row r="2371" spans="1:7" ht="15.75" customHeight="1" x14ac:dyDescent="0.2">
      <c r="A2371" s="40">
        <v>829</v>
      </c>
      <c r="B2371" s="41" t="s">
        <v>971</v>
      </c>
      <c r="C2371" s="42" t="s">
        <v>2220</v>
      </c>
      <c r="D2371" s="42" t="s">
        <v>120</v>
      </c>
      <c r="E2371" s="42" t="s">
        <v>306</v>
      </c>
      <c r="F2371" s="42" t="s">
        <v>2218</v>
      </c>
      <c r="G2371" s="42" t="s">
        <v>2193</v>
      </c>
    </row>
    <row r="2372" spans="1:7" ht="15.75" customHeight="1" x14ac:dyDescent="0.2">
      <c r="A2372" s="40">
        <v>831</v>
      </c>
      <c r="B2372" s="41" t="s">
        <v>971</v>
      </c>
      <c r="C2372" s="42" t="s">
        <v>2221</v>
      </c>
      <c r="D2372" s="42" t="s">
        <v>2222</v>
      </c>
      <c r="E2372" s="42" t="s">
        <v>1048</v>
      </c>
      <c r="F2372" s="42" t="s">
        <v>2218</v>
      </c>
      <c r="G2372" s="42" t="s">
        <v>2193</v>
      </c>
    </row>
    <row r="2373" spans="1:7" ht="15.75" customHeight="1" x14ac:dyDescent="0.2">
      <c r="A2373" s="40">
        <v>2399</v>
      </c>
      <c r="B2373" s="41" t="s">
        <v>154</v>
      </c>
      <c r="C2373" s="42" t="s">
        <v>2219</v>
      </c>
      <c r="D2373" s="42" t="s">
        <v>554</v>
      </c>
      <c r="E2373" s="42" t="s">
        <v>87</v>
      </c>
      <c r="F2373" s="42" t="s">
        <v>2218</v>
      </c>
      <c r="G2373" s="42" t="s">
        <v>2193</v>
      </c>
    </row>
    <row r="2374" spans="1:7" ht="15.75" customHeight="1" x14ac:dyDescent="0.2">
      <c r="A2374" s="40">
        <v>2445</v>
      </c>
      <c r="B2374" s="41" t="s">
        <v>161</v>
      </c>
      <c r="C2374" s="42" t="s">
        <v>2220</v>
      </c>
      <c r="D2374" s="42" t="s">
        <v>120</v>
      </c>
      <c r="E2374" s="42" t="s">
        <v>306</v>
      </c>
      <c r="F2374" s="42" t="s">
        <v>2218</v>
      </c>
      <c r="G2374" s="42" t="s">
        <v>2193</v>
      </c>
    </row>
    <row r="2375" spans="1:7" ht="15.75" customHeight="1" x14ac:dyDescent="0.2">
      <c r="A2375" s="40">
        <v>2447</v>
      </c>
      <c r="B2375" s="41" t="s">
        <v>161</v>
      </c>
      <c r="C2375" s="42" t="s">
        <v>2221</v>
      </c>
      <c r="D2375" s="42" t="s">
        <v>2222</v>
      </c>
      <c r="E2375" s="42" t="s">
        <v>1048</v>
      </c>
      <c r="F2375" s="42" t="s">
        <v>2218</v>
      </c>
      <c r="G2375" s="42" t="s">
        <v>2193</v>
      </c>
    </row>
    <row r="2376" spans="1:7" ht="15.75" customHeight="1" x14ac:dyDescent="0.2">
      <c r="A2376" s="40">
        <v>835</v>
      </c>
      <c r="B2376" s="41" t="s">
        <v>971</v>
      </c>
      <c r="C2376" s="42" t="s">
        <v>2223</v>
      </c>
      <c r="D2376" s="42" t="s">
        <v>58</v>
      </c>
      <c r="E2376" s="42" t="s">
        <v>571</v>
      </c>
      <c r="F2376" s="42" t="s">
        <v>2224</v>
      </c>
      <c r="G2376" s="42" t="s">
        <v>2193</v>
      </c>
    </row>
    <row r="2377" spans="1:7" ht="15.75" customHeight="1" x14ac:dyDescent="0.2">
      <c r="A2377" s="40">
        <v>2415</v>
      </c>
      <c r="B2377" s="41" t="s">
        <v>10</v>
      </c>
      <c r="C2377" s="42" t="s">
        <v>2223</v>
      </c>
      <c r="D2377" s="42" t="s">
        <v>58</v>
      </c>
      <c r="E2377" s="42" t="s">
        <v>571</v>
      </c>
      <c r="F2377" s="42" t="s">
        <v>2224</v>
      </c>
      <c r="G2377" s="42" t="s">
        <v>2193</v>
      </c>
    </row>
    <row r="2378" spans="1:7" ht="15.75" customHeight="1" x14ac:dyDescent="0.2">
      <c r="A2378" s="40">
        <v>2443</v>
      </c>
      <c r="B2378" s="41" t="s">
        <v>161</v>
      </c>
      <c r="C2378" s="42" t="s">
        <v>2225</v>
      </c>
      <c r="D2378" s="42" t="s">
        <v>491</v>
      </c>
      <c r="E2378" s="42" t="s">
        <v>32</v>
      </c>
      <c r="F2378" s="42" t="s">
        <v>2224</v>
      </c>
      <c r="G2378" s="42" t="s">
        <v>2193</v>
      </c>
    </row>
    <row r="2379" spans="1:7" ht="15.75" customHeight="1" x14ac:dyDescent="0.2">
      <c r="A2379" s="40">
        <v>2455</v>
      </c>
      <c r="B2379" s="41" t="s">
        <v>165</v>
      </c>
      <c r="C2379" s="42" t="s">
        <v>2226</v>
      </c>
      <c r="D2379" s="42" t="s">
        <v>2048</v>
      </c>
      <c r="E2379" s="42" t="s">
        <v>1490</v>
      </c>
      <c r="F2379" s="42" t="s">
        <v>2224</v>
      </c>
      <c r="G2379" s="42" t="s">
        <v>2193</v>
      </c>
    </row>
    <row r="2380" spans="1:7" ht="15.75" customHeight="1" x14ac:dyDescent="0.2">
      <c r="A2380" s="40"/>
      <c r="B2380" s="45" t="s">
        <v>71</v>
      </c>
      <c r="C2380" s="46" t="s">
        <v>2227</v>
      </c>
      <c r="D2380" s="46" t="s">
        <v>309</v>
      </c>
      <c r="E2380" s="46" t="s">
        <v>393</v>
      </c>
      <c r="F2380" s="46" t="s">
        <v>2224</v>
      </c>
      <c r="G2380" s="46" t="s">
        <v>2193</v>
      </c>
    </row>
    <row r="2381" spans="1:7" ht="15.75" customHeight="1" x14ac:dyDescent="0.2">
      <c r="A2381" s="40"/>
      <c r="B2381" s="45" t="s">
        <v>45</v>
      </c>
      <c r="C2381" s="46" t="s">
        <v>2227</v>
      </c>
      <c r="D2381" s="46" t="s">
        <v>309</v>
      </c>
      <c r="E2381" s="46" t="s">
        <v>393</v>
      </c>
      <c r="F2381" s="46" t="s">
        <v>2224</v>
      </c>
      <c r="G2381" s="46" t="s">
        <v>2193</v>
      </c>
    </row>
    <row r="2382" spans="1:7" ht="15.75" customHeight="1" x14ac:dyDescent="0.2">
      <c r="A2382" s="40"/>
      <c r="B2382" s="45" t="s">
        <v>26</v>
      </c>
      <c r="C2382" s="46" t="s">
        <v>2228</v>
      </c>
      <c r="D2382" s="46" t="s">
        <v>383</v>
      </c>
      <c r="E2382" s="46" t="s">
        <v>1048</v>
      </c>
      <c r="F2382" s="46" t="s">
        <v>2224</v>
      </c>
      <c r="G2382" s="46" t="s">
        <v>2193</v>
      </c>
    </row>
    <row r="2383" spans="1:7" ht="15.75" customHeight="1" x14ac:dyDescent="0.2">
      <c r="A2383" s="40"/>
      <c r="B2383" s="45" t="s">
        <v>45</v>
      </c>
      <c r="C2383" s="46" t="s">
        <v>2228</v>
      </c>
      <c r="D2383" s="46" t="s">
        <v>383</v>
      </c>
      <c r="E2383" s="46" t="s">
        <v>1048</v>
      </c>
      <c r="F2383" s="46" t="s">
        <v>2224</v>
      </c>
      <c r="G2383" s="46" t="s">
        <v>2193</v>
      </c>
    </row>
    <row r="2384" spans="1:7" ht="15.75" customHeight="1" x14ac:dyDescent="0.2">
      <c r="A2384" s="40"/>
      <c r="B2384" s="45" t="s">
        <v>41</v>
      </c>
      <c r="C2384" s="46" t="s">
        <v>2229</v>
      </c>
      <c r="D2384" s="46" t="s">
        <v>1041</v>
      </c>
      <c r="E2384" s="46" t="s">
        <v>306</v>
      </c>
      <c r="F2384" s="46" t="s">
        <v>2224</v>
      </c>
      <c r="G2384" s="46" t="s">
        <v>2193</v>
      </c>
    </row>
    <row r="2385" spans="1:7" ht="15.75" customHeight="1" x14ac:dyDescent="0.2">
      <c r="A2385" s="40"/>
      <c r="B2385" s="45" t="s">
        <v>45</v>
      </c>
      <c r="C2385" s="46" t="s">
        <v>2229</v>
      </c>
      <c r="D2385" s="46" t="s">
        <v>1041</v>
      </c>
      <c r="E2385" s="46" t="s">
        <v>306</v>
      </c>
      <c r="F2385" s="46" t="s">
        <v>2224</v>
      </c>
      <c r="G2385" s="46" t="s">
        <v>2193</v>
      </c>
    </row>
    <row r="2386" spans="1:7" ht="15.75" customHeight="1" x14ac:dyDescent="0.2">
      <c r="A2386" s="40"/>
      <c r="B2386" s="45" t="s">
        <v>46</v>
      </c>
      <c r="C2386" s="46" t="s">
        <v>2230</v>
      </c>
      <c r="D2386" s="46" t="s">
        <v>309</v>
      </c>
      <c r="E2386" s="46" t="s">
        <v>40</v>
      </c>
      <c r="F2386" s="46" t="s">
        <v>2224</v>
      </c>
      <c r="G2386" s="46" t="s">
        <v>2193</v>
      </c>
    </row>
    <row r="2387" spans="1:7" ht="15.75" customHeight="1" x14ac:dyDescent="0.2">
      <c r="A2387" s="40"/>
      <c r="B2387" s="45" t="s">
        <v>45</v>
      </c>
      <c r="C2387" s="46" t="s">
        <v>2230</v>
      </c>
      <c r="D2387" s="46" t="s">
        <v>309</v>
      </c>
      <c r="E2387" s="46" t="s">
        <v>40</v>
      </c>
      <c r="F2387" s="46" t="s">
        <v>2224</v>
      </c>
      <c r="G2387" s="46" t="s">
        <v>2193</v>
      </c>
    </row>
    <row r="2388" spans="1:7" ht="15.75" customHeight="1" x14ac:dyDescent="0.2">
      <c r="A2388" s="40"/>
      <c r="B2388" s="45" t="s">
        <v>45</v>
      </c>
      <c r="C2388" s="46" t="s">
        <v>2231</v>
      </c>
      <c r="D2388" s="46" t="s">
        <v>1856</v>
      </c>
      <c r="E2388" s="46" t="s">
        <v>18</v>
      </c>
      <c r="F2388" s="46" t="s">
        <v>2224</v>
      </c>
      <c r="G2388" s="46" t="s">
        <v>2193</v>
      </c>
    </row>
    <row r="2389" spans="1:7" ht="15.75" customHeight="1" x14ac:dyDescent="0.2">
      <c r="A2389" s="40"/>
      <c r="B2389" s="45" t="s">
        <v>41</v>
      </c>
      <c r="C2389" s="46" t="s">
        <v>2232</v>
      </c>
      <c r="D2389" s="46" t="s">
        <v>309</v>
      </c>
      <c r="E2389" s="46" t="s">
        <v>40</v>
      </c>
      <c r="F2389" s="46" t="s">
        <v>2224</v>
      </c>
      <c r="G2389" s="46" t="s">
        <v>2193</v>
      </c>
    </row>
    <row r="2390" spans="1:7" ht="15.75" customHeight="1" x14ac:dyDescent="0.2">
      <c r="A2390" s="40"/>
      <c r="B2390" s="45" t="s">
        <v>41</v>
      </c>
      <c r="C2390" s="46" t="s">
        <v>2233</v>
      </c>
      <c r="D2390" s="46" t="s">
        <v>295</v>
      </c>
      <c r="E2390" s="46" t="s">
        <v>251</v>
      </c>
      <c r="F2390" s="46" t="s">
        <v>2224</v>
      </c>
      <c r="G2390" s="46" t="s">
        <v>2193</v>
      </c>
    </row>
    <row r="2391" spans="1:7" ht="15.75" customHeight="1" x14ac:dyDescent="0.2">
      <c r="A2391" s="40"/>
      <c r="B2391" s="45" t="s">
        <v>45</v>
      </c>
      <c r="C2391" s="46" t="s">
        <v>2233</v>
      </c>
      <c r="D2391" s="46" t="s">
        <v>295</v>
      </c>
      <c r="E2391" s="46" t="s">
        <v>251</v>
      </c>
      <c r="F2391" s="46" t="s">
        <v>2224</v>
      </c>
      <c r="G2391" s="46" t="s">
        <v>2193</v>
      </c>
    </row>
    <row r="2392" spans="1:7" ht="15.75" customHeight="1" x14ac:dyDescent="0.2">
      <c r="A2392" s="40">
        <v>813</v>
      </c>
      <c r="B2392" s="41" t="s">
        <v>2234</v>
      </c>
      <c r="C2392" s="42" t="s">
        <v>2235</v>
      </c>
      <c r="D2392" s="42" t="s">
        <v>236</v>
      </c>
      <c r="E2392" s="42" t="s">
        <v>322</v>
      </c>
      <c r="F2392" s="42" t="s">
        <v>2236</v>
      </c>
      <c r="G2392" s="42" t="s">
        <v>2193</v>
      </c>
    </row>
    <row r="2393" spans="1:7" ht="15.75" customHeight="1" x14ac:dyDescent="0.2">
      <c r="A2393" s="40">
        <v>823</v>
      </c>
      <c r="B2393" s="41" t="s">
        <v>971</v>
      </c>
      <c r="C2393" s="42" t="s">
        <v>1057</v>
      </c>
      <c r="D2393" s="42" t="s">
        <v>139</v>
      </c>
      <c r="E2393" s="42" t="s">
        <v>125</v>
      </c>
      <c r="F2393" s="42" t="s">
        <v>2236</v>
      </c>
      <c r="G2393" s="42" t="s">
        <v>2193</v>
      </c>
    </row>
    <row r="2394" spans="1:7" ht="15.75" customHeight="1" x14ac:dyDescent="0.2">
      <c r="A2394" s="40">
        <v>2369</v>
      </c>
      <c r="B2394" s="41" t="s">
        <v>142</v>
      </c>
      <c r="C2394" s="42" t="s">
        <v>2235</v>
      </c>
      <c r="D2394" s="42" t="s">
        <v>236</v>
      </c>
      <c r="E2394" s="42" t="s">
        <v>322</v>
      </c>
      <c r="F2394" s="42" t="s">
        <v>2236</v>
      </c>
      <c r="G2394" s="42" t="s">
        <v>2193</v>
      </c>
    </row>
    <row r="2395" spans="1:7" ht="15.75" customHeight="1" x14ac:dyDescent="0.2">
      <c r="A2395" s="40">
        <v>2391</v>
      </c>
      <c r="B2395" s="41" t="s">
        <v>154</v>
      </c>
      <c r="C2395" s="42" t="s">
        <v>1057</v>
      </c>
      <c r="D2395" s="42" t="s">
        <v>139</v>
      </c>
      <c r="E2395" s="42" t="s">
        <v>125</v>
      </c>
      <c r="F2395" s="42" t="s">
        <v>2236</v>
      </c>
      <c r="G2395" s="42" t="s">
        <v>2193</v>
      </c>
    </row>
    <row r="2396" spans="1:7" ht="15.75" customHeight="1" x14ac:dyDescent="0.2">
      <c r="A2396" s="40"/>
      <c r="B2396" s="45" t="s">
        <v>80</v>
      </c>
      <c r="C2396" s="46" t="s">
        <v>1057</v>
      </c>
      <c r="D2396" s="46" t="s">
        <v>78</v>
      </c>
      <c r="E2396" s="46" t="s">
        <v>125</v>
      </c>
      <c r="F2396" s="46" t="s">
        <v>2236</v>
      </c>
      <c r="G2396" s="46" t="s">
        <v>2193</v>
      </c>
    </row>
    <row r="2397" spans="1:7" ht="15.75" customHeight="1" x14ac:dyDescent="0.2">
      <c r="A2397" s="40"/>
      <c r="B2397" s="45" t="s">
        <v>45</v>
      </c>
      <c r="C2397" s="46" t="s">
        <v>1057</v>
      </c>
      <c r="D2397" s="46" t="s">
        <v>78</v>
      </c>
      <c r="E2397" s="46" t="s">
        <v>125</v>
      </c>
      <c r="F2397" s="46" t="s">
        <v>2236</v>
      </c>
      <c r="G2397" s="46" t="s">
        <v>2193</v>
      </c>
    </row>
    <row r="2398" spans="1:7" ht="15.75" customHeight="1" x14ac:dyDescent="0.2">
      <c r="A2398" s="40">
        <v>783</v>
      </c>
      <c r="B2398" s="41" t="s">
        <v>405</v>
      </c>
      <c r="C2398" s="42" t="s">
        <v>2237</v>
      </c>
      <c r="D2398" s="42" t="s">
        <v>506</v>
      </c>
      <c r="E2398" s="42" t="s">
        <v>637</v>
      </c>
      <c r="F2398" s="42" t="s">
        <v>2238</v>
      </c>
      <c r="G2398" s="42" t="s">
        <v>2193</v>
      </c>
    </row>
    <row r="2399" spans="1:7" ht="15.75" customHeight="1" x14ac:dyDescent="0.2">
      <c r="A2399" s="40">
        <v>825</v>
      </c>
      <c r="B2399" s="41" t="s">
        <v>971</v>
      </c>
      <c r="C2399" s="42" t="s">
        <v>2239</v>
      </c>
      <c r="D2399" s="42" t="s">
        <v>236</v>
      </c>
      <c r="E2399" s="42" t="s">
        <v>306</v>
      </c>
      <c r="F2399" s="42" t="s">
        <v>2238</v>
      </c>
      <c r="G2399" s="42" t="s">
        <v>2193</v>
      </c>
    </row>
    <row r="2400" spans="1:7" ht="15.75" customHeight="1" x14ac:dyDescent="0.2">
      <c r="A2400" s="40">
        <v>843</v>
      </c>
      <c r="B2400" s="41" t="s">
        <v>980</v>
      </c>
      <c r="C2400" s="42" t="s">
        <v>2240</v>
      </c>
      <c r="D2400" s="42" t="s">
        <v>171</v>
      </c>
      <c r="E2400" s="42" t="s">
        <v>1313</v>
      </c>
      <c r="F2400" s="42" t="s">
        <v>2238</v>
      </c>
      <c r="G2400" s="42" t="s">
        <v>2193</v>
      </c>
    </row>
    <row r="2401" spans="1:22" ht="15.75" customHeight="1" x14ac:dyDescent="0.2">
      <c r="A2401" s="40">
        <v>845</v>
      </c>
      <c r="B2401" s="41" t="s">
        <v>980</v>
      </c>
      <c r="C2401" s="42" t="s">
        <v>2241</v>
      </c>
      <c r="D2401" s="42" t="s">
        <v>574</v>
      </c>
      <c r="E2401" s="42" t="s">
        <v>91</v>
      </c>
      <c r="F2401" s="42" t="s">
        <v>2238</v>
      </c>
      <c r="G2401" s="42" t="s">
        <v>2193</v>
      </c>
    </row>
    <row r="2402" spans="1:22" ht="15.75" customHeight="1" x14ac:dyDescent="0.2">
      <c r="A2402" s="40">
        <v>851</v>
      </c>
      <c r="B2402" s="41" t="s">
        <v>975</v>
      </c>
      <c r="C2402" s="42" t="s">
        <v>2242</v>
      </c>
      <c r="D2402" s="42" t="s">
        <v>593</v>
      </c>
      <c r="E2402" s="42" t="s">
        <v>259</v>
      </c>
      <c r="F2402" s="42" t="s">
        <v>2238</v>
      </c>
      <c r="G2402" s="42" t="s">
        <v>2193</v>
      </c>
    </row>
    <row r="2403" spans="1:22" ht="15.75" customHeight="1" x14ac:dyDescent="0.2">
      <c r="A2403" s="40">
        <v>2383</v>
      </c>
      <c r="B2403" s="41" t="s">
        <v>150</v>
      </c>
      <c r="C2403" s="42" t="s">
        <v>2240</v>
      </c>
      <c r="D2403" s="42" t="s">
        <v>171</v>
      </c>
      <c r="E2403" s="42" t="s">
        <v>1313</v>
      </c>
      <c r="F2403" s="42" t="s">
        <v>2238</v>
      </c>
      <c r="G2403" s="42" t="s">
        <v>2193</v>
      </c>
    </row>
    <row r="2404" spans="1:22" ht="15.75" customHeight="1" x14ac:dyDescent="0.2">
      <c r="A2404" s="40">
        <v>2385</v>
      </c>
      <c r="B2404" s="41" t="s">
        <v>150</v>
      </c>
      <c r="C2404" s="42" t="s">
        <v>2241</v>
      </c>
      <c r="D2404" s="42" t="s">
        <v>574</v>
      </c>
      <c r="E2404" s="42" t="s">
        <v>91</v>
      </c>
      <c r="F2404" s="42" t="s">
        <v>2238</v>
      </c>
      <c r="G2404" s="42" t="s">
        <v>2193</v>
      </c>
    </row>
    <row r="2405" spans="1:22" ht="15.75" customHeight="1" x14ac:dyDescent="0.2">
      <c r="A2405" s="40">
        <v>2413</v>
      </c>
      <c r="B2405" s="41" t="s">
        <v>10</v>
      </c>
      <c r="C2405" s="42" t="s">
        <v>2239</v>
      </c>
      <c r="D2405" s="42" t="s">
        <v>236</v>
      </c>
      <c r="E2405" s="42" t="s">
        <v>306</v>
      </c>
      <c r="F2405" s="42" t="s">
        <v>2238</v>
      </c>
      <c r="G2405" s="42" t="s">
        <v>2193</v>
      </c>
    </row>
    <row r="2406" spans="1:22" ht="15.75" customHeight="1" x14ac:dyDescent="0.2">
      <c r="A2406" s="40">
        <v>2463</v>
      </c>
      <c r="B2406" s="41" t="s">
        <v>169</v>
      </c>
      <c r="C2406" s="42" t="s">
        <v>2242</v>
      </c>
      <c r="D2406" s="42" t="s">
        <v>593</v>
      </c>
      <c r="E2406" s="42" t="s">
        <v>259</v>
      </c>
      <c r="F2406" s="42" t="s">
        <v>2238</v>
      </c>
      <c r="G2406" s="42" t="s">
        <v>2193</v>
      </c>
    </row>
    <row r="2407" spans="1:22" ht="15.75" customHeight="1" x14ac:dyDescent="0.2">
      <c r="A2407" s="40"/>
      <c r="B2407" s="45" t="s">
        <v>336</v>
      </c>
      <c r="C2407" s="46" t="s">
        <v>2243</v>
      </c>
      <c r="D2407" s="46" t="s">
        <v>236</v>
      </c>
      <c r="E2407" s="46" t="s">
        <v>129</v>
      </c>
      <c r="F2407" s="46" t="s">
        <v>2238</v>
      </c>
      <c r="G2407" s="46" t="s">
        <v>2193</v>
      </c>
    </row>
    <row r="2408" spans="1:22" ht="15.75" customHeight="1" x14ac:dyDescent="0.2">
      <c r="A2408" s="40"/>
      <c r="B2408" s="45" t="s">
        <v>45</v>
      </c>
      <c r="C2408" s="46" t="s">
        <v>2243</v>
      </c>
      <c r="D2408" s="46" t="s">
        <v>236</v>
      </c>
      <c r="E2408" s="46" t="s">
        <v>129</v>
      </c>
      <c r="F2408" s="46" t="s">
        <v>2238</v>
      </c>
      <c r="G2408" s="46" t="s">
        <v>2193</v>
      </c>
    </row>
    <row r="2409" spans="1:22" ht="15.75" customHeight="1" x14ac:dyDescent="0.2">
      <c r="A2409" s="40"/>
      <c r="B2409" s="45" t="s">
        <v>46</v>
      </c>
      <c r="C2409" s="46" t="s">
        <v>2244</v>
      </c>
      <c r="D2409" s="46" t="s">
        <v>139</v>
      </c>
      <c r="E2409" s="46" t="s">
        <v>337</v>
      </c>
      <c r="F2409" s="46" t="s">
        <v>2238</v>
      </c>
      <c r="G2409" s="46" t="s">
        <v>2193</v>
      </c>
    </row>
    <row r="2410" spans="1:22" ht="15.75" customHeight="1" x14ac:dyDescent="0.2">
      <c r="A2410" s="40"/>
      <c r="B2410" s="45" t="s">
        <v>45</v>
      </c>
      <c r="C2410" s="46" t="s">
        <v>2244</v>
      </c>
      <c r="D2410" s="46" t="s">
        <v>139</v>
      </c>
      <c r="E2410" s="46" t="s">
        <v>337</v>
      </c>
      <c r="F2410" s="46" t="s">
        <v>2238</v>
      </c>
      <c r="G2410" s="46" t="s">
        <v>2193</v>
      </c>
    </row>
    <row r="2411" spans="1:22" ht="15.75" customHeight="1" x14ac:dyDescent="0.2">
      <c r="A2411" s="40"/>
      <c r="B2411" s="45" t="s">
        <v>71</v>
      </c>
      <c r="C2411" s="46" t="s">
        <v>2245</v>
      </c>
      <c r="D2411" s="46" t="s">
        <v>516</v>
      </c>
      <c r="E2411" s="46" t="s">
        <v>546</v>
      </c>
      <c r="F2411" s="46" t="s">
        <v>2238</v>
      </c>
      <c r="G2411" s="46" t="s">
        <v>2193</v>
      </c>
    </row>
    <row r="2412" spans="1:22" ht="15.75" customHeight="1" x14ac:dyDescent="0.2">
      <c r="A2412" s="40"/>
      <c r="B2412" s="45" t="s">
        <v>45</v>
      </c>
      <c r="C2412" s="46" t="s">
        <v>2245</v>
      </c>
      <c r="D2412" s="46" t="s">
        <v>516</v>
      </c>
      <c r="E2412" s="46" t="s">
        <v>546</v>
      </c>
      <c r="F2412" s="46" t="s">
        <v>2238</v>
      </c>
      <c r="G2412" s="46" t="s">
        <v>2193</v>
      </c>
    </row>
    <row r="2413" spans="1:22" ht="15.75" customHeight="1" x14ac:dyDescent="0.2">
      <c r="A2413" s="40"/>
      <c r="B2413" s="45" t="s">
        <v>84</v>
      </c>
      <c r="C2413" s="46" t="s">
        <v>2246</v>
      </c>
      <c r="D2413" s="46" t="s">
        <v>600</v>
      </c>
      <c r="E2413" s="46" t="s">
        <v>91</v>
      </c>
      <c r="F2413" s="46" t="s">
        <v>2238</v>
      </c>
      <c r="G2413" s="46" t="s">
        <v>2193</v>
      </c>
    </row>
    <row r="2414" spans="1:22" ht="15.75" customHeight="1" x14ac:dyDescent="0.2">
      <c r="A2414" s="40"/>
      <c r="B2414" s="45" t="s">
        <v>45</v>
      </c>
      <c r="C2414" s="46" t="s">
        <v>2246</v>
      </c>
      <c r="D2414" s="46" t="s">
        <v>600</v>
      </c>
      <c r="E2414" s="46" t="s">
        <v>91</v>
      </c>
      <c r="F2414" s="46" t="s">
        <v>2238</v>
      </c>
      <c r="G2414" s="46" t="s">
        <v>2193</v>
      </c>
    </row>
    <row r="2415" spans="1:22" ht="15.75" customHeight="1" x14ac:dyDescent="0.2">
      <c r="A2415" s="40"/>
      <c r="B2415" s="45" t="s">
        <v>296</v>
      </c>
      <c r="C2415" s="46" t="s">
        <v>2247</v>
      </c>
      <c r="D2415" s="46" t="s">
        <v>58</v>
      </c>
      <c r="E2415" s="46" t="s">
        <v>32</v>
      </c>
      <c r="F2415" s="46" t="s">
        <v>2248</v>
      </c>
      <c r="G2415" s="46" t="s">
        <v>2249</v>
      </c>
    </row>
    <row r="2416" spans="1:22" ht="15.75" customHeight="1" x14ac:dyDescent="0.2">
      <c r="A2416" s="40"/>
      <c r="B2416" s="45" t="s">
        <v>114</v>
      </c>
      <c r="C2416" s="46" t="s">
        <v>2250</v>
      </c>
      <c r="D2416" s="46" t="s">
        <v>183</v>
      </c>
      <c r="E2416" s="46" t="s">
        <v>650</v>
      </c>
      <c r="F2416" s="46" t="s">
        <v>2251</v>
      </c>
      <c r="G2416" s="46" t="s">
        <v>2252</v>
      </c>
      <c r="H2416" s="43"/>
      <c r="I2416" s="43"/>
      <c r="J2416" s="43"/>
      <c r="K2416" s="43"/>
      <c r="L2416" s="43"/>
      <c r="M2416" s="43"/>
      <c r="N2416" s="43"/>
      <c r="O2416" s="43"/>
      <c r="P2416" s="43"/>
      <c r="Q2416" s="43"/>
      <c r="R2416" s="43"/>
      <c r="S2416" s="43"/>
      <c r="T2416" s="43"/>
      <c r="U2416" s="43"/>
      <c r="V2416" s="43"/>
    </row>
    <row r="2417" spans="1:22" ht="15.75" customHeight="1" x14ac:dyDescent="0.2">
      <c r="A2417" s="40"/>
      <c r="B2417" s="45" t="s">
        <v>108</v>
      </c>
      <c r="C2417" s="46" t="s">
        <v>2250</v>
      </c>
      <c r="D2417" s="46" t="s">
        <v>183</v>
      </c>
      <c r="E2417" s="46" t="s">
        <v>650</v>
      </c>
      <c r="F2417" s="46" t="s">
        <v>2251</v>
      </c>
      <c r="G2417" s="46" t="s">
        <v>2252</v>
      </c>
      <c r="H2417" s="43"/>
      <c r="I2417" s="43"/>
      <c r="J2417" s="43"/>
      <c r="K2417" s="43"/>
      <c r="L2417" s="43"/>
      <c r="M2417" s="43"/>
      <c r="N2417" s="43"/>
      <c r="O2417" s="43"/>
      <c r="P2417" s="43"/>
      <c r="Q2417" s="43"/>
      <c r="R2417" s="43"/>
      <c r="S2417" s="43"/>
      <c r="T2417" s="43"/>
      <c r="U2417" s="43"/>
      <c r="V2417" s="43"/>
    </row>
    <row r="2418" spans="1:22" ht="15.75" customHeight="1" x14ac:dyDescent="0.2">
      <c r="A2418" s="40"/>
      <c r="B2418" s="45" t="s">
        <v>307</v>
      </c>
      <c r="C2418" s="46" t="s">
        <v>2253</v>
      </c>
      <c r="D2418" s="46" t="s">
        <v>75</v>
      </c>
      <c r="E2418" s="46" t="s">
        <v>87</v>
      </c>
      <c r="F2418" s="46" t="s">
        <v>2251</v>
      </c>
      <c r="G2418" s="46" t="s">
        <v>2252</v>
      </c>
      <c r="H2418" s="43"/>
      <c r="I2418" s="43"/>
      <c r="J2418" s="43"/>
      <c r="K2418" s="43"/>
      <c r="L2418" s="43"/>
      <c r="M2418" s="43"/>
      <c r="N2418" s="43"/>
      <c r="O2418" s="43"/>
      <c r="P2418" s="43"/>
      <c r="Q2418" s="43"/>
      <c r="R2418" s="43"/>
      <c r="S2418" s="43"/>
      <c r="T2418" s="43"/>
      <c r="U2418" s="43"/>
      <c r="V2418" s="43"/>
    </row>
    <row r="2419" spans="1:22" ht="15.75" customHeight="1" x14ac:dyDescent="0.2">
      <c r="A2419" s="40"/>
      <c r="B2419" s="45" t="s">
        <v>311</v>
      </c>
      <c r="C2419" s="46" t="s">
        <v>2253</v>
      </c>
      <c r="D2419" s="46" t="s">
        <v>75</v>
      </c>
      <c r="E2419" s="46" t="s">
        <v>87</v>
      </c>
      <c r="F2419" s="46" t="s">
        <v>2251</v>
      </c>
      <c r="G2419" s="46" t="s">
        <v>2252</v>
      </c>
      <c r="H2419" s="43"/>
      <c r="I2419" s="43"/>
      <c r="J2419" s="43"/>
      <c r="K2419" s="43"/>
      <c r="L2419" s="43"/>
      <c r="M2419" s="43"/>
      <c r="N2419" s="43"/>
      <c r="O2419" s="43"/>
      <c r="P2419" s="43"/>
      <c r="Q2419" s="43"/>
      <c r="R2419" s="43"/>
      <c r="S2419" s="43"/>
      <c r="T2419" s="43"/>
      <c r="U2419" s="43"/>
      <c r="V2419" s="43"/>
    </row>
    <row r="2420" spans="1:22" ht="15.75" customHeight="1" x14ac:dyDescent="0.2">
      <c r="A2420" s="40"/>
      <c r="B2420" s="45" t="s">
        <v>121</v>
      </c>
      <c r="C2420" s="46" t="s">
        <v>2254</v>
      </c>
      <c r="D2420" s="46" t="s">
        <v>295</v>
      </c>
      <c r="E2420" s="46" t="s">
        <v>18</v>
      </c>
      <c r="F2420" s="46" t="s">
        <v>2251</v>
      </c>
      <c r="G2420" s="46" t="s">
        <v>2252</v>
      </c>
      <c r="H2420" s="43"/>
      <c r="I2420" s="43"/>
      <c r="J2420" s="43"/>
      <c r="K2420" s="43"/>
      <c r="L2420" s="43"/>
      <c r="M2420" s="43"/>
      <c r="N2420" s="43"/>
      <c r="O2420" s="43"/>
      <c r="P2420" s="43"/>
      <c r="Q2420" s="43"/>
      <c r="R2420" s="43"/>
      <c r="S2420" s="43"/>
      <c r="T2420" s="43"/>
      <c r="U2420" s="43"/>
      <c r="V2420" s="43"/>
    </row>
    <row r="2421" spans="1:22" ht="15.75" customHeight="1" x14ac:dyDescent="0.2">
      <c r="A2421" s="40"/>
      <c r="B2421" s="45" t="s">
        <v>315</v>
      </c>
      <c r="C2421" s="46" t="s">
        <v>2254</v>
      </c>
      <c r="D2421" s="46" t="s">
        <v>295</v>
      </c>
      <c r="E2421" s="46" t="s">
        <v>18</v>
      </c>
      <c r="F2421" s="46" t="s">
        <v>2251</v>
      </c>
      <c r="G2421" s="46" t="s">
        <v>2252</v>
      </c>
      <c r="H2421" s="43"/>
      <c r="I2421" s="43"/>
      <c r="J2421" s="43"/>
      <c r="K2421" s="43"/>
      <c r="L2421" s="43"/>
      <c r="M2421" s="43"/>
      <c r="N2421" s="43"/>
      <c r="O2421" s="43"/>
      <c r="P2421" s="43"/>
      <c r="Q2421" s="43"/>
      <c r="R2421" s="43"/>
      <c r="S2421" s="43"/>
      <c r="T2421" s="43"/>
      <c r="U2421" s="43"/>
      <c r="V2421" s="43"/>
    </row>
    <row r="2422" spans="1:22" ht="15.75" customHeight="1" x14ac:dyDescent="0.2">
      <c r="A2422" s="40"/>
      <c r="B2422" s="45" t="s">
        <v>548</v>
      </c>
      <c r="C2422" s="46" t="s">
        <v>2256</v>
      </c>
      <c r="D2422" s="46" t="s">
        <v>345</v>
      </c>
      <c r="E2422" s="46" t="s">
        <v>530</v>
      </c>
      <c r="F2422" s="46" t="s">
        <v>2257</v>
      </c>
      <c r="G2422" s="46" t="s">
        <v>2255</v>
      </c>
      <c r="H2422" s="43"/>
      <c r="I2422" s="43"/>
      <c r="J2422" s="43"/>
      <c r="K2422" s="43"/>
      <c r="L2422" s="43"/>
      <c r="M2422" s="43"/>
      <c r="N2422" s="43"/>
      <c r="O2422" s="43"/>
      <c r="P2422" s="43"/>
      <c r="Q2422" s="43"/>
      <c r="R2422" s="43"/>
      <c r="S2422" s="43"/>
      <c r="T2422" s="43"/>
      <c r="U2422" s="43"/>
      <c r="V2422" s="43"/>
    </row>
    <row r="2423" spans="1:22" ht="15.75" customHeight="1" x14ac:dyDescent="0.2">
      <c r="A2423" s="40">
        <v>2647</v>
      </c>
      <c r="B2423" s="41" t="s">
        <v>1055</v>
      </c>
      <c r="C2423" s="42" t="s">
        <v>2258</v>
      </c>
      <c r="D2423" s="42" t="s">
        <v>266</v>
      </c>
      <c r="E2423" s="42" t="s">
        <v>2259</v>
      </c>
      <c r="F2423" s="42" t="s">
        <v>2260</v>
      </c>
      <c r="G2423" s="42" t="s">
        <v>2261</v>
      </c>
      <c r="H2423" s="43"/>
      <c r="I2423" s="43"/>
      <c r="J2423" s="43"/>
      <c r="K2423" s="43"/>
      <c r="L2423" s="43"/>
      <c r="M2423" s="43"/>
      <c r="N2423" s="43"/>
      <c r="O2423" s="43"/>
      <c r="P2423" s="43"/>
      <c r="Q2423" s="43"/>
      <c r="R2423" s="43"/>
      <c r="S2423" s="43"/>
      <c r="T2423" s="43"/>
      <c r="U2423" s="43"/>
      <c r="V2423" s="43"/>
    </row>
    <row r="2424" spans="1:22" ht="15.75" customHeight="1" x14ac:dyDescent="0.2">
      <c r="A2424" s="40"/>
      <c r="B2424" s="45" t="s">
        <v>303</v>
      </c>
      <c r="C2424" s="46" t="s">
        <v>2262</v>
      </c>
      <c r="D2424" s="46" t="s">
        <v>437</v>
      </c>
      <c r="E2424" s="46" t="s">
        <v>87</v>
      </c>
      <c r="F2424" s="46" t="s">
        <v>2260</v>
      </c>
      <c r="G2424" s="46" t="s">
        <v>2261</v>
      </c>
      <c r="H2424" s="43"/>
      <c r="I2424" s="43"/>
      <c r="J2424" s="43"/>
      <c r="K2424" s="43"/>
      <c r="L2424" s="43"/>
      <c r="M2424" s="43"/>
      <c r="N2424" s="43"/>
      <c r="O2424" s="43"/>
      <c r="P2424" s="43"/>
      <c r="Q2424" s="43"/>
      <c r="R2424" s="43"/>
      <c r="S2424" s="43"/>
      <c r="T2424" s="43"/>
      <c r="U2424" s="43"/>
      <c r="V2424" s="43"/>
    </row>
    <row r="2425" spans="1:22" ht="15.75" customHeight="1" x14ac:dyDescent="0.2">
      <c r="A2425" s="40"/>
      <c r="B2425" s="45" t="s">
        <v>94</v>
      </c>
      <c r="C2425" s="46" t="s">
        <v>2262</v>
      </c>
      <c r="D2425" s="46" t="s">
        <v>437</v>
      </c>
      <c r="E2425" s="46" t="s">
        <v>87</v>
      </c>
      <c r="F2425" s="46" t="s">
        <v>2260</v>
      </c>
      <c r="G2425" s="46" t="s">
        <v>2261</v>
      </c>
    </row>
    <row r="2426" spans="1:22" ht="15.75" customHeight="1" x14ac:dyDescent="0.2">
      <c r="A2426" s="40"/>
      <c r="B2426" s="45" t="s">
        <v>94</v>
      </c>
      <c r="C2426" s="46" t="s">
        <v>2263</v>
      </c>
      <c r="D2426" s="46" t="s">
        <v>58</v>
      </c>
      <c r="E2426" s="46" t="s">
        <v>79</v>
      </c>
      <c r="F2426" s="46" t="s">
        <v>2260</v>
      </c>
      <c r="G2426" s="46" t="s">
        <v>2261</v>
      </c>
      <c r="H2426" s="43"/>
      <c r="I2426" s="43"/>
      <c r="J2426" s="43"/>
      <c r="K2426" s="43"/>
      <c r="L2426" s="43"/>
      <c r="M2426" s="43"/>
      <c r="N2426" s="43"/>
      <c r="O2426" s="43"/>
      <c r="P2426" s="43"/>
      <c r="Q2426" s="43"/>
      <c r="R2426" s="43"/>
      <c r="S2426" s="43"/>
      <c r="T2426" s="43"/>
      <c r="U2426" s="43"/>
      <c r="V2426" s="43"/>
    </row>
    <row r="2427" spans="1:22" ht="15.75" customHeight="1" x14ac:dyDescent="0.2">
      <c r="A2427" s="40" t="s">
        <v>2264</v>
      </c>
      <c r="B2427" s="41" t="s">
        <v>601</v>
      </c>
      <c r="C2427" s="42" t="s">
        <v>1142</v>
      </c>
      <c r="D2427" s="42" t="s">
        <v>183</v>
      </c>
      <c r="E2427" s="42" t="s">
        <v>79</v>
      </c>
      <c r="F2427" s="42" t="s">
        <v>2260</v>
      </c>
      <c r="G2427" s="42" t="s">
        <v>2261</v>
      </c>
      <c r="H2427" s="43"/>
      <c r="I2427" s="43"/>
      <c r="J2427" s="43"/>
      <c r="K2427" s="43"/>
      <c r="L2427" s="43"/>
      <c r="M2427" s="43"/>
      <c r="N2427" s="43"/>
      <c r="O2427" s="43"/>
      <c r="P2427" s="43"/>
      <c r="Q2427" s="43"/>
      <c r="R2427" s="43"/>
      <c r="S2427" s="43"/>
      <c r="T2427" s="43"/>
      <c r="U2427" s="43"/>
      <c r="V2427" s="43"/>
    </row>
    <row r="2428" spans="1:22" ht="15.75" customHeight="1" x14ac:dyDescent="0.2">
      <c r="A2428" s="40" t="s">
        <v>2264</v>
      </c>
      <c r="B2428" s="41" t="s">
        <v>1098</v>
      </c>
      <c r="C2428" s="42" t="s">
        <v>1142</v>
      </c>
      <c r="D2428" s="42" t="s">
        <v>183</v>
      </c>
      <c r="E2428" s="42" t="s">
        <v>79</v>
      </c>
      <c r="F2428" s="42" t="s">
        <v>2260</v>
      </c>
      <c r="G2428" s="42" t="s">
        <v>2261</v>
      </c>
      <c r="H2428" s="43"/>
      <c r="I2428" s="43"/>
      <c r="J2428" s="43"/>
      <c r="K2428" s="43"/>
      <c r="L2428" s="43"/>
      <c r="M2428" s="43"/>
      <c r="N2428" s="43"/>
      <c r="O2428" s="43"/>
      <c r="P2428" s="43"/>
      <c r="Q2428" s="43"/>
      <c r="R2428" s="43"/>
      <c r="S2428" s="43"/>
      <c r="T2428" s="43"/>
      <c r="U2428" s="43"/>
      <c r="V2428" s="43"/>
    </row>
    <row r="2429" spans="1:22" ht="15.75" customHeight="1" x14ac:dyDescent="0.2">
      <c r="A2429" s="40"/>
      <c r="B2429" s="45" t="s">
        <v>118</v>
      </c>
      <c r="C2429" s="46" t="s">
        <v>1142</v>
      </c>
      <c r="D2429" s="46" t="s">
        <v>58</v>
      </c>
      <c r="E2429" s="46" t="s">
        <v>79</v>
      </c>
      <c r="F2429" s="46" t="s">
        <v>2260</v>
      </c>
      <c r="G2429" s="46" t="s">
        <v>2261</v>
      </c>
      <c r="H2429" s="43"/>
      <c r="I2429" s="43"/>
      <c r="J2429" s="43"/>
      <c r="K2429" s="43"/>
      <c r="L2429" s="43"/>
      <c r="M2429" s="43"/>
      <c r="N2429" s="43"/>
      <c r="O2429" s="43"/>
      <c r="P2429" s="43"/>
      <c r="Q2429" s="43"/>
      <c r="R2429" s="43"/>
      <c r="S2429" s="43"/>
      <c r="T2429" s="43"/>
      <c r="U2429" s="43"/>
      <c r="V2429" s="43"/>
    </row>
    <row r="2430" spans="1:22" ht="15.75" customHeight="1" x14ac:dyDescent="0.2">
      <c r="A2430" s="40"/>
      <c r="B2430" s="45" t="s">
        <v>94</v>
      </c>
      <c r="C2430" s="46" t="s">
        <v>1142</v>
      </c>
      <c r="D2430" s="46" t="s">
        <v>58</v>
      </c>
      <c r="E2430" s="46" t="s">
        <v>79</v>
      </c>
      <c r="F2430" s="46" t="s">
        <v>2260</v>
      </c>
      <c r="G2430" s="46" t="s">
        <v>2261</v>
      </c>
      <c r="H2430" s="43"/>
      <c r="I2430" s="43"/>
      <c r="J2430" s="43"/>
      <c r="K2430" s="43"/>
      <c r="L2430" s="43"/>
      <c r="M2430" s="43"/>
      <c r="N2430" s="43"/>
      <c r="O2430" s="43"/>
      <c r="P2430" s="43"/>
      <c r="Q2430" s="43"/>
      <c r="R2430" s="43"/>
      <c r="S2430" s="43"/>
      <c r="T2430" s="43"/>
      <c r="U2430" s="43"/>
      <c r="V2430" s="43"/>
    </row>
    <row r="2431" spans="1:22" ht="15.75" customHeight="1" x14ac:dyDescent="0.2">
      <c r="A2431" s="40"/>
      <c r="B2431" s="45" t="s">
        <v>94</v>
      </c>
      <c r="C2431" s="46" t="s">
        <v>2265</v>
      </c>
      <c r="D2431" s="46" t="s">
        <v>39</v>
      </c>
      <c r="E2431" s="46" t="s">
        <v>306</v>
      </c>
      <c r="F2431" s="46" t="s">
        <v>2260</v>
      </c>
      <c r="G2431" s="46" t="s">
        <v>2261</v>
      </c>
      <c r="H2431" s="43"/>
      <c r="I2431" s="43"/>
      <c r="J2431" s="43"/>
      <c r="K2431" s="43"/>
      <c r="L2431" s="43"/>
      <c r="M2431" s="43"/>
      <c r="N2431" s="43"/>
      <c r="O2431" s="43"/>
      <c r="P2431" s="43"/>
      <c r="Q2431" s="43"/>
      <c r="R2431" s="43"/>
      <c r="S2431" s="43"/>
      <c r="T2431" s="43"/>
      <c r="U2431" s="43"/>
      <c r="V2431" s="43"/>
    </row>
    <row r="2432" spans="1:22" ht="15.75" customHeight="1" x14ac:dyDescent="0.2">
      <c r="A2432" s="40"/>
      <c r="B2432" s="45" t="s">
        <v>94</v>
      </c>
      <c r="C2432" s="46" t="s">
        <v>2266</v>
      </c>
      <c r="D2432" s="46" t="s">
        <v>574</v>
      </c>
      <c r="E2432" s="46" t="s">
        <v>259</v>
      </c>
      <c r="F2432" s="46" t="s">
        <v>2260</v>
      </c>
      <c r="G2432" s="46" t="s">
        <v>2261</v>
      </c>
      <c r="H2432" s="43"/>
      <c r="I2432" s="43"/>
      <c r="J2432" s="43"/>
      <c r="K2432" s="43"/>
      <c r="L2432" s="43"/>
      <c r="M2432" s="43"/>
      <c r="N2432" s="43"/>
      <c r="O2432" s="43"/>
      <c r="P2432" s="43"/>
      <c r="Q2432" s="43"/>
      <c r="R2432" s="43"/>
      <c r="S2432" s="43"/>
      <c r="T2432" s="43"/>
      <c r="U2432" s="43"/>
      <c r="V2432" s="43"/>
    </row>
    <row r="2433" spans="1:22" ht="15.75" customHeight="1" x14ac:dyDescent="0.2">
      <c r="A2433" s="40"/>
      <c r="B2433" s="45" t="s">
        <v>421</v>
      </c>
      <c r="C2433" s="46" t="s">
        <v>2267</v>
      </c>
      <c r="D2433" s="46" t="s">
        <v>2268</v>
      </c>
      <c r="E2433" s="46" t="s">
        <v>2269</v>
      </c>
      <c r="F2433" s="46" t="s">
        <v>2260</v>
      </c>
      <c r="G2433" s="46" t="s">
        <v>2261</v>
      </c>
      <c r="H2433" s="43"/>
      <c r="I2433" s="43"/>
      <c r="J2433" s="43"/>
      <c r="K2433" s="43"/>
      <c r="L2433" s="43"/>
      <c r="M2433" s="43"/>
      <c r="N2433" s="43"/>
      <c r="O2433" s="43"/>
      <c r="P2433" s="43"/>
      <c r="Q2433" s="43"/>
      <c r="R2433" s="43"/>
      <c r="S2433" s="43"/>
      <c r="T2433" s="43"/>
      <c r="U2433" s="43"/>
      <c r="V2433" s="43"/>
    </row>
    <row r="2434" spans="1:22" ht="15.75" customHeight="1" x14ac:dyDescent="0.2">
      <c r="A2434" s="40"/>
      <c r="B2434" s="45" t="s">
        <v>315</v>
      </c>
      <c r="C2434" s="46" t="s">
        <v>2270</v>
      </c>
      <c r="D2434" s="46" t="s">
        <v>1068</v>
      </c>
      <c r="E2434" s="46" t="s">
        <v>314</v>
      </c>
      <c r="F2434" s="46" t="s">
        <v>2260</v>
      </c>
      <c r="G2434" s="46" t="s">
        <v>2261</v>
      </c>
      <c r="H2434" s="43"/>
      <c r="I2434" s="43"/>
      <c r="J2434" s="43"/>
      <c r="K2434" s="43"/>
      <c r="L2434" s="43"/>
      <c r="M2434" s="43"/>
      <c r="N2434" s="43"/>
      <c r="O2434" s="43"/>
      <c r="P2434" s="43"/>
      <c r="Q2434" s="43"/>
      <c r="R2434" s="43"/>
      <c r="S2434" s="43"/>
      <c r="T2434" s="43"/>
      <c r="U2434" s="43"/>
      <c r="V2434" s="43"/>
    </row>
    <row r="2435" spans="1:22" ht="15.75" customHeight="1" x14ac:dyDescent="0.2">
      <c r="A2435" s="40"/>
      <c r="B2435" s="45" t="s">
        <v>94</v>
      </c>
      <c r="C2435" s="46" t="s">
        <v>2270</v>
      </c>
      <c r="D2435" s="46" t="s">
        <v>1068</v>
      </c>
      <c r="E2435" s="46" t="s">
        <v>314</v>
      </c>
      <c r="F2435" s="46" t="s">
        <v>2260</v>
      </c>
      <c r="G2435" s="46" t="s">
        <v>2261</v>
      </c>
      <c r="H2435" s="43"/>
      <c r="I2435" s="43"/>
      <c r="J2435" s="43"/>
      <c r="K2435" s="43"/>
      <c r="L2435" s="43"/>
      <c r="M2435" s="43"/>
      <c r="N2435" s="43"/>
      <c r="O2435" s="43"/>
      <c r="P2435" s="43"/>
      <c r="Q2435" s="43"/>
      <c r="R2435" s="43"/>
      <c r="S2435" s="43"/>
      <c r="T2435" s="43"/>
      <c r="U2435" s="43"/>
      <c r="V2435" s="43"/>
    </row>
    <row r="2436" spans="1:22" ht="15.75" customHeight="1" x14ac:dyDescent="0.2">
      <c r="A2436" s="40"/>
      <c r="B2436" s="45" t="s">
        <v>94</v>
      </c>
      <c r="C2436" s="46" t="s">
        <v>2271</v>
      </c>
      <c r="D2436" s="46" t="s">
        <v>2272</v>
      </c>
      <c r="E2436" s="46" t="s">
        <v>134</v>
      </c>
      <c r="F2436" s="46" t="s">
        <v>2273</v>
      </c>
      <c r="G2436" s="46" t="s">
        <v>2261</v>
      </c>
      <c r="H2436" s="43"/>
      <c r="I2436" s="43"/>
      <c r="J2436" s="43"/>
      <c r="K2436" s="43"/>
      <c r="L2436" s="43"/>
      <c r="M2436" s="43"/>
      <c r="N2436" s="43"/>
      <c r="O2436" s="43"/>
      <c r="P2436" s="43"/>
      <c r="Q2436" s="43"/>
      <c r="R2436" s="43"/>
      <c r="S2436" s="43"/>
      <c r="T2436" s="43"/>
      <c r="U2436" s="43"/>
      <c r="V2436" s="43"/>
    </row>
    <row r="2437" spans="1:22" ht="15.75" customHeight="1" x14ac:dyDescent="0.2">
      <c r="A2437" s="40"/>
      <c r="B2437" s="45" t="s">
        <v>94</v>
      </c>
      <c r="C2437" s="46" t="s">
        <v>57</v>
      </c>
      <c r="D2437" s="46" t="s">
        <v>39</v>
      </c>
      <c r="E2437" s="46" t="s">
        <v>87</v>
      </c>
      <c r="F2437" s="46" t="s">
        <v>2273</v>
      </c>
      <c r="G2437" s="46" t="s">
        <v>2261</v>
      </c>
      <c r="H2437" s="43"/>
      <c r="I2437" s="43"/>
      <c r="J2437" s="43"/>
      <c r="K2437" s="43"/>
      <c r="L2437" s="43"/>
      <c r="M2437" s="43"/>
      <c r="N2437" s="43"/>
      <c r="O2437" s="43"/>
      <c r="P2437" s="43"/>
      <c r="Q2437" s="43"/>
      <c r="R2437" s="43"/>
      <c r="S2437" s="43"/>
      <c r="T2437" s="43"/>
      <c r="U2437" s="43"/>
      <c r="V2437" s="43"/>
    </row>
    <row r="2438" spans="1:22" ht="15.75" customHeight="1" x14ac:dyDescent="0.2">
      <c r="A2438" s="40"/>
      <c r="B2438" s="45" t="s">
        <v>131</v>
      </c>
      <c r="C2438" s="46" t="s">
        <v>2274</v>
      </c>
      <c r="D2438" s="46" t="s">
        <v>325</v>
      </c>
      <c r="E2438" s="46" t="s">
        <v>2275</v>
      </c>
      <c r="F2438" s="46" t="s">
        <v>2273</v>
      </c>
      <c r="G2438" s="46" t="s">
        <v>2261</v>
      </c>
      <c r="H2438" s="43"/>
      <c r="I2438" s="43"/>
      <c r="J2438" s="43"/>
      <c r="K2438" s="43"/>
      <c r="L2438" s="43"/>
      <c r="M2438" s="43"/>
      <c r="N2438" s="43"/>
      <c r="O2438" s="43"/>
      <c r="P2438" s="43"/>
      <c r="Q2438" s="43"/>
      <c r="R2438" s="43"/>
      <c r="S2438" s="43"/>
      <c r="T2438" s="43"/>
      <c r="U2438" s="43"/>
      <c r="V2438" s="43"/>
    </row>
    <row r="2439" spans="1:22" ht="15.75" customHeight="1" x14ac:dyDescent="0.2">
      <c r="A2439" s="40"/>
      <c r="B2439" s="45" t="s">
        <v>118</v>
      </c>
      <c r="C2439" s="46" t="s">
        <v>2274</v>
      </c>
      <c r="D2439" s="46" t="s">
        <v>325</v>
      </c>
      <c r="E2439" s="46" t="s">
        <v>2275</v>
      </c>
      <c r="F2439" s="46" t="s">
        <v>2273</v>
      </c>
      <c r="G2439" s="46" t="s">
        <v>2261</v>
      </c>
      <c r="H2439" s="43"/>
      <c r="I2439" s="43"/>
      <c r="J2439" s="43"/>
      <c r="K2439" s="43"/>
      <c r="L2439" s="43"/>
      <c r="M2439" s="43"/>
      <c r="N2439" s="43"/>
      <c r="O2439" s="43"/>
      <c r="P2439" s="43"/>
      <c r="Q2439" s="43"/>
      <c r="R2439" s="43"/>
      <c r="S2439" s="43"/>
      <c r="T2439" s="43"/>
      <c r="U2439" s="43"/>
      <c r="V2439" s="43"/>
    </row>
    <row r="2440" spans="1:22" ht="15.75" customHeight="1" x14ac:dyDescent="0.2">
      <c r="A2440" s="40"/>
      <c r="B2440" s="45" t="s">
        <v>94</v>
      </c>
      <c r="C2440" s="46" t="s">
        <v>2274</v>
      </c>
      <c r="D2440" s="46" t="s">
        <v>325</v>
      </c>
      <c r="E2440" s="46" t="s">
        <v>2275</v>
      </c>
      <c r="F2440" s="46" t="s">
        <v>2273</v>
      </c>
      <c r="G2440" s="46" t="s">
        <v>2261</v>
      </c>
      <c r="H2440" s="43"/>
      <c r="I2440" s="43"/>
      <c r="J2440" s="43"/>
      <c r="K2440" s="43"/>
      <c r="L2440" s="43"/>
      <c r="M2440" s="43"/>
      <c r="N2440" s="43"/>
      <c r="O2440" s="43"/>
      <c r="P2440" s="43"/>
      <c r="Q2440" s="43"/>
      <c r="R2440" s="43"/>
      <c r="S2440" s="43"/>
      <c r="T2440" s="43"/>
      <c r="U2440" s="43"/>
      <c r="V2440" s="43"/>
    </row>
    <row r="2441" spans="1:22" ht="15.75" customHeight="1" x14ac:dyDescent="0.2">
      <c r="A2441" s="40"/>
      <c r="B2441" s="45" t="s">
        <v>94</v>
      </c>
      <c r="C2441" s="46" t="s">
        <v>2276</v>
      </c>
      <c r="D2441" s="46" t="s">
        <v>139</v>
      </c>
      <c r="E2441" s="46" t="s">
        <v>32</v>
      </c>
      <c r="F2441" s="46" t="s">
        <v>2273</v>
      </c>
      <c r="G2441" s="46" t="s">
        <v>2261</v>
      </c>
      <c r="H2441" s="43"/>
      <c r="I2441" s="43"/>
      <c r="J2441" s="43"/>
      <c r="K2441" s="43"/>
      <c r="L2441" s="43"/>
      <c r="M2441" s="43"/>
      <c r="N2441" s="43"/>
      <c r="O2441" s="43"/>
      <c r="P2441" s="43"/>
      <c r="Q2441" s="43"/>
      <c r="R2441" s="43"/>
      <c r="S2441" s="43"/>
      <c r="T2441" s="43"/>
      <c r="U2441" s="43"/>
      <c r="V2441" s="43"/>
    </row>
    <row r="2442" spans="1:22" ht="15.75" customHeight="1" x14ac:dyDescent="0.2">
      <c r="A2442" s="40"/>
      <c r="B2442" s="45" t="s">
        <v>88</v>
      </c>
      <c r="C2442" s="46" t="s">
        <v>2277</v>
      </c>
      <c r="D2442" s="46" t="s">
        <v>526</v>
      </c>
      <c r="E2442" s="46" t="s">
        <v>134</v>
      </c>
      <c r="F2442" s="46" t="s">
        <v>2273</v>
      </c>
      <c r="G2442" s="46" t="s">
        <v>2261</v>
      </c>
      <c r="H2442" s="43"/>
      <c r="I2442" s="43"/>
      <c r="J2442" s="43"/>
      <c r="K2442" s="43"/>
      <c r="L2442" s="43"/>
      <c r="M2442" s="43"/>
      <c r="N2442" s="43"/>
      <c r="O2442" s="43"/>
      <c r="P2442" s="43"/>
      <c r="Q2442" s="43"/>
      <c r="R2442" s="43"/>
      <c r="S2442" s="43"/>
      <c r="T2442" s="43"/>
      <c r="U2442" s="43"/>
      <c r="V2442" s="43"/>
    </row>
    <row r="2443" spans="1:22" ht="15.75" customHeight="1" x14ac:dyDescent="0.2">
      <c r="A2443" s="40"/>
      <c r="B2443" s="45" t="s">
        <v>121</v>
      </c>
      <c r="C2443" s="46" t="s">
        <v>2278</v>
      </c>
      <c r="D2443" s="46" t="s">
        <v>697</v>
      </c>
      <c r="E2443" s="46" t="s">
        <v>306</v>
      </c>
      <c r="F2443" s="46" t="s">
        <v>2273</v>
      </c>
      <c r="G2443" s="46" t="s">
        <v>2261</v>
      </c>
      <c r="H2443" s="43"/>
      <c r="I2443" s="43"/>
      <c r="J2443" s="43"/>
      <c r="K2443" s="43"/>
      <c r="L2443" s="43"/>
      <c r="M2443" s="43"/>
      <c r="N2443" s="43"/>
      <c r="O2443" s="43"/>
      <c r="P2443" s="43"/>
      <c r="Q2443" s="43"/>
      <c r="R2443" s="43"/>
      <c r="S2443" s="43"/>
      <c r="T2443" s="43"/>
      <c r="U2443" s="43"/>
      <c r="V2443" s="43"/>
    </row>
    <row r="2444" spans="1:22" ht="15.75" customHeight="1" x14ac:dyDescent="0.2">
      <c r="A2444" s="40"/>
      <c r="B2444" s="45" t="s">
        <v>315</v>
      </c>
      <c r="C2444" s="46" t="s">
        <v>2278</v>
      </c>
      <c r="D2444" s="46" t="s">
        <v>697</v>
      </c>
      <c r="E2444" s="46" t="s">
        <v>306</v>
      </c>
      <c r="F2444" s="46" t="s">
        <v>2273</v>
      </c>
      <c r="G2444" s="46" t="s">
        <v>2261</v>
      </c>
      <c r="H2444" s="43"/>
      <c r="I2444" s="43"/>
      <c r="J2444" s="43"/>
      <c r="K2444" s="43"/>
      <c r="L2444" s="43"/>
      <c r="M2444" s="43"/>
      <c r="N2444" s="43"/>
      <c r="O2444" s="43"/>
      <c r="P2444" s="43"/>
      <c r="Q2444" s="43"/>
      <c r="R2444" s="43"/>
      <c r="S2444" s="43"/>
      <c r="T2444" s="43"/>
      <c r="U2444" s="43"/>
      <c r="V2444" s="43"/>
    </row>
    <row r="2445" spans="1:22" ht="15.75" customHeight="1" x14ac:dyDescent="0.2">
      <c r="A2445" s="40"/>
      <c r="B2445" s="45" t="s">
        <v>118</v>
      </c>
      <c r="C2445" s="46" t="s">
        <v>2279</v>
      </c>
      <c r="D2445" s="46" t="s">
        <v>513</v>
      </c>
      <c r="E2445" s="46" t="s">
        <v>2280</v>
      </c>
      <c r="F2445" s="46" t="s">
        <v>2273</v>
      </c>
      <c r="G2445" s="46" t="s">
        <v>2261</v>
      </c>
      <c r="H2445" s="43"/>
      <c r="I2445" s="43"/>
      <c r="J2445" s="43"/>
      <c r="K2445" s="43"/>
      <c r="L2445" s="43"/>
      <c r="M2445" s="43"/>
      <c r="N2445" s="43"/>
      <c r="O2445" s="43"/>
      <c r="P2445" s="43"/>
      <c r="Q2445" s="43"/>
      <c r="R2445" s="43"/>
      <c r="S2445" s="43"/>
      <c r="T2445" s="43"/>
      <c r="U2445" s="43"/>
      <c r="V2445" s="43"/>
    </row>
    <row r="2446" spans="1:22" ht="15.75" customHeight="1" x14ac:dyDescent="0.2">
      <c r="A2446" s="40"/>
      <c r="B2446" s="45" t="s">
        <v>102</v>
      </c>
      <c r="C2446" s="46" t="s">
        <v>2281</v>
      </c>
      <c r="D2446" s="46" t="s">
        <v>39</v>
      </c>
      <c r="E2446" s="46" t="s">
        <v>1048</v>
      </c>
      <c r="F2446" s="46" t="s">
        <v>2273</v>
      </c>
      <c r="G2446" s="46" t="s">
        <v>2261</v>
      </c>
      <c r="H2446" s="43"/>
      <c r="I2446" s="43"/>
      <c r="J2446" s="43"/>
      <c r="K2446" s="43"/>
      <c r="L2446" s="43"/>
      <c r="M2446" s="43"/>
      <c r="N2446" s="43"/>
      <c r="O2446" s="43"/>
      <c r="P2446" s="43"/>
      <c r="Q2446" s="43"/>
      <c r="R2446" s="43"/>
      <c r="S2446" s="43"/>
      <c r="T2446" s="43"/>
      <c r="U2446" s="43"/>
      <c r="V2446" s="43"/>
    </row>
    <row r="2447" spans="1:22" ht="15.75" customHeight="1" x14ac:dyDescent="0.2">
      <c r="A2447" s="40"/>
      <c r="B2447" s="45" t="s">
        <v>232</v>
      </c>
      <c r="C2447" s="46" t="s">
        <v>2281</v>
      </c>
      <c r="D2447" s="46" t="s">
        <v>39</v>
      </c>
      <c r="E2447" s="46" t="s">
        <v>1048</v>
      </c>
      <c r="F2447" s="46" t="s">
        <v>2273</v>
      </c>
      <c r="G2447" s="46" t="s">
        <v>2261</v>
      </c>
      <c r="H2447" s="43"/>
      <c r="I2447" s="43"/>
      <c r="J2447" s="43"/>
      <c r="K2447" s="43"/>
      <c r="L2447" s="43"/>
      <c r="M2447" s="43"/>
      <c r="N2447" s="43"/>
      <c r="O2447" s="43"/>
      <c r="P2447" s="43"/>
      <c r="Q2447" s="43"/>
      <c r="R2447" s="43"/>
      <c r="S2447" s="43"/>
      <c r="T2447" s="43"/>
      <c r="U2447" s="43"/>
      <c r="V2447" s="43"/>
    </row>
    <row r="2448" spans="1:22" ht="15.75" customHeight="1" x14ac:dyDescent="0.2">
      <c r="A2448" s="40"/>
      <c r="B2448" s="45" t="s">
        <v>94</v>
      </c>
      <c r="C2448" s="46" t="s">
        <v>2258</v>
      </c>
      <c r="D2448" s="46" t="s">
        <v>1385</v>
      </c>
      <c r="E2448" s="46" t="s">
        <v>2259</v>
      </c>
      <c r="F2448" s="46" t="s">
        <v>2282</v>
      </c>
      <c r="G2448" s="46" t="s">
        <v>2261</v>
      </c>
      <c r="H2448" s="43"/>
      <c r="I2448" s="43"/>
      <c r="J2448" s="43"/>
      <c r="K2448" s="43"/>
      <c r="L2448" s="43"/>
      <c r="M2448" s="43"/>
      <c r="N2448" s="43"/>
      <c r="O2448" s="43"/>
      <c r="P2448" s="43"/>
      <c r="Q2448" s="43"/>
      <c r="R2448" s="43"/>
      <c r="S2448" s="43"/>
      <c r="T2448" s="43"/>
      <c r="U2448" s="43"/>
      <c r="V2448" s="43"/>
    </row>
    <row r="2449" spans="1:22" ht="15.75" customHeight="1" x14ac:dyDescent="0.2">
      <c r="A2449" s="40"/>
      <c r="B2449" s="45" t="s">
        <v>94</v>
      </c>
      <c r="C2449" s="46" t="s">
        <v>1641</v>
      </c>
      <c r="D2449" s="46" t="s">
        <v>58</v>
      </c>
      <c r="E2449" s="46" t="s">
        <v>32</v>
      </c>
      <c r="F2449" s="46" t="s">
        <v>2282</v>
      </c>
      <c r="G2449" s="46" t="s">
        <v>2261</v>
      </c>
      <c r="H2449" s="43"/>
      <c r="I2449" s="43"/>
      <c r="J2449" s="43"/>
      <c r="K2449" s="43"/>
      <c r="L2449" s="43"/>
      <c r="M2449" s="43"/>
      <c r="N2449" s="43"/>
      <c r="O2449" s="43"/>
      <c r="P2449" s="43"/>
      <c r="Q2449" s="43"/>
      <c r="R2449" s="43"/>
      <c r="S2449" s="43"/>
      <c r="T2449" s="43"/>
      <c r="U2449" s="43"/>
      <c r="V2449" s="43"/>
    </row>
    <row r="2450" spans="1:22" ht="15.75" customHeight="1" x14ac:dyDescent="0.2">
      <c r="A2450" s="40"/>
      <c r="B2450" s="45" t="s">
        <v>94</v>
      </c>
      <c r="C2450" s="46" t="s">
        <v>2283</v>
      </c>
      <c r="D2450" s="46" t="s">
        <v>399</v>
      </c>
      <c r="E2450" s="46" t="s">
        <v>348</v>
      </c>
      <c r="F2450" s="46" t="s">
        <v>2282</v>
      </c>
      <c r="G2450" s="46" t="s">
        <v>2261</v>
      </c>
      <c r="H2450" s="43"/>
      <c r="I2450" s="43"/>
      <c r="J2450" s="43"/>
      <c r="K2450" s="43"/>
      <c r="L2450" s="43"/>
      <c r="M2450" s="43"/>
      <c r="N2450" s="43"/>
      <c r="O2450" s="43"/>
      <c r="P2450" s="43"/>
      <c r="Q2450" s="43"/>
      <c r="R2450" s="43"/>
      <c r="S2450" s="43"/>
      <c r="T2450" s="43"/>
      <c r="U2450" s="43"/>
      <c r="V2450" s="43"/>
    </row>
    <row r="2451" spans="1:22" ht="15.75" customHeight="1" x14ac:dyDescent="0.2">
      <c r="A2451" s="40"/>
      <c r="B2451" s="45" t="s">
        <v>94</v>
      </c>
      <c r="C2451" s="46" t="s">
        <v>2284</v>
      </c>
      <c r="D2451" s="46" t="s">
        <v>183</v>
      </c>
      <c r="E2451" s="46" t="s">
        <v>32</v>
      </c>
      <c r="F2451" s="46" t="s">
        <v>2282</v>
      </c>
      <c r="G2451" s="46" t="s">
        <v>2261</v>
      </c>
      <c r="H2451" s="43"/>
      <c r="I2451" s="43"/>
      <c r="J2451" s="43"/>
      <c r="K2451" s="43"/>
      <c r="L2451" s="43"/>
      <c r="M2451" s="43"/>
      <c r="N2451" s="43"/>
      <c r="O2451" s="43"/>
      <c r="P2451" s="43"/>
      <c r="Q2451" s="43"/>
      <c r="R2451" s="43"/>
      <c r="S2451" s="43"/>
      <c r="T2451" s="43"/>
      <c r="U2451" s="43"/>
      <c r="V2451" s="43"/>
    </row>
    <row r="2452" spans="1:22" ht="15.75" customHeight="1" x14ac:dyDescent="0.2">
      <c r="A2452" s="40"/>
      <c r="B2452" s="45" t="s">
        <v>315</v>
      </c>
      <c r="C2452" s="46" t="s">
        <v>2285</v>
      </c>
      <c r="D2452" s="46" t="s">
        <v>21</v>
      </c>
      <c r="E2452" s="46" t="s">
        <v>79</v>
      </c>
      <c r="F2452" s="46" t="s">
        <v>2282</v>
      </c>
      <c r="G2452" s="46" t="s">
        <v>2261</v>
      </c>
      <c r="H2452" s="43"/>
      <c r="I2452" s="43"/>
      <c r="J2452" s="43"/>
      <c r="K2452" s="43"/>
      <c r="L2452" s="43"/>
      <c r="M2452" s="43"/>
      <c r="N2452" s="43"/>
      <c r="O2452" s="43"/>
      <c r="P2452" s="43"/>
      <c r="Q2452" s="43"/>
      <c r="R2452" s="43"/>
      <c r="S2452" s="43"/>
      <c r="T2452" s="43"/>
      <c r="U2452" s="43"/>
      <c r="V2452" s="43"/>
    </row>
    <row r="2453" spans="1:22" ht="15.75" customHeight="1" x14ac:dyDescent="0.2">
      <c r="A2453" s="40"/>
      <c r="B2453" s="45" t="s">
        <v>126</v>
      </c>
      <c r="C2453" s="46" t="s">
        <v>2286</v>
      </c>
      <c r="D2453" s="46" t="s">
        <v>1611</v>
      </c>
      <c r="E2453" s="46" t="s">
        <v>374</v>
      </c>
      <c r="F2453" s="46" t="s">
        <v>2282</v>
      </c>
      <c r="G2453" s="46" t="s">
        <v>2261</v>
      </c>
      <c r="H2453" s="43"/>
      <c r="I2453" s="43"/>
      <c r="J2453" s="43"/>
      <c r="K2453" s="43"/>
      <c r="L2453" s="43"/>
      <c r="M2453" s="43"/>
      <c r="N2453" s="43"/>
      <c r="O2453" s="43"/>
      <c r="P2453" s="43"/>
      <c r="Q2453" s="43"/>
      <c r="R2453" s="43"/>
      <c r="S2453" s="43"/>
      <c r="T2453" s="43"/>
      <c r="U2453" s="43"/>
      <c r="V2453" s="43"/>
    </row>
    <row r="2454" spans="1:22" ht="15.75" customHeight="1" x14ac:dyDescent="0.2">
      <c r="A2454" s="40"/>
      <c r="B2454" s="45" t="s">
        <v>131</v>
      </c>
      <c r="C2454" s="46" t="s">
        <v>2286</v>
      </c>
      <c r="D2454" s="46" t="s">
        <v>1611</v>
      </c>
      <c r="E2454" s="46" t="s">
        <v>374</v>
      </c>
      <c r="F2454" s="46" t="s">
        <v>2282</v>
      </c>
      <c r="G2454" s="46" t="s">
        <v>2261</v>
      </c>
      <c r="H2454" s="43"/>
      <c r="I2454" s="43"/>
      <c r="J2454" s="43"/>
      <c r="K2454" s="43"/>
      <c r="L2454" s="43"/>
      <c r="M2454" s="43"/>
      <c r="N2454" s="43"/>
      <c r="O2454" s="43"/>
      <c r="P2454" s="43"/>
      <c r="Q2454" s="43"/>
      <c r="R2454" s="43"/>
      <c r="S2454" s="43"/>
      <c r="T2454" s="43"/>
      <c r="U2454" s="43"/>
      <c r="V2454" s="43"/>
    </row>
    <row r="2455" spans="1:22" ht="15.75" customHeight="1" x14ac:dyDescent="0.2">
      <c r="A2455" s="40"/>
      <c r="B2455" s="45" t="s">
        <v>94</v>
      </c>
      <c r="C2455" s="46" t="s">
        <v>2286</v>
      </c>
      <c r="D2455" s="46" t="s">
        <v>1611</v>
      </c>
      <c r="E2455" s="46" t="s">
        <v>374</v>
      </c>
      <c r="F2455" s="46" t="s">
        <v>2282</v>
      </c>
      <c r="G2455" s="46" t="s">
        <v>2261</v>
      </c>
      <c r="H2455" s="43"/>
      <c r="I2455" s="43"/>
      <c r="J2455" s="43"/>
      <c r="K2455" s="43"/>
      <c r="L2455" s="43"/>
      <c r="M2455" s="43"/>
      <c r="N2455" s="43"/>
      <c r="O2455" s="43"/>
      <c r="P2455" s="43"/>
      <c r="Q2455" s="43"/>
      <c r="R2455" s="43"/>
      <c r="S2455" s="43"/>
      <c r="T2455" s="43"/>
      <c r="U2455" s="43"/>
      <c r="V2455" s="43"/>
    </row>
    <row r="2456" spans="1:22" ht="15.75" customHeight="1" x14ac:dyDescent="0.2">
      <c r="A2456" s="40"/>
      <c r="B2456" s="45" t="s">
        <v>118</v>
      </c>
      <c r="C2456" s="46" t="s">
        <v>514</v>
      </c>
      <c r="D2456" s="46" t="s">
        <v>600</v>
      </c>
      <c r="E2456" s="46" t="s">
        <v>2154</v>
      </c>
      <c r="F2456" s="46" t="s">
        <v>2282</v>
      </c>
      <c r="G2456" s="46" t="s">
        <v>2261</v>
      </c>
      <c r="H2456" s="43"/>
      <c r="I2456" s="43"/>
      <c r="J2456" s="43"/>
      <c r="K2456" s="43"/>
      <c r="L2456" s="43"/>
      <c r="M2456" s="43"/>
      <c r="N2456" s="43"/>
      <c r="O2456" s="43"/>
      <c r="P2456" s="43"/>
      <c r="Q2456" s="43"/>
      <c r="R2456" s="43"/>
      <c r="S2456" s="43"/>
      <c r="T2456" s="43"/>
      <c r="U2456" s="43"/>
      <c r="V2456" s="43"/>
    </row>
    <row r="2457" spans="1:22" ht="15.75" customHeight="1" x14ac:dyDescent="0.2">
      <c r="A2457" s="40"/>
      <c r="B2457" s="45" t="s">
        <v>121</v>
      </c>
      <c r="C2457" s="46" t="s">
        <v>514</v>
      </c>
      <c r="D2457" s="46" t="s">
        <v>600</v>
      </c>
      <c r="E2457" s="46" t="s">
        <v>2154</v>
      </c>
      <c r="F2457" s="46" t="s">
        <v>2282</v>
      </c>
      <c r="G2457" s="46" t="s">
        <v>2261</v>
      </c>
      <c r="H2457" s="43"/>
      <c r="I2457" s="43"/>
      <c r="J2457" s="43"/>
      <c r="K2457" s="43"/>
      <c r="L2457" s="43"/>
      <c r="M2457" s="43"/>
      <c r="N2457" s="43"/>
      <c r="O2457" s="43"/>
      <c r="P2457" s="43"/>
      <c r="Q2457" s="43"/>
      <c r="R2457" s="43"/>
      <c r="S2457" s="43"/>
      <c r="T2457" s="43"/>
      <c r="U2457" s="43"/>
      <c r="V2457" s="43"/>
    </row>
    <row r="2458" spans="1:22" ht="15.75" customHeight="1" x14ac:dyDescent="0.2">
      <c r="A2458" s="40"/>
      <c r="B2458" s="45" t="s">
        <v>94</v>
      </c>
      <c r="C2458" s="46" t="s">
        <v>514</v>
      </c>
      <c r="D2458" s="46" t="s">
        <v>600</v>
      </c>
      <c r="E2458" s="46" t="s">
        <v>2154</v>
      </c>
      <c r="F2458" s="46" t="s">
        <v>2282</v>
      </c>
      <c r="G2458" s="46" t="s">
        <v>2261</v>
      </c>
      <c r="H2458" s="43"/>
      <c r="I2458" s="43"/>
      <c r="J2458" s="43"/>
      <c r="K2458" s="43"/>
      <c r="L2458" s="43"/>
      <c r="M2458" s="43"/>
      <c r="N2458" s="43"/>
      <c r="O2458" s="43"/>
      <c r="P2458" s="43"/>
      <c r="Q2458" s="43"/>
      <c r="R2458" s="43"/>
      <c r="S2458" s="43"/>
      <c r="T2458" s="43"/>
      <c r="U2458" s="43"/>
      <c r="V2458" s="43"/>
    </row>
    <row r="2459" spans="1:22" ht="15.75" customHeight="1" x14ac:dyDescent="0.2">
      <c r="A2459" s="40"/>
      <c r="B2459" s="45" t="s">
        <v>131</v>
      </c>
      <c r="C2459" s="46" t="s">
        <v>2287</v>
      </c>
      <c r="D2459" s="46" t="s">
        <v>295</v>
      </c>
      <c r="E2459" s="46" t="s">
        <v>596</v>
      </c>
      <c r="F2459" s="46" t="s">
        <v>1542</v>
      </c>
      <c r="G2459" s="46" t="s">
        <v>2261</v>
      </c>
      <c r="H2459" s="43"/>
      <c r="I2459" s="43"/>
      <c r="J2459" s="43"/>
      <c r="K2459" s="43"/>
      <c r="L2459" s="43"/>
      <c r="M2459" s="43"/>
      <c r="N2459" s="43"/>
      <c r="O2459" s="43"/>
      <c r="P2459" s="43"/>
      <c r="Q2459" s="43"/>
      <c r="R2459" s="43"/>
      <c r="S2459" s="43"/>
      <c r="T2459" s="43"/>
      <c r="U2459" s="43"/>
      <c r="V2459" s="43"/>
    </row>
    <row r="2460" spans="1:22" ht="15.75" customHeight="1" x14ac:dyDescent="0.2">
      <c r="A2460" s="40"/>
      <c r="B2460" s="45" t="s">
        <v>118</v>
      </c>
      <c r="C2460" s="46" t="s">
        <v>2287</v>
      </c>
      <c r="D2460" s="46" t="s">
        <v>295</v>
      </c>
      <c r="E2460" s="46" t="s">
        <v>596</v>
      </c>
      <c r="F2460" s="46" t="s">
        <v>1542</v>
      </c>
      <c r="G2460" s="46" t="s">
        <v>2261</v>
      </c>
      <c r="H2460" s="43"/>
      <c r="I2460" s="43"/>
      <c r="J2460" s="43"/>
      <c r="K2460" s="43"/>
      <c r="L2460" s="43"/>
      <c r="M2460" s="43"/>
      <c r="N2460" s="43"/>
      <c r="O2460" s="43"/>
      <c r="P2460" s="43"/>
      <c r="Q2460" s="43"/>
      <c r="R2460" s="43"/>
      <c r="S2460" s="43"/>
      <c r="T2460" s="43"/>
      <c r="U2460" s="43"/>
      <c r="V2460" s="43"/>
    </row>
    <row r="2461" spans="1:22" ht="15.75" customHeight="1" x14ac:dyDescent="0.2">
      <c r="A2461" s="40"/>
      <c r="B2461" s="45" t="s">
        <v>131</v>
      </c>
      <c r="C2461" s="46" t="s">
        <v>870</v>
      </c>
      <c r="D2461" s="46" t="s">
        <v>78</v>
      </c>
      <c r="E2461" s="46" t="s">
        <v>650</v>
      </c>
      <c r="F2461" s="46" t="s">
        <v>2288</v>
      </c>
      <c r="G2461" s="46" t="s">
        <v>2261</v>
      </c>
      <c r="H2461" s="43"/>
      <c r="I2461" s="43"/>
      <c r="J2461" s="43"/>
      <c r="K2461" s="43"/>
      <c r="L2461" s="43"/>
      <c r="M2461" s="43"/>
      <c r="N2461" s="43"/>
      <c r="O2461" s="43"/>
      <c r="P2461" s="43"/>
      <c r="Q2461" s="43"/>
      <c r="R2461" s="43"/>
      <c r="S2461" s="43"/>
      <c r="T2461" s="43"/>
      <c r="U2461" s="43"/>
      <c r="V2461" s="43"/>
    </row>
    <row r="2462" spans="1:22" ht="15.75" customHeight="1" x14ac:dyDescent="0.2">
      <c r="A2462" s="40"/>
      <c r="B2462" s="45" t="s">
        <v>118</v>
      </c>
      <c r="C2462" s="46" t="s">
        <v>870</v>
      </c>
      <c r="D2462" s="46" t="s">
        <v>78</v>
      </c>
      <c r="E2462" s="46" t="s">
        <v>650</v>
      </c>
      <c r="F2462" s="46" t="s">
        <v>2288</v>
      </c>
      <c r="G2462" s="46" t="s">
        <v>2261</v>
      </c>
      <c r="H2462" s="43"/>
      <c r="I2462" s="43"/>
      <c r="J2462" s="43"/>
      <c r="K2462" s="43"/>
      <c r="L2462" s="43"/>
      <c r="M2462" s="43"/>
      <c r="N2462" s="43"/>
      <c r="O2462" s="43"/>
      <c r="P2462" s="43"/>
      <c r="Q2462" s="43"/>
      <c r="R2462" s="43"/>
      <c r="S2462" s="43"/>
      <c r="T2462" s="43"/>
      <c r="U2462" s="43"/>
      <c r="V2462" s="43"/>
    </row>
    <row r="2463" spans="1:22" ht="15.75" customHeight="1" x14ac:dyDescent="0.2">
      <c r="A2463" s="40">
        <v>2683</v>
      </c>
      <c r="B2463" s="41" t="s">
        <v>1098</v>
      </c>
      <c r="C2463" s="42" t="s">
        <v>2289</v>
      </c>
      <c r="D2463" s="42" t="s">
        <v>75</v>
      </c>
      <c r="E2463" s="42" t="s">
        <v>87</v>
      </c>
      <c r="F2463" s="42" t="s">
        <v>2288</v>
      </c>
      <c r="G2463" s="42" t="s">
        <v>2261</v>
      </c>
      <c r="H2463" s="43"/>
      <c r="I2463" s="43"/>
      <c r="J2463" s="43"/>
      <c r="K2463" s="43"/>
      <c r="L2463" s="43"/>
      <c r="M2463" s="43"/>
      <c r="N2463" s="43"/>
      <c r="O2463" s="43"/>
      <c r="P2463" s="43"/>
      <c r="Q2463" s="43"/>
      <c r="R2463" s="43"/>
      <c r="S2463" s="43"/>
      <c r="T2463" s="43"/>
      <c r="U2463" s="43"/>
      <c r="V2463" s="43"/>
    </row>
    <row r="2464" spans="1:22" ht="15.75" customHeight="1" x14ac:dyDescent="0.2">
      <c r="A2464" s="40"/>
      <c r="B2464" s="45" t="s">
        <v>109</v>
      </c>
      <c r="C2464" s="46" t="s">
        <v>2073</v>
      </c>
      <c r="D2464" s="46" t="s">
        <v>272</v>
      </c>
      <c r="E2464" s="46" t="s">
        <v>40</v>
      </c>
      <c r="F2464" s="46" t="s">
        <v>2288</v>
      </c>
      <c r="G2464" s="46" t="s">
        <v>2261</v>
      </c>
    </row>
    <row r="2465" spans="1:22" ht="15.75" customHeight="1" x14ac:dyDescent="0.2">
      <c r="A2465" s="40"/>
      <c r="B2465" s="45" t="s">
        <v>108</v>
      </c>
      <c r="C2465" s="46" t="s">
        <v>2073</v>
      </c>
      <c r="D2465" s="46" t="s">
        <v>272</v>
      </c>
      <c r="E2465" s="46" t="s">
        <v>40</v>
      </c>
      <c r="F2465" s="46" t="s">
        <v>2288</v>
      </c>
      <c r="G2465" s="46" t="s">
        <v>2261</v>
      </c>
      <c r="H2465" s="43"/>
      <c r="I2465" s="43"/>
      <c r="J2465" s="43"/>
      <c r="K2465" s="43"/>
      <c r="L2465" s="43"/>
      <c r="M2465" s="43"/>
      <c r="N2465" s="43"/>
      <c r="O2465" s="43"/>
      <c r="P2465" s="43"/>
      <c r="Q2465" s="43"/>
      <c r="R2465" s="43"/>
      <c r="S2465" s="43"/>
      <c r="T2465" s="43"/>
      <c r="U2465" s="43"/>
      <c r="V2465" s="43"/>
    </row>
    <row r="2466" spans="1:22" ht="15.75" customHeight="1" x14ac:dyDescent="0.2">
      <c r="A2466" s="40"/>
      <c r="B2466" s="45" t="s">
        <v>297</v>
      </c>
      <c r="C2466" s="46" t="s">
        <v>2290</v>
      </c>
      <c r="D2466" s="46" t="s">
        <v>1041</v>
      </c>
      <c r="E2466" s="46" t="s">
        <v>637</v>
      </c>
      <c r="F2466" s="46" t="s">
        <v>2288</v>
      </c>
      <c r="G2466" s="46" t="s">
        <v>2261</v>
      </c>
      <c r="H2466" s="43"/>
      <c r="I2466" s="43"/>
      <c r="J2466" s="43"/>
      <c r="K2466" s="43"/>
      <c r="L2466" s="43"/>
      <c r="M2466" s="43"/>
      <c r="N2466" s="43"/>
      <c r="O2466" s="43"/>
      <c r="P2466" s="43"/>
      <c r="Q2466" s="43"/>
      <c r="R2466" s="43"/>
      <c r="S2466" s="43"/>
      <c r="T2466" s="43"/>
      <c r="U2466" s="43"/>
      <c r="V2466" s="43"/>
    </row>
    <row r="2467" spans="1:22" ht="15.75" customHeight="1" x14ac:dyDescent="0.2">
      <c r="A2467" s="40"/>
      <c r="B2467" s="45" t="s">
        <v>114</v>
      </c>
      <c r="C2467" s="46" t="s">
        <v>2291</v>
      </c>
      <c r="D2467" s="46" t="s">
        <v>272</v>
      </c>
      <c r="E2467" s="46" t="s">
        <v>571</v>
      </c>
      <c r="F2467" s="46" t="s">
        <v>2288</v>
      </c>
      <c r="G2467" s="46" t="s">
        <v>2261</v>
      </c>
      <c r="H2467" s="43"/>
      <c r="I2467" s="43"/>
      <c r="J2467" s="43"/>
      <c r="K2467" s="43"/>
      <c r="L2467" s="43"/>
      <c r="M2467" s="43"/>
      <c r="N2467" s="43"/>
      <c r="O2467" s="43"/>
      <c r="P2467" s="43"/>
      <c r="Q2467" s="43"/>
      <c r="R2467" s="43"/>
      <c r="S2467" s="43"/>
      <c r="T2467" s="43"/>
      <c r="U2467" s="43"/>
      <c r="V2467" s="43"/>
    </row>
    <row r="2468" spans="1:22" ht="15.75" customHeight="1" x14ac:dyDescent="0.2">
      <c r="A2468" s="40"/>
      <c r="B2468" s="45" t="s">
        <v>108</v>
      </c>
      <c r="C2468" s="46" t="s">
        <v>2291</v>
      </c>
      <c r="D2468" s="46" t="s">
        <v>272</v>
      </c>
      <c r="E2468" s="46" t="s">
        <v>571</v>
      </c>
      <c r="F2468" s="46" t="s">
        <v>2288</v>
      </c>
      <c r="G2468" s="46" t="s">
        <v>2261</v>
      </c>
      <c r="H2468" s="43"/>
      <c r="I2468" s="43"/>
      <c r="J2468" s="43"/>
      <c r="K2468" s="43"/>
      <c r="L2468" s="43"/>
      <c r="M2468" s="43"/>
      <c r="N2468" s="43"/>
      <c r="O2468" s="43"/>
      <c r="P2468" s="43"/>
      <c r="Q2468" s="43"/>
      <c r="R2468" s="43"/>
      <c r="S2468" s="43"/>
      <c r="T2468" s="43"/>
      <c r="U2468" s="43"/>
      <c r="V2468" s="43"/>
    </row>
    <row r="2469" spans="1:22" ht="15.75" customHeight="1" x14ac:dyDescent="0.2">
      <c r="A2469" s="40"/>
      <c r="B2469" s="45" t="s">
        <v>122</v>
      </c>
      <c r="C2469" s="46" t="s">
        <v>63</v>
      </c>
      <c r="D2469" s="46" t="s">
        <v>31</v>
      </c>
      <c r="E2469" s="46" t="s">
        <v>397</v>
      </c>
      <c r="F2469" s="46" t="s">
        <v>2288</v>
      </c>
      <c r="G2469" s="46" t="s">
        <v>2261</v>
      </c>
      <c r="H2469" s="43"/>
      <c r="I2469" s="43"/>
      <c r="J2469" s="43"/>
      <c r="K2469" s="43"/>
      <c r="L2469" s="43"/>
      <c r="M2469" s="43"/>
      <c r="N2469" s="43"/>
      <c r="O2469" s="43"/>
      <c r="P2469" s="43"/>
      <c r="Q2469" s="43"/>
      <c r="R2469" s="43"/>
      <c r="S2469" s="43"/>
      <c r="T2469" s="43"/>
      <c r="U2469" s="43"/>
      <c r="V2469" s="43"/>
    </row>
    <row r="2470" spans="1:22" ht="15.75" customHeight="1" x14ac:dyDescent="0.2">
      <c r="A2470" s="40"/>
      <c r="B2470" s="45" t="s">
        <v>126</v>
      </c>
      <c r="C2470" s="46" t="s">
        <v>63</v>
      </c>
      <c r="D2470" s="46" t="s">
        <v>31</v>
      </c>
      <c r="E2470" s="46" t="s">
        <v>397</v>
      </c>
      <c r="F2470" s="46" t="s">
        <v>2288</v>
      </c>
      <c r="G2470" s="46" t="s">
        <v>2261</v>
      </c>
      <c r="H2470" s="43"/>
      <c r="I2470" s="43"/>
      <c r="J2470" s="43"/>
      <c r="K2470" s="43"/>
      <c r="L2470" s="43"/>
      <c r="M2470" s="43"/>
      <c r="N2470" s="43"/>
      <c r="O2470" s="43"/>
      <c r="P2470" s="43"/>
      <c r="Q2470" s="43"/>
      <c r="R2470" s="43"/>
      <c r="S2470" s="43"/>
      <c r="T2470" s="43"/>
      <c r="U2470" s="43"/>
      <c r="V2470" s="43"/>
    </row>
    <row r="2471" spans="1:22" ht="15.75" customHeight="1" x14ac:dyDescent="0.2">
      <c r="A2471" s="40"/>
      <c r="B2471" s="45" t="s">
        <v>108</v>
      </c>
      <c r="C2471" s="46" t="s">
        <v>63</v>
      </c>
      <c r="D2471" s="46" t="s">
        <v>31</v>
      </c>
      <c r="E2471" s="46" t="s">
        <v>397</v>
      </c>
      <c r="F2471" s="46" t="s">
        <v>2288</v>
      </c>
      <c r="G2471" s="46" t="s">
        <v>2261</v>
      </c>
      <c r="H2471" s="43"/>
      <c r="I2471" s="43"/>
      <c r="J2471" s="43"/>
      <c r="K2471" s="43"/>
      <c r="L2471" s="43"/>
      <c r="M2471" s="43"/>
      <c r="N2471" s="43"/>
      <c r="O2471" s="43"/>
      <c r="P2471" s="43"/>
      <c r="Q2471" s="43"/>
      <c r="R2471" s="43"/>
      <c r="S2471" s="43"/>
      <c r="T2471" s="43"/>
      <c r="U2471" s="43"/>
      <c r="V2471" s="43"/>
    </row>
    <row r="2472" spans="1:22" ht="15.75" customHeight="1" x14ac:dyDescent="0.2">
      <c r="A2472" s="40"/>
      <c r="B2472" s="45" t="s">
        <v>297</v>
      </c>
      <c r="C2472" s="46" t="s">
        <v>2292</v>
      </c>
      <c r="D2472" s="46" t="s">
        <v>104</v>
      </c>
      <c r="E2472" s="46" t="s">
        <v>348</v>
      </c>
      <c r="F2472" s="46" t="s">
        <v>2288</v>
      </c>
      <c r="G2472" s="46" t="s">
        <v>2261</v>
      </c>
      <c r="H2472" s="43"/>
      <c r="I2472" s="43"/>
      <c r="J2472" s="43"/>
      <c r="K2472" s="43"/>
      <c r="L2472" s="43"/>
      <c r="M2472" s="43"/>
      <c r="N2472" s="43"/>
      <c r="O2472" s="43"/>
      <c r="P2472" s="43"/>
      <c r="Q2472" s="43"/>
      <c r="R2472" s="43"/>
      <c r="S2472" s="43"/>
      <c r="T2472" s="43"/>
      <c r="U2472" s="43"/>
      <c r="V2472" s="43"/>
    </row>
    <row r="2473" spans="1:22" ht="15.75" customHeight="1" x14ac:dyDescent="0.2">
      <c r="A2473" s="40"/>
      <c r="B2473" s="45" t="s">
        <v>316</v>
      </c>
      <c r="C2473" s="46" t="s">
        <v>2292</v>
      </c>
      <c r="D2473" s="46" t="s">
        <v>104</v>
      </c>
      <c r="E2473" s="46" t="s">
        <v>348</v>
      </c>
      <c r="F2473" s="46" t="s">
        <v>2288</v>
      </c>
      <c r="G2473" s="46" t="s">
        <v>2261</v>
      </c>
      <c r="H2473" s="43"/>
      <c r="I2473" s="43"/>
      <c r="J2473" s="43"/>
      <c r="K2473" s="43"/>
      <c r="L2473" s="43"/>
      <c r="M2473" s="43"/>
      <c r="N2473" s="43"/>
      <c r="O2473" s="43"/>
      <c r="P2473" s="43"/>
      <c r="Q2473" s="43"/>
      <c r="R2473" s="43"/>
      <c r="S2473" s="43"/>
      <c r="T2473" s="43"/>
      <c r="U2473" s="43"/>
      <c r="V2473" s="43"/>
    </row>
    <row r="2474" spans="1:22" ht="15.75" customHeight="1" x14ac:dyDescent="0.2">
      <c r="A2474" s="40"/>
      <c r="B2474" s="45" t="s">
        <v>94</v>
      </c>
      <c r="C2474" s="46" t="s">
        <v>2292</v>
      </c>
      <c r="D2474" s="46" t="s">
        <v>104</v>
      </c>
      <c r="E2474" s="46" t="s">
        <v>348</v>
      </c>
      <c r="F2474" s="46" t="s">
        <v>2288</v>
      </c>
      <c r="G2474" s="46" t="s">
        <v>2261</v>
      </c>
      <c r="H2474" s="43"/>
      <c r="I2474" s="43"/>
      <c r="J2474" s="43"/>
      <c r="K2474" s="43"/>
      <c r="L2474" s="43"/>
      <c r="M2474" s="43"/>
      <c r="N2474" s="43"/>
      <c r="O2474" s="43"/>
      <c r="P2474" s="43"/>
      <c r="Q2474" s="43"/>
      <c r="R2474" s="43"/>
      <c r="S2474" s="43"/>
      <c r="T2474" s="43"/>
      <c r="U2474" s="43"/>
      <c r="V2474" s="43"/>
    </row>
    <row r="2475" spans="1:22" ht="15.75" customHeight="1" x14ac:dyDescent="0.2">
      <c r="A2475" s="40"/>
      <c r="B2475" s="45" t="s">
        <v>126</v>
      </c>
      <c r="C2475" s="46" t="s">
        <v>2293</v>
      </c>
      <c r="D2475" s="46" t="s">
        <v>333</v>
      </c>
      <c r="E2475" s="46" t="s">
        <v>306</v>
      </c>
      <c r="F2475" s="46" t="s">
        <v>2288</v>
      </c>
      <c r="G2475" s="46" t="s">
        <v>2261</v>
      </c>
      <c r="H2475" s="43"/>
      <c r="I2475" s="43"/>
      <c r="J2475" s="43"/>
      <c r="K2475" s="43"/>
      <c r="L2475" s="43"/>
      <c r="M2475" s="43"/>
      <c r="N2475" s="43"/>
      <c r="O2475" s="43"/>
      <c r="P2475" s="43"/>
      <c r="Q2475" s="43"/>
      <c r="R2475" s="43"/>
      <c r="S2475" s="43"/>
      <c r="T2475" s="43"/>
      <c r="U2475" s="43"/>
      <c r="V2475" s="43"/>
    </row>
    <row r="2476" spans="1:22" ht="15.75" customHeight="1" x14ac:dyDescent="0.2">
      <c r="A2476" s="40"/>
      <c r="B2476" s="45" t="s">
        <v>131</v>
      </c>
      <c r="C2476" s="46" t="s">
        <v>2293</v>
      </c>
      <c r="D2476" s="46" t="s">
        <v>333</v>
      </c>
      <c r="E2476" s="46" t="s">
        <v>306</v>
      </c>
      <c r="F2476" s="46" t="s">
        <v>2288</v>
      </c>
      <c r="G2476" s="46" t="s">
        <v>2261</v>
      </c>
      <c r="H2476" s="43"/>
      <c r="I2476" s="43"/>
      <c r="J2476" s="43"/>
      <c r="K2476" s="43"/>
      <c r="L2476" s="43"/>
      <c r="M2476" s="43"/>
      <c r="N2476" s="43"/>
      <c r="O2476" s="43"/>
      <c r="P2476" s="43"/>
      <c r="Q2476" s="43"/>
      <c r="R2476" s="43"/>
      <c r="S2476" s="43"/>
      <c r="T2476" s="43"/>
      <c r="U2476" s="43"/>
      <c r="V2476" s="43"/>
    </row>
    <row r="2477" spans="1:22" ht="15.75" customHeight="1" x14ac:dyDescent="0.2">
      <c r="A2477" s="40">
        <v>1399</v>
      </c>
      <c r="B2477" s="41" t="s">
        <v>386</v>
      </c>
      <c r="C2477" s="42" t="s">
        <v>1945</v>
      </c>
      <c r="D2477" s="42" t="s">
        <v>562</v>
      </c>
      <c r="E2477" s="42" t="s">
        <v>326</v>
      </c>
      <c r="F2477" s="42" t="s">
        <v>2288</v>
      </c>
      <c r="G2477" s="42" t="s">
        <v>2261</v>
      </c>
      <c r="H2477" s="43"/>
      <c r="I2477" s="43"/>
      <c r="J2477" s="43"/>
      <c r="K2477" s="43"/>
      <c r="L2477" s="43"/>
      <c r="M2477" s="43"/>
      <c r="N2477" s="43"/>
      <c r="O2477" s="43"/>
      <c r="P2477" s="43"/>
      <c r="Q2477" s="43"/>
      <c r="R2477" s="43"/>
      <c r="S2477" s="43"/>
      <c r="T2477" s="43"/>
      <c r="U2477" s="43"/>
      <c r="V2477" s="43"/>
    </row>
    <row r="2478" spans="1:22" ht="15.75" customHeight="1" x14ac:dyDescent="0.2">
      <c r="A2478" s="40">
        <v>2141</v>
      </c>
      <c r="B2478" s="41" t="s">
        <v>281</v>
      </c>
      <c r="C2478" s="42" t="s">
        <v>1945</v>
      </c>
      <c r="D2478" s="42" t="s">
        <v>562</v>
      </c>
      <c r="E2478" s="42" t="s">
        <v>326</v>
      </c>
      <c r="F2478" s="42" t="s">
        <v>2288</v>
      </c>
      <c r="G2478" s="42" t="s">
        <v>2261</v>
      </c>
      <c r="H2478" s="43"/>
      <c r="I2478" s="43"/>
      <c r="J2478" s="43"/>
      <c r="K2478" s="43"/>
      <c r="L2478" s="43"/>
      <c r="M2478" s="43"/>
      <c r="N2478" s="43"/>
      <c r="O2478" s="43"/>
      <c r="P2478" s="43"/>
      <c r="Q2478" s="43"/>
      <c r="R2478" s="43"/>
      <c r="S2478" s="43"/>
      <c r="T2478" s="43"/>
      <c r="U2478" s="43"/>
      <c r="V2478" s="43"/>
    </row>
    <row r="2479" spans="1:22" ht="15.75" customHeight="1" x14ac:dyDescent="0.2">
      <c r="A2479" s="40"/>
      <c r="B2479" s="45" t="s">
        <v>118</v>
      </c>
      <c r="C2479" s="46" t="s">
        <v>1379</v>
      </c>
      <c r="D2479" s="46" t="s">
        <v>2294</v>
      </c>
      <c r="E2479" s="46" t="s">
        <v>255</v>
      </c>
      <c r="F2479" s="46" t="s">
        <v>2288</v>
      </c>
      <c r="G2479" s="46" t="s">
        <v>2261</v>
      </c>
      <c r="H2479" s="43"/>
      <c r="I2479" s="43"/>
      <c r="J2479" s="43"/>
      <c r="K2479" s="43"/>
      <c r="L2479" s="43"/>
      <c r="M2479" s="43"/>
      <c r="N2479" s="43"/>
      <c r="O2479" s="43"/>
      <c r="P2479" s="43"/>
      <c r="Q2479" s="43"/>
      <c r="R2479" s="43"/>
      <c r="S2479" s="43"/>
      <c r="T2479" s="43"/>
      <c r="U2479" s="43"/>
      <c r="V2479" s="43"/>
    </row>
    <row r="2480" spans="1:22" ht="15.75" customHeight="1" x14ac:dyDescent="0.2">
      <c r="A2480" s="40"/>
      <c r="B2480" s="45" t="s">
        <v>131</v>
      </c>
      <c r="C2480" s="46" t="s">
        <v>2295</v>
      </c>
      <c r="D2480" s="46" t="s">
        <v>139</v>
      </c>
      <c r="E2480" s="46" t="s">
        <v>87</v>
      </c>
      <c r="F2480" s="46" t="s">
        <v>2288</v>
      </c>
      <c r="G2480" s="46" t="s">
        <v>2261</v>
      </c>
      <c r="H2480" s="43"/>
      <c r="I2480" s="43"/>
      <c r="J2480" s="43"/>
      <c r="K2480" s="43"/>
      <c r="L2480" s="43"/>
      <c r="M2480" s="43"/>
      <c r="N2480" s="43"/>
      <c r="O2480" s="43"/>
      <c r="P2480" s="43"/>
      <c r="Q2480" s="43"/>
      <c r="R2480" s="43"/>
      <c r="S2480" s="43"/>
      <c r="T2480" s="43"/>
      <c r="U2480" s="43"/>
      <c r="V2480" s="43"/>
    </row>
    <row r="2481" spans="1:22" ht="15.75" customHeight="1" x14ac:dyDescent="0.2">
      <c r="A2481" s="40"/>
      <c r="B2481" s="45" t="s">
        <v>118</v>
      </c>
      <c r="C2481" s="46" t="s">
        <v>2295</v>
      </c>
      <c r="D2481" s="46" t="s">
        <v>139</v>
      </c>
      <c r="E2481" s="46" t="s">
        <v>87</v>
      </c>
      <c r="F2481" s="46" t="s">
        <v>2288</v>
      </c>
      <c r="G2481" s="46" t="s">
        <v>2261</v>
      </c>
      <c r="H2481" s="43"/>
      <c r="I2481" s="43"/>
      <c r="J2481" s="43"/>
      <c r="K2481" s="43"/>
      <c r="L2481" s="43"/>
      <c r="M2481" s="43"/>
      <c r="N2481" s="43"/>
      <c r="O2481" s="43"/>
      <c r="P2481" s="43"/>
      <c r="Q2481" s="43"/>
      <c r="R2481" s="43"/>
      <c r="S2481" s="43"/>
      <c r="T2481" s="43"/>
      <c r="U2481" s="43"/>
      <c r="V2481" s="43"/>
    </row>
    <row r="2482" spans="1:22" ht="15.75" customHeight="1" x14ac:dyDescent="0.2">
      <c r="A2482" s="40"/>
      <c r="B2482" s="45" t="s">
        <v>102</v>
      </c>
      <c r="C2482" s="46" t="s">
        <v>505</v>
      </c>
      <c r="D2482" s="46" t="s">
        <v>325</v>
      </c>
      <c r="E2482" s="46" t="s">
        <v>125</v>
      </c>
      <c r="F2482" s="46" t="s">
        <v>2288</v>
      </c>
      <c r="G2482" s="46" t="s">
        <v>2261</v>
      </c>
      <c r="H2482" s="43"/>
      <c r="I2482" s="43"/>
      <c r="J2482" s="43"/>
      <c r="K2482" s="43"/>
      <c r="L2482" s="43"/>
      <c r="M2482" s="43"/>
      <c r="N2482" s="43"/>
      <c r="O2482" s="43"/>
      <c r="P2482" s="43"/>
      <c r="Q2482" s="43"/>
      <c r="R2482" s="43"/>
      <c r="S2482" s="43"/>
      <c r="T2482" s="43"/>
      <c r="U2482" s="43"/>
      <c r="V2482" s="43"/>
    </row>
    <row r="2483" spans="1:22" ht="15.75" customHeight="1" x14ac:dyDescent="0.2">
      <c r="A2483" s="40"/>
      <c r="B2483" s="45" t="s">
        <v>232</v>
      </c>
      <c r="C2483" s="46" t="s">
        <v>505</v>
      </c>
      <c r="D2483" s="46" t="s">
        <v>325</v>
      </c>
      <c r="E2483" s="46" t="s">
        <v>125</v>
      </c>
      <c r="F2483" s="46" t="s">
        <v>2288</v>
      </c>
      <c r="G2483" s="46" t="s">
        <v>2261</v>
      </c>
      <c r="H2483" s="43"/>
      <c r="I2483" s="43"/>
      <c r="J2483" s="43"/>
      <c r="K2483" s="43"/>
      <c r="L2483" s="43"/>
      <c r="M2483" s="43"/>
      <c r="N2483" s="43"/>
      <c r="O2483" s="43"/>
      <c r="P2483" s="43"/>
      <c r="Q2483" s="43"/>
      <c r="R2483" s="43"/>
      <c r="S2483" s="43"/>
      <c r="T2483" s="43"/>
      <c r="U2483" s="43"/>
      <c r="V2483" s="43"/>
    </row>
    <row r="2484" spans="1:22" ht="15.75" customHeight="1" x14ac:dyDescent="0.2">
      <c r="A2484" s="40">
        <v>201</v>
      </c>
      <c r="B2484" s="41" t="s">
        <v>1631</v>
      </c>
      <c r="C2484" s="42" t="s">
        <v>2296</v>
      </c>
      <c r="D2484" s="42" t="s">
        <v>2297</v>
      </c>
      <c r="E2484" s="42" t="s">
        <v>2298</v>
      </c>
      <c r="F2484" s="42" t="s">
        <v>2299</v>
      </c>
      <c r="G2484" s="42" t="s">
        <v>2261</v>
      </c>
      <c r="H2484" s="43"/>
      <c r="I2484" s="43"/>
      <c r="J2484" s="43"/>
      <c r="K2484" s="43"/>
      <c r="L2484" s="43"/>
      <c r="M2484" s="43"/>
      <c r="N2484" s="43"/>
      <c r="O2484" s="43"/>
      <c r="P2484" s="43"/>
      <c r="Q2484" s="43"/>
      <c r="R2484" s="43"/>
      <c r="S2484" s="43"/>
      <c r="T2484" s="43"/>
      <c r="U2484" s="43"/>
      <c r="V2484" s="43"/>
    </row>
    <row r="2485" spans="1:22" ht="15.75" customHeight="1" x14ac:dyDescent="0.2">
      <c r="A2485" s="40">
        <v>79</v>
      </c>
      <c r="B2485" s="41" t="s">
        <v>226</v>
      </c>
      <c r="C2485" s="42" t="s">
        <v>2300</v>
      </c>
      <c r="D2485" s="42" t="s">
        <v>2301</v>
      </c>
      <c r="E2485" s="42" t="s">
        <v>229</v>
      </c>
      <c r="F2485" s="42" t="s">
        <v>2302</v>
      </c>
      <c r="G2485" s="42" t="s">
        <v>2261</v>
      </c>
      <c r="H2485" s="43"/>
      <c r="I2485" s="43"/>
      <c r="J2485" s="43"/>
      <c r="K2485" s="43"/>
      <c r="L2485" s="43"/>
      <c r="M2485" s="43"/>
      <c r="N2485" s="43"/>
      <c r="O2485" s="43"/>
      <c r="P2485" s="43"/>
      <c r="Q2485" s="43"/>
      <c r="R2485" s="43"/>
      <c r="S2485" s="43"/>
      <c r="T2485" s="43"/>
      <c r="U2485" s="43"/>
      <c r="V2485" s="43"/>
    </row>
    <row r="2486" spans="1:22" ht="15.75" customHeight="1" x14ac:dyDescent="0.2">
      <c r="A2486" s="40"/>
      <c r="B2486" s="45" t="s">
        <v>818</v>
      </c>
      <c r="C2486" s="46" t="s">
        <v>2303</v>
      </c>
      <c r="D2486" s="46" t="s">
        <v>1858</v>
      </c>
      <c r="E2486" s="46" t="s">
        <v>40</v>
      </c>
      <c r="F2486" s="46" t="s">
        <v>2304</v>
      </c>
      <c r="G2486" s="46" t="s">
        <v>2305</v>
      </c>
      <c r="H2486" s="43"/>
      <c r="I2486" s="43"/>
      <c r="J2486" s="43"/>
      <c r="K2486" s="43"/>
      <c r="L2486" s="43"/>
      <c r="M2486" s="43"/>
      <c r="N2486" s="43"/>
      <c r="O2486" s="43"/>
      <c r="P2486" s="43"/>
      <c r="Q2486" s="43"/>
      <c r="R2486" s="43"/>
      <c r="S2486" s="43"/>
      <c r="T2486" s="43"/>
      <c r="U2486" s="43"/>
      <c r="V2486" s="43"/>
    </row>
    <row r="2487" spans="1:22" ht="15.75" customHeight="1" x14ac:dyDescent="0.2">
      <c r="A2487" s="40"/>
      <c r="B2487" s="47" t="s">
        <v>830</v>
      </c>
      <c r="C2487" s="51" t="s">
        <v>2306</v>
      </c>
      <c r="D2487" s="51" t="s">
        <v>124</v>
      </c>
      <c r="E2487" s="46" t="s">
        <v>40</v>
      </c>
      <c r="F2487" s="51" t="s">
        <v>2304</v>
      </c>
      <c r="G2487" s="51" t="s">
        <v>2305</v>
      </c>
      <c r="H2487" s="43"/>
      <c r="I2487" s="43"/>
      <c r="J2487" s="43"/>
      <c r="K2487" s="43"/>
      <c r="L2487" s="43"/>
      <c r="M2487" s="43"/>
      <c r="N2487" s="43"/>
      <c r="O2487" s="43"/>
      <c r="P2487" s="43"/>
      <c r="Q2487" s="43"/>
      <c r="R2487" s="43"/>
      <c r="S2487" s="43"/>
      <c r="T2487" s="43"/>
      <c r="U2487" s="43"/>
      <c r="V2487" s="43"/>
    </row>
    <row r="2488" spans="1:22" ht="15.75" customHeight="1" x14ac:dyDescent="0.2">
      <c r="A2488" s="40"/>
      <c r="B2488" s="45" t="s">
        <v>807</v>
      </c>
      <c r="C2488" s="46" t="s">
        <v>2307</v>
      </c>
      <c r="D2488" s="46" t="s">
        <v>2308</v>
      </c>
      <c r="E2488" s="46" t="s">
        <v>310</v>
      </c>
      <c r="F2488" s="46" t="s">
        <v>2304</v>
      </c>
      <c r="G2488" s="46" t="s">
        <v>2305</v>
      </c>
      <c r="H2488" s="43"/>
      <c r="I2488" s="43"/>
      <c r="J2488" s="43"/>
      <c r="K2488" s="43"/>
      <c r="L2488" s="43"/>
      <c r="M2488" s="43"/>
      <c r="N2488" s="43"/>
      <c r="O2488" s="43"/>
      <c r="P2488" s="43"/>
      <c r="Q2488" s="43"/>
      <c r="R2488" s="43"/>
      <c r="S2488" s="43"/>
      <c r="T2488" s="43"/>
      <c r="U2488" s="43"/>
      <c r="V2488" s="43"/>
    </row>
    <row r="2489" spans="1:22" ht="15.75" customHeight="1" x14ac:dyDescent="0.2">
      <c r="A2489" s="40"/>
      <c r="B2489" s="45" t="s">
        <v>828</v>
      </c>
      <c r="C2489" s="46" t="s">
        <v>700</v>
      </c>
      <c r="D2489" s="46" t="s">
        <v>39</v>
      </c>
      <c r="E2489" s="46" t="s">
        <v>125</v>
      </c>
      <c r="F2489" s="46" t="s">
        <v>2309</v>
      </c>
      <c r="G2489" s="46" t="s">
        <v>2305</v>
      </c>
      <c r="H2489" s="43"/>
      <c r="I2489" s="43"/>
      <c r="J2489" s="43"/>
      <c r="K2489" s="43"/>
      <c r="L2489" s="43"/>
      <c r="M2489" s="43"/>
      <c r="N2489" s="43"/>
      <c r="O2489" s="43"/>
      <c r="P2489" s="43"/>
      <c r="Q2489" s="43"/>
      <c r="R2489" s="43"/>
      <c r="S2489" s="43"/>
      <c r="T2489" s="43"/>
      <c r="U2489" s="43"/>
      <c r="V2489" s="43"/>
    </row>
    <row r="2490" spans="1:22" ht="15.75" customHeight="1" x14ac:dyDescent="0.2">
      <c r="A2490" s="40"/>
      <c r="B2490" s="45" t="s">
        <v>1977</v>
      </c>
      <c r="C2490" s="46" t="s">
        <v>57</v>
      </c>
      <c r="D2490" s="46" t="s">
        <v>124</v>
      </c>
      <c r="E2490" s="46" t="s">
        <v>273</v>
      </c>
      <c r="F2490" s="46" t="s">
        <v>2309</v>
      </c>
      <c r="G2490" s="46" t="s">
        <v>2305</v>
      </c>
      <c r="H2490" s="43"/>
      <c r="I2490" s="43"/>
      <c r="J2490" s="43"/>
      <c r="K2490" s="43"/>
      <c r="L2490" s="43"/>
      <c r="M2490" s="43"/>
      <c r="N2490" s="43"/>
      <c r="O2490" s="43"/>
      <c r="P2490" s="43"/>
      <c r="Q2490" s="43"/>
      <c r="R2490" s="43"/>
      <c r="S2490" s="43"/>
      <c r="T2490" s="43"/>
      <c r="U2490" s="43"/>
      <c r="V2490" s="43"/>
    </row>
    <row r="2491" spans="1:22" ht="15.75" customHeight="1" x14ac:dyDescent="0.2">
      <c r="A2491" s="40"/>
      <c r="B2491" s="45" t="s">
        <v>830</v>
      </c>
      <c r="C2491" s="46" t="s">
        <v>2310</v>
      </c>
      <c r="D2491" s="46" t="s">
        <v>861</v>
      </c>
      <c r="E2491" s="46" t="s">
        <v>1454</v>
      </c>
      <c r="F2491" s="46" t="s">
        <v>2309</v>
      </c>
      <c r="G2491" s="46" t="s">
        <v>2305</v>
      </c>
      <c r="H2491" s="43"/>
      <c r="I2491" s="43"/>
      <c r="J2491" s="43"/>
      <c r="K2491" s="43"/>
      <c r="L2491" s="43"/>
      <c r="M2491" s="43"/>
      <c r="N2491" s="43"/>
      <c r="O2491" s="43"/>
      <c r="P2491" s="43"/>
      <c r="Q2491" s="43"/>
      <c r="R2491" s="43"/>
      <c r="S2491" s="43"/>
      <c r="T2491" s="43"/>
      <c r="U2491" s="43"/>
      <c r="V2491" s="43"/>
    </row>
    <row r="2492" spans="1:22" ht="15.75" customHeight="1" x14ac:dyDescent="0.2">
      <c r="A2492" s="40"/>
      <c r="B2492" s="45" t="s">
        <v>815</v>
      </c>
      <c r="C2492" s="46" t="s">
        <v>2311</v>
      </c>
      <c r="D2492" s="46" t="s">
        <v>2312</v>
      </c>
      <c r="E2492" s="46" t="s">
        <v>1274</v>
      </c>
      <c r="F2492" s="46" t="s">
        <v>2309</v>
      </c>
      <c r="G2492" s="46" t="s">
        <v>2305</v>
      </c>
      <c r="H2492" s="43"/>
      <c r="I2492" s="43"/>
      <c r="J2492" s="43"/>
      <c r="K2492" s="43"/>
      <c r="L2492" s="43"/>
      <c r="M2492" s="43"/>
      <c r="N2492" s="43"/>
      <c r="O2492" s="43"/>
      <c r="P2492" s="43"/>
      <c r="Q2492" s="43"/>
      <c r="R2492" s="43"/>
      <c r="S2492" s="43"/>
      <c r="T2492" s="43"/>
      <c r="U2492" s="43"/>
      <c r="V2492" s="43"/>
    </row>
    <row r="2493" spans="1:22" ht="15.75" customHeight="1" x14ac:dyDescent="0.2">
      <c r="A2493" s="40"/>
      <c r="B2493" s="45" t="s">
        <v>736</v>
      </c>
      <c r="C2493" s="46" t="s">
        <v>2313</v>
      </c>
      <c r="D2493" s="46" t="s">
        <v>989</v>
      </c>
      <c r="E2493" s="46" t="s">
        <v>2314</v>
      </c>
      <c r="F2493" s="46" t="s">
        <v>2309</v>
      </c>
      <c r="G2493" s="46" t="s">
        <v>2305</v>
      </c>
      <c r="H2493" s="43"/>
      <c r="I2493" s="43"/>
      <c r="J2493" s="43"/>
      <c r="K2493" s="43"/>
      <c r="L2493" s="43"/>
      <c r="M2493" s="43"/>
      <c r="N2493" s="43"/>
      <c r="O2493" s="43"/>
      <c r="P2493" s="43"/>
      <c r="Q2493" s="43"/>
      <c r="R2493" s="43"/>
      <c r="S2493" s="43"/>
      <c r="T2493" s="43"/>
      <c r="U2493" s="43"/>
      <c r="V2493" s="43"/>
    </row>
    <row r="2494" spans="1:22" ht="15.75" customHeight="1" x14ac:dyDescent="0.2">
      <c r="A2494" s="40"/>
      <c r="B2494" s="45" t="s">
        <v>1977</v>
      </c>
      <c r="C2494" s="46" t="s">
        <v>2315</v>
      </c>
      <c r="D2494" s="46" t="s">
        <v>2316</v>
      </c>
      <c r="E2494" s="46" t="s">
        <v>2317</v>
      </c>
      <c r="F2494" s="46" t="s">
        <v>2309</v>
      </c>
      <c r="G2494" s="46" t="s">
        <v>2305</v>
      </c>
      <c r="H2494" s="43"/>
      <c r="I2494" s="43"/>
      <c r="J2494" s="43"/>
      <c r="K2494" s="43"/>
      <c r="L2494" s="43"/>
      <c r="M2494" s="43"/>
      <c r="N2494" s="43"/>
      <c r="O2494" s="43"/>
      <c r="P2494" s="43"/>
      <c r="Q2494" s="43"/>
      <c r="R2494" s="43"/>
      <c r="S2494" s="43"/>
      <c r="T2494" s="43"/>
      <c r="U2494" s="43"/>
      <c r="V2494" s="43"/>
    </row>
    <row r="2495" spans="1:22" ht="15.75" customHeight="1" x14ac:dyDescent="0.2">
      <c r="A2495" s="40"/>
      <c r="B2495" s="45" t="s">
        <v>736</v>
      </c>
      <c r="C2495" s="46" t="s">
        <v>1216</v>
      </c>
      <c r="D2495" s="46" t="s">
        <v>396</v>
      </c>
      <c r="E2495" s="46" t="s">
        <v>1677</v>
      </c>
      <c r="F2495" s="46" t="s">
        <v>2309</v>
      </c>
      <c r="G2495" s="46" t="s">
        <v>2305</v>
      </c>
      <c r="H2495" s="43"/>
      <c r="I2495" s="43"/>
      <c r="J2495" s="43"/>
      <c r="K2495" s="43"/>
      <c r="L2495" s="43"/>
      <c r="M2495" s="43"/>
      <c r="N2495" s="43"/>
      <c r="O2495" s="43"/>
      <c r="P2495" s="43"/>
      <c r="Q2495" s="43"/>
      <c r="R2495" s="43"/>
      <c r="S2495" s="43"/>
      <c r="T2495" s="43"/>
      <c r="U2495" s="43"/>
      <c r="V2495" s="43"/>
    </row>
    <row r="2496" spans="1:22" ht="15.75" customHeight="1" x14ac:dyDescent="0.2">
      <c r="A2496" s="40"/>
      <c r="B2496" s="45" t="s">
        <v>807</v>
      </c>
      <c r="C2496" s="46" t="s">
        <v>942</v>
      </c>
      <c r="D2496" s="46" t="s">
        <v>557</v>
      </c>
      <c r="E2496" s="46" t="s">
        <v>650</v>
      </c>
      <c r="F2496" s="46" t="s">
        <v>2309</v>
      </c>
      <c r="G2496" s="46" t="s">
        <v>2305</v>
      </c>
      <c r="H2496" s="43"/>
      <c r="I2496" s="43"/>
      <c r="J2496" s="43"/>
      <c r="K2496" s="43"/>
      <c r="L2496" s="43"/>
      <c r="M2496" s="43"/>
      <c r="N2496" s="43"/>
      <c r="O2496" s="43"/>
      <c r="P2496" s="43"/>
      <c r="Q2496" s="43"/>
      <c r="R2496" s="43"/>
      <c r="S2496" s="43"/>
      <c r="T2496" s="43"/>
      <c r="U2496" s="43"/>
      <c r="V2496" s="43"/>
    </row>
    <row r="2497" spans="1:22" ht="15.75" customHeight="1" x14ac:dyDescent="0.2">
      <c r="A2497" s="40"/>
      <c r="B2497" s="45" t="s">
        <v>815</v>
      </c>
      <c r="C2497" s="46" t="s">
        <v>2318</v>
      </c>
      <c r="D2497" s="46" t="s">
        <v>2319</v>
      </c>
      <c r="E2497" s="46" t="s">
        <v>2320</v>
      </c>
      <c r="F2497" s="46" t="s">
        <v>2309</v>
      </c>
      <c r="G2497" s="46" t="s">
        <v>2305</v>
      </c>
      <c r="H2497" s="43"/>
      <c r="I2497" s="43"/>
      <c r="J2497" s="43"/>
      <c r="K2497" s="43"/>
      <c r="L2497" s="43"/>
      <c r="M2497" s="43"/>
      <c r="N2497" s="43"/>
      <c r="O2497" s="43"/>
      <c r="P2497" s="43"/>
      <c r="Q2497" s="43"/>
      <c r="R2497" s="43"/>
      <c r="S2497" s="43"/>
      <c r="T2497" s="43"/>
      <c r="U2497" s="43"/>
      <c r="V2497" s="43"/>
    </row>
    <row r="2498" spans="1:22" ht="15.75" customHeight="1" x14ac:dyDescent="0.2">
      <c r="A2498" s="40">
        <v>319</v>
      </c>
      <c r="B2498" s="41" t="s">
        <v>2321</v>
      </c>
      <c r="C2498" s="42" t="s">
        <v>2322</v>
      </c>
      <c r="D2498" s="42" t="s">
        <v>2323</v>
      </c>
      <c r="E2498" s="42" t="s">
        <v>996</v>
      </c>
      <c r="F2498" s="42" t="s">
        <v>2324</v>
      </c>
      <c r="G2498" s="42" t="s">
        <v>2305</v>
      </c>
      <c r="H2498" s="43"/>
      <c r="I2498" s="43"/>
      <c r="J2498" s="43"/>
      <c r="K2498" s="43"/>
      <c r="L2498" s="43"/>
      <c r="M2498" s="43"/>
      <c r="N2498" s="43"/>
      <c r="O2498" s="43"/>
      <c r="P2498" s="43"/>
      <c r="Q2498" s="43"/>
      <c r="R2498" s="43"/>
      <c r="S2498" s="43"/>
      <c r="T2498" s="43"/>
      <c r="U2498" s="43"/>
      <c r="V2498" s="43"/>
    </row>
    <row r="2499" spans="1:22" ht="15.75" customHeight="1" x14ac:dyDescent="0.2">
      <c r="A2499" s="40"/>
      <c r="B2499" s="45" t="s">
        <v>33</v>
      </c>
      <c r="C2499" s="46" t="s">
        <v>2325</v>
      </c>
      <c r="D2499" s="46" t="s">
        <v>39</v>
      </c>
      <c r="E2499" s="46" t="s">
        <v>306</v>
      </c>
      <c r="F2499" s="46" t="s">
        <v>2326</v>
      </c>
      <c r="G2499" s="46" t="s">
        <v>2327</v>
      </c>
      <c r="H2499" s="43"/>
      <c r="I2499" s="43"/>
      <c r="J2499" s="43"/>
      <c r="K2499" s="43"/>
      <c r="L2499" s="43"/>
      <c r="M2499" s="43"/>
      <c r="N2499" s="43"/>
      <c r="O2499" s="43"/>
      <c r="P2499" s="43"/>
      <c r="Q2499" s="43"/>
      <c r="R2499" s="43"/>
      <c r="S2499" s="43"/>
      <c r="T2499" s="43"/>
      <c r="U2499" s="43"/>
      <c r="V2499" s="43"/>
    </row>
    <row r="2500" spans="1:22" ht="15.75" customHeight="1" x14ac:dyDescent="0.2">
      <c r="A2500" s="40"/>
      <c r="B2500" s="45" t="s">
        <v>45</v>
      </c>
      <c r="C2500" s="46" t="s">
        <v>2328</v>
      </c>
      <c r="D2500" s="46" t="s">
        <v>516</v>
      </c>
      <c r="E2500" s="46" t="s">
        <v>40</v>
      </c>
      <c r="F2500" s="46" t="s">
        <v>2326</v>
      </c>
      <c r="G2500" s="46" t="s">
        <v>2327</v>
      </c>
      <c r="H2500" s="43"/>
      <c r="I2500" s="43"/>
      <c r="J2500" s="43"/>
      <c r="K2500" s="43"/>
      <c r="L2500" s="43"/>
      <c r="M2500" s="43"/>
      <c r="N2500" s="43"/>
      <c r="O2500" s="43"/>
      <c r="P2500" s="43"/>
      <c r="Q2500" s="43"/>
      <c r="R2500" s="43"/>
      <c r="S2500" s="43"/>
      <c r="T2500" s="43"/>
      <c r="U2500" s="43"/>
      <c r="V2500" s="43"/>
    </row>
    <row r="2501" spans="1:22" ht="15.75" customHeight="1" x14ac:dyDescent="0.2">
      <c r="A2501" s="40"/>
      <c r="B2501" s="45" t="s">
        <v>2329</v>
      </c>
      <c r="C2501" s="46" t="s">
        <v>2330</v>
      </c>
      <c r="D2501" s="46" t="s">
        <v>1598</v>
      </c>
      <c r="E2501" s="46" t="s">
        <v>397</v>
      </c>
      <c r="F2501" s="46" t="s">
        <v>2326</v>
      </c>
      <c r="G2501" s="46" t="s">
        <v>2327</v>
      </c>
      <c r="H2501" s="43"/>
      <c r="I2501" s="43"/>
      <c r="J2501" s="43"/>
      <c r="K2501" s="43"/>
      <c r="L2501" s="43"/>
      <c r="M2501" s="43"/>
      <c r="N2501" s="43"/>
      <c r="O2501" s="43"/>
      <c r="P2501" s="43"/>
      <c r="Q2501" s="43"/>
      <c r="R2501" s="43"/>
      <c r="S2501" s="43"/>
      <c r="T2501" s="43"/>
      <c r="U2501" s="43"/>
      <c r="V2501" s="43"/>
    </row>
    <row r="2502" spans="1:22" ht="15.75" customHeight="1" x14ac:dyDescent="0.2">
      <c r="A2502" s="40"/>
      <c r="B2502" s="45" t="s">
        <v>33</v>
      </c>
      <c r="C2502" s="46" t="s">
        <v>2331</v>
      </c>
      <c r="D2502" s="46" t="s">
        <v>58</v>
      </c>
      <c r="E2502" s="46" t="s">
        <v>306</v>
      </c>
      <c r="F2502" s="46" t="s">
        <v>2326</v>
      </c>
      <c r="G2502" s="46" t="s">
        <v>2327</v>
      </c>
      <c r="H2502" s="43"/>
      <c r="I2502" s="43"/>
      <c r="J2502" s="43"/>
      <c r="K2502" s="43"/>
      <c r="L2502" s="43"/>
      <c r="M2502" s="43"/>
      <c r="N2502" s="43"/>
      <c r="O2502" s="43"/>
      <c r="P2502" s="43"/>
      <c r="Q2502" s="43"/>
      <c r="R2502" s="43"/>
      <c r="S2502" s="43"/>
      <c r="T2502" s="43"/>
      <c r="U2502" s="43"/>
      <c r="V2502" s="43"/>
    </row>
    <row r="2503" spans="1:22" ht="15.75" customHeight="1" x14ac:dyDescent="0.2">
      <c r="A2503" s="40"/>
      <c r="B2503" s="45" t="s">
        <v>45</v>
      </c>
      <c r="C2503" s="46" t="s">
        <v>2332</v>
      </c>
      <c r="D2503" s="46" t="s">
        <v>78</v>
      </c>
      <c r="E2503" s="46" t="s">
        <v>87</v>
      </c>
      <c r="F2503" s="46" t="s">
        <v>2326</v>
      </c>
      <c r="G2503" s="46" t="s">
        <v>2327</v>
      </c>
      <c r="H2503" s="43"/>
      <c r="I2503" s="43"/>
      <c r="J2503" s="43"/>
      <c r="K2503" s="43"/>
      <c r="L2503" s="43"/>
      <c r="M2503" s="43"/>
      <c r="N2503" s="43"/>
      <c r="O2503" s="43"/>
      <c r="P2503" s="43"/>
      <c r="Q2503" s="43"/>
      <c r="R2503" s="43"/>
      <c r="S2503" s="43"/>
      <c r="T2503" s="43"/>
      <c r="U2503" s="43"/>
      <c r="V2503" s="43"/>
    </row>
    <row r="2504" spans="1:22" ht="15.75" customHeight="1" x14ac:dyDescent="0.2">
      <c r="A2504" s="40">
        <v>815</v>
      </c>
      <c r="B2504" s="41" t="s">
        <v>2234</v>
      </c>
      <c r="C2504" s="42" t="s">
        <v>2325</v>
      </c>
      <c r="D2504" s="42" t="s">
        <v>266</v>
      </c>
      <c r="E2504" s="42" t="s">
        <v>306</v>
      </c>
      <c r="F2504" s="42" t="s">
        <v>2333</v>
      </c>
      <c r="G2504" s="42" t="s">
        <v>2327</v>
      </c>
      <c r="H2504" s="43"/>
      <c r="I2504" s="43"/>
      <c r="J2504" s="43"/>
      <c r="K2504" s="43"/>
      <c r="L2504" s="43"/>
      <c r="M2504" s="43"/>
      <c r="N2504" s="43"/>
      <c r="O2504" s="43"/>
      <c r="P2504" s="43"/>
      <c r="Q2504" s="43"/>
      <c r="R2504" s="43"/>
      <c r="S2504" s="43"/>
      <c r="T2504" s="43"/>
      <c r="U2504" s="43"/>
      <c r="V2504" s="43"/>
    </row>
    <row r="2505" spans="1:22" ht="15.75" customHeight="1" x14ac:dyDescent="0.2">
      <c r="A2505" s="40">
        <v>2371</v>
      </c>
      <c r="B2505" s="41" t="s">
        <v>142</v>
      </c>
      <c r="C2505" s="42" t="s">
        <v>2325</v>
      </c>
      <c r="D2505" s="42" t="s">
        <v>266</v>
      </c>
      <c r="E2505" s="42" t="s">
        <v>306</v>
      </c>
      <c r="F2505" s="42" t="s">
        <v>2333</v>
      </c>
      <c r="G2505" s="42" t="s">
        <v>2327</v>
      </c>
      <c r="H2505" s="43"/>
      <c r="I2505" s="43"/>
      <c r="J2505" s="43"/>
      <c r="K2505" s="43"/>
      <c r="L2505" s="43"/>
      <c r="M2505" s="43"/>
      <c r="N2505" s="43"/>
      <c r="O2505" s="43"/>
      <c r="P2505" s="43"/>
      <c r="Q2505" s="43"/>
      <c r="R2505" s="43"/>
      <c r="S2505" s="43"/>
      <c r="T2505" s="43"/>
      <c r="U2505" s="43"/>
      <c r="V2505" s="43"/>
    </row>
    <row r="2506" spans="1:22" ht="15.75" customHeight="1" x14ac:dyDescent="0.2">
      <c r="A2506" s="40">
        <v>2457</v>
      </c>
      <c r="B2506" s="41" t="s">
        <v>165</v>
      </c>
      <c r="C2506" s="42" t="s">
        <v>2334</v>
      </c>
      <c r="D2506" s="42" t="s">
        <v>437</v>
      </c>
      <c r="E2506" s="42" t="s">
        <v>306</v>
      </c>
      <c r="F2506" s="42" t="s">
        <v>2333</v>
      </c>
      <c r="G2506" s="42" t="s">
        <v>2327</v>
      </c>
      <c r="H2506" s="43"/>
      <c r="I2506" s="43"/>
      <c r="J2506" s="43"/>
      <c r="K2506" s="43"/>
      <c r="L2506" s="43"/>
      <c r="M2506" s="43"/>
      <c r="N2506" s="43"/>
      <c r="O2506" s="43"/>
      <c r="P2506" s="43"/>
      <c r="Q2506" s="43"/>
      <c r="R2506" s="43"/>
      <c r="S2506" s="43"/>
      <c r="T2506" s="43"/>
      <c r="U2506" s="43"/>
      <c r="V2506" s="43"/>
    </row>
    <row r="2507" spans="1:22" ht="15.75" customHeight="1" x14ac:dyDescent="0.2">
      <c r="A2507" s="40">
        <v>391</v>
      </c>
      <c r="B2507" s="41" t="s">
        <v>613</v>
      </c>
      <c r="C2507" s="42" t="s">
        <v>2335</v>
      </c>
      <c r="D2507" s="42" t="s">
        <v>713</v>
      </c>
      <c r="E2507" s="42" t="s">
        <v>348</v>
      </c>
      <c r="F2507" s="42" t="s">
        <v>2333</v>
      </c>
      <c r="G2507" s="42" t="s">
        <v>2327</v>
      </c>
    </row>
    <row r="2508" spans="1:22" ht="15.75" customHeight="1" x14ac:dyDescent="0.2">
      <c r="A2508" s="40"/>
      <c r="B2508" s="47" t="s">
        <v>830</v>
      </c>
      <c r="C2508" s="46" t="s">
        <v>2336</v>
      </c>
      <c r="D2508" s="46" t="s">
        <v>1685</v>
      </c>
      <c r="E2508" s="46" t="s">
        <v>637</v>
      </c>
      <c r="F2508" s="46" t="s">
        <v>2337</v>
      </c>
      <c r="G2508" s="46" t="s">
        <v>2327</v>
      </c>
      <c r="H2508" s="43"/>
      <c r="I2508" s="43"/>
      <c r="J2508" s="43"/>
      <c r="K2508" s="43"/>
      <c r="L2508" s="43"/>
      <c r="M2508" s="43"/>
      <c r="N2508" s="43"/>
      <c r="O2508" s="43"/>
      <c r="P2508" s="43"/>
      <c r="Q2508" s="43"/>
      <c r="R2508" s="43"/>
      <c r="S2508" s="43"/>
      <c r="T2508" s="43"/>
      <c r="U2508" s="43"/>
      <c r="V2508" s="43"/>
    </row>
    <row r="2509" spans="1:22" ht="15.75" customHeight="1" x14ac:dyDescent="0.2">
      <c r="A2509" s="40"/>
      <c r="B2509" s="45" t="s">
        <v>523</v>
      </c>
      <c r="C2509" s="46" t="s">
        <v>2338</v>
      </c>
      <c r="D2509" s="46" t="s">
        <v>506</v>
      </c>
      <c r="E2509" s="46" t="s">
        <v>40</v>
      </c>
      <c r="F2509" s="46" t="s">
        <v>2337</v>
      </c>
      <c r="G2509" s="46" t="s">
        <v>2327</v>
      </c>
      <c r="H2509" s="43"/>
      <c r="I2509" s="43"/>
      <c r="J2509" s="43"/>
      <c r="K2509" s="43"/>
      <c r="L2509" s="43"/>
      <c r="M2509" s="43"/>
      <c r="N2509" s="43"/>
      <c r="O2509" s="43"/>
      <c r="P2509" s="43"/>
      <c r="Q2509" s="43"/>
      <c r="R2509" s="43"/>
      <c r="S2509" s="43"/>
      <c r="T2509" s="43"/>
      <c r="U2509" s="43"/>
      <c r="V2509" s="43"/>
    </row>
    <row r="2510" spans="1:22" ht="15.75" customHeight="1" x14ac:dyDescent="0.2">
      <c r="A2510" s="40"/>
      <c r="B2510" s="45" t="s">
        <v>736</v>
      </c>
      <c r="C2510" s="46" t="s">
        <v>2339</v>
      </c>
      <c r="D2510" s="46" t="s">
        <v>557</v>
      </c>
      <c r="E2510" s="46" t="s">
        <v>79</v>
      </c>
      <c r="F2510" s="46" t="s">
        <v>2337</v>
      </c>
      <c r="G2510" s="46" t="s">
        <v>2327</v>
      </c>
      <c r="H2510" s="43"/>
      <c r="I2510" s="43"/>
      <c r="J2510" s="43"/>
      <c r="K2510" s="43"/>
      <c r="L2510" s="43"/>
      <c r="M2510" s="43"/>
      <c r="N2510" s="43"/>
      <c r="O2510" s="43"/>
      <c r="P2510" s="43"/>
      <c r="Q2510" s="43"/>
      <c r="R2510" s="43"/>
      <c r="S2510" s="43"/>
      <c r="T2510" s="43"/>
      <c r="U2510" s="43"/>
      <c r="V2510" s="43"/>
    </row>
    <row r="2511" spans="1:22" ht="15.75" customHeight="1" x14ac:dyDescent="0.2">
      <c r="A2511" s="40"/>
      <c r="B2511" s="45" t="s">
        <v>828</v>
      </c>
      <c r="C2511" s="46" t="s">
        <v>1488</v>
      </c>
      <c r="D2511" s="46" t="s">
        <v>39</v>
      </c>
      <c r="E2511" s="46" t="s">
        <v>310</v>
      </c>
      <c r="F2511" s="46" t="s">
        <v>2337</v>
      </c>
      <c r="G2511" s="46" t="s">
        <v>2327</v>
      </c>
      <c r="H2511" s="43"/>
      <c r="I2511" s="43"/>
      <c r="J2511" s="43"/>
      <c r="K2511" s="43"/>
      <c r="L2511" s="43"/>
      <c r="M2511" s="43"/>
      <c r="N2511" s="43"/>
      <c r="O2511" s="43"/>
      <c r="P2511" s="43"/>
      <c r="Q2511" s="43"/>
      <c r="R2511" s="43"/>
      <c r="S2511" s="43"/>
      <c r="T2511" s="43"/>
      <c r="U2511" s="43"/>
      <c r="V2511" s="43"/>
    </row>
    <row r="2512" spans="1:22" ht="15.75" customHeight="1" x14ac:dyDescent="0.2">
      <c r="A2512" s="40"/>
      <c r="B2512" s="45" t="s">
        <v>830</v>
      </c>
      <c r="C2512" s="46" t="s">
        <v>1644</v>
      </c>
      <c r="D2512" s="46" t="s">
        <v>388</v>
      </c>
      <c r="E2512" s="46" t="s">
        <v>348</v>
      </c>
      <c r="F2512" s="46" t="s">
        <v>2337</v>
      </c>
      <c r="G2512" s="46" t="s">
        <v>2327</v>
      </c>
      <c r="H2512" s="43"/>
      <c r="I2512" s="43"/>
      <c r="J2512" s="43"/>
      <c r="K2512" s="43"/>
      <c r="L2512" s="43"/>
      <c r="M2512" s="43"/>
      <c r="N2512" s="43"/>
      <c r="O2512" s="43"/>
      <c r="P2512" s="43"/>
      <c r="Q2512" s="43"/>
      <c r="R2512" s="43"/>
      <c r="S2512" s="43"/>
      <c r="T2512" s="43"/>
      <c r="U2512" s="43"/>
      <c r="V2512" s="43"/>
    </row>
    <row r="2513" spans="1:22" ht="15.75" customHeight="1" x14ac:dyDescent="0.2">
      <c r="A2513" s="40"/>
      <c r="B2513" s="45" t="s">
        <v>736</v>
      </c>
      <c r="C2513" s="46" t="s">
        <v>1347</v>
      </c>
      <c r="D2513" s="46" t="s">
        <v>333</v>
      </c>
      <c r="E2513" s="46" t="s">
        <v>306</v>
      </c>
      <c r="F2513" s="46" t="s">
        <v>2337</v>
      </c>
      <c r="G2513" s="46" t="s">
        <v>2327</v>
      </c>
      <c r="H2513" s="43"/>
      <c r="I2513" s="43"/>
      <c r="J2513" s="43"/>
      <c r="K2513" s="43"/>
      <c r="L2513" s="43"/>
      <c r="M2513" s="43"/>
      <c r="N2513" s="43"/>
      <c r="O2513" s="43"/>
      <c r="P2513" s="43"/>
      <c r="Q2513" s="43"/>
      <c r="R2513" s="43"/>
      <c r="S2513" s="43"/>
      <c r="T2513" s="43"/>
      <c r="U2513" s="43"/>
      <c r="V2513" s="43"/>
    </row>
    <row r="2514" spans="1:22" ht="15.75" customHeight="1" x14ac:dyDescent="0.2">
      <c r="A2514" s="40"/>
      <c r="B2514" s="45" t="s">
        <v>920</v>
      </c>
      <c r="C2514" s="46" t="s">
        <v>2340</v>
      </c>
      <c r="D2514" s="46" t="s">
        <v>21</v>
      </c>
      <c r="E2514" s="46" t="s">
        <v>326</v>
      </c>
      <c r="F2514" s="46" t="s">
        <v>2337</v>
      </c>
      <c r="G2514" s="46" t="s">
        <v>2327</v>
      </c>
      <c r="H2514" s="43"/>
      <c r="I2514" s="43"/>
      <c r="J2514" s="43"/>
      <c r="K2514" s="43"/>
      <c r="L2514" s="43"/>
      <c r="M2514" s="43"/>
      <c r="N2514" s="43"/>
      <c r="O2514" s="43"/>
      <c r="P2514" s="43"/>
      <c r="Q2514" s="43"/>
      <c r="R2514" s="43"/>
      <c r="S2514" s="43"/>
      <c r="T2514" s="43"/>
      <c r="U2514" s="43"/>
      <c r="V2514" s="43"/>
    </row>
    <row r="2515" spans="1:22" ht="15.75" customHeight="1" x14ac:dyDescent="0.2">
      <c r="A2515" s="40"/>
      <c r="B2515" s="45" t="s">
        <v>523</v>
      </c>
      <c r="C2515" s="46" t="s">
        <v>2341</v>
      </c>
      <c r="D2515" s="46" t="s">
        <v>75</v>
      </c>
      <c r="E2515" s="46" t="s">
        <v>630</v>
      </c>
      <c r="F2515" s="46" t="s">
        <v>2337</v>
      </c>
      <c r="G2515" s="46" t="s">
        <v>2327</v>
      </c>
      <c r="H2515" s="43"/>
      <c r="I2515" s="43"/>
      <c r="J2515" s="43"/>
      <c r="K2515" s="43"/>
      <c r="L2515" s="43"/>
      <c r="M2515" s="43"/>
      <c r="N2515" s="43"/>
      <c r="O2515" s="43"/>
      <c r="P2515" s="43"/>
      <c r="Q2515" s="43"/>
      <c r="R2515" s="43"/>
      <c r="S2515" s="43"/>
      <c r="T2515" s="43"/>
      <c r="U2515" s="43"/>
      <c r="V2515" s="43"/>
    </row>
    <row r="2516" spans="1:22" ht="15.75" customHeight="1" x14ac:dyDescent="0.2">
      <c r="A2516" s="40"/>
      <c r="B2516" s="45" t="s">
        <v>807</v>
      </c>
      <c r="C2516" s="46" t="s">
        <v>2342</v>
      </c>
      <c r="D2516" s="46" t="s">
        <v>491</v>
      </c>
      <c r="E2516" s="46" t="s">
        <v>273</v>
      </c>
      <c r="F2516" s="46" t="s">
        <v>2337</v>
      </c>
      <c r="G2516" s="46" t="s">
        <v>2327</v>
      </c>
      <c r="H2516" s="43"/>
      <c r="I2516" s="43"/>
      <c r="J2516" s="43"/>
      <c r="K2516" s="43"/>
      <c r="L2516" s="43"/>
      <c r="M2516" s="43"/>
      <c r="N2516" s="43"/>
      <c r="O2516" s="43"/>
      <c r="P2516" s="43"/>
      <c r="Q2516" s="43"/>
      <c r="R2516" s="43"/>
      <c r="S2516" s="43"/>
      <c r="T2516" s="43"/>
      <c r="U2516" s="43"/>
      <c r="V2516" s="43"/>
    </row>
    <row r="2517" spans="1:22" ht="15.75" customHeight="1" x14ac:dyDescent="0.2">
      <c r="A2517" s="40"/>
      <c r="B2517" s="45" t="s">
        <v>823</v>
      </c>
      <c r="C2517" s="46" t="s">
        <v>700</v>
      </c>
      <c r="D2517" s="46" t="s">
        <v>39</v>
      </c>
      <c r="E2517" s="46" t="s">
        <v>40</v>
      </c>
      <c r="F2517" s="46" t="s">
        <v>2343</v>
      </c>
      <c r="G2517" s="46" t="s">
        <v>2327</v>
      </c>
      <c r="H2517" s="43"/>
      <c r="I2517" s="43"/>
      <c r="J2517" s="43"/>
      <c r="K2517" s="43"/>
      <c r="L2517" s="43"/>
      <c r="M2517" s="43"/>
      <c r="N2517" s="43"/>
      <c r="O2517" s="43"/>
      <c r="P2517" s="43"/>
      <c r="Q2517" s="43"/>
      <c r="R2517" s="43"/>
      <c r="S2517" s="43"/>
      <c r="T2517" s="43"/>
      <c r="U2517" s="43"/>
      <c r="V2517" s="43"/>
    </row>
    <row r="2518" spans="1:22" ht="15.75" customHeight="1" x14ac:dyDescent="0.2">
      <c r="A2518" s="40"/>
      <c r="B2518" s="45" t="s">
        <v>1977</v>
      </c>
      <c r="C2518" s="46" t="s">
        <v>2344</v>
      </c>
      <c r="D2518" s="46" t="s">
        <v>325</v>
      </c>
      <c r="E2518" s="46" t="s">
        <v>40</v>
      </c>
      <c r="F2518" s="46" t="s">
        <v>2343</v>
      </c>
      <c r="G2518" s="46" t="s">
        <v>2327</v>
      </c>
      <c r="H2518" s="43"/>
      <c r="I2518" s="43"/>
      <c r="J2518" s="43"/>
      <c r="K2518" s="43"/>
      <c r="L2518" s="43"/>
      <c r="M2518" s="43"/>
      <c r="N2518" s="43"/>
      <c r="O2518" s="43"/>
      <c r="P2518" s="43"/>
      <c r="Q2518" s="43"/>
      <c r="R2518" s="43"/>
      <c r="S2518" s="43"/>
      <c r="T2518" s="43"/>
      <c r="U2518" s="43"/>
      <c r="V2518" s="43"/>
    </row>
    <row r="2519" spans="1:22" ht="15.75" customHeight="1" x14ac:dyDescent="0.2">
      <c r="A2519" s="40"/>
      <c r="B2519" s="45" t="s">
        <v>815</v>
      </c>
      <c r="C2519" s="46" t="s">
        <v>2345</v>
      </c>
      <c r="D2519" s="46" t="s">
        <v>441</v>
      </c>
      <c r="E2519" s="46" t="s">
        <v>2346</v>
      </c>
      <c r="F2519" s="46" t="s">
        <v>2343</v>
      </c>
      <c r="G2519" s="46" t="s">
        <v>2327</v>
      </c>
      <c r="H2519" s="43"/>
      <c r="I2519" s="43"/>
      <c r="J2519" s="43"/>
      <c r="K2519" s="43"/>
      <c r="L2519" s="43"/>
      <c r="M2519" s="43"/>
      <c r="N2519" s="43"/>
      <c r="O2519" s="43"/>
      <c r="P2519" s="43"/>
      <c r="Q2519" s="43"/>
      <c r="R2519" s="43"/>
      <c r="S2519" s="43"/>
      <c r="T2519" s="43"/>
      <c r="U2519" s="43"/>
      <c r="V2519" s="43"/>
    </row>
    <row r="2520" spans="1:22" ht="15.75" customHeight="1" x14ac:dyDescent="0.2">
      <c r="A2520" s="40"/>
      <c r="B2520" s="45" t="s">
        <v>523</v>
      </c>
      <c r="C2520" s="46" t="s">
        <v>2128</v>
      </c>
      <c r="D2520" s="46" t="s">
        <v>557</v>
      </c>
      <c r="E2520" s="46" t="s">
        <v>630</v>
      </c>
      <c r="F2520" s="46" t="s">
        <v>2343</v>
      </c>
      <c r="G2520" s="46" t="s">
        <v>2327</v>
      </c>
      <c r="H2520" s="43"/>
      <c r="I2520" s="43"/>
      <c r="J2520" s="43"/>
      <c r="K2520" s="43"/>
      <c r="L2520" s="43"/>
      <c r="M2520" s="43"/>
      <c r="N2520" s="43"/>
      <c r="O2520" s="43"/>
      <c r="P2520" s="43"/>
      <c r="Q2520" s="43"/>
      <c r="R2520" s="43"/>
      <c r="S2520" s="43"/>
      <c r="T2520" s="43"/>
      <c r="U2520" s="43"/>
      <c r="V2520" s="43"/>
    </row>
    <row r="2521" spans="1:22" ht="15.75" customHeight="1" x14ac:dyDescent="0.2">
      <c r="A2521" s="40"/>
      <c r="B2521" s="45" t="s">
        <v>818</v>
      </c>
      <c r="C2521" s="46" t="s">
        <v>2347</v>
      </c>
      <c r="D2521" s="46" t="s">
        <v>600</v>
      </c>
      <c r="E2521" s="46" t="s">
        <v>626</v>
      </c>
      <c r="F2521" s="46" t="s">
        <v>2343</v>
      </c>
      <c r="G2521" s="46" t="s">
        <v>2327</v>
      </c>
      <c r="H2521" s="43"/>
      <c r="I2521" s="43"/>
      <c r="J2521" s="43"/>
      <c r="K2521" s="43"/>
      <c r="L2521" s="43"/>
      <c r="M2521" s="43"/>
      <c r="N2521" s="43"/>
      <c r="O2521" s="43"/>
      <c r="P2521" s="43"/>
      <c r="Q2521" s="43"/>
      <c r="R2521" s="43"/>
      <c r="S2521" s="43"/>
      <c r="T2521" s="43"/>
      <c r="U2521" s="43"/>
      <c r="V2521" s="43"/>
    </row>
    <row r="2522" spans="1:22" ht="15.75" customHeight="1" x14ac:dyDescent="0.2">
      <c r="A2522" s="40"/>
      <c r="B2522" s="45" t="s">
        <v>830</v>
      </c>
      <c r="C2522" s="46" t="s">
        <v>2348</v>
      </c>
      <c r="D2522" s="46" t="s">
        <v>526</v>
      </c>
      <c r="E2522" s="46" t="s">
        <v>348</v>
      </c>
      <c r="F2522" s="46" t="s">
        <v>2343</v>
      </c>
      <c r="G2522" s="46" t="s">
        <v>2327</v>
      </c>
      <c r="H2522" s="43"/>
      <c r="I2522" s="43"/>
      <c r="J2522" s="43"/>
      <c r="K2522" s="43"/>
      <c r="L2522" s="43"/>
      <c r="M2522" s="43"/>
      <c r="N2522" s="43"/>
      <c r="O2522" s="43"/>
      <c r="P2522" s="43"/>
      <c r="Q2522" s="43"/>
      <c r="R2522" s="43"/>
      <c r="S2522" s="43"/>
      <c r="T2522" s="43"/>
      <c r="U2522" s="43"/>
      <c r="V2522" s="43"/>
    </row>
    <row r="2523" spans="1:22" ht="15.75" customHeight="1" x14ac:dyDescent="0.2">
      <c r="A2523" s="40"/>
      <c r="B2523" s="45" t="s">
        <v>830</v>
      </c>
      <c r="C2523" s="46" t="s">
        <v>2349</v>
      </c>
      <c r="D2523" s="46" t="s">
        <v>471</v>
      </c>
      <c r="E2523" s="46" t="s">
        <v>2350</v>
      </c>
      <c r="F2523" s="46" t="s">
        <v>2343</v>
      </c>
      <c r="G2523" s="46" t="s">
        <v>2327</v>
      </c>
      <c r="H2523" s="43"/>
      <c r="I2523" s="43"/>
      <c r="J2523" s="43"/>
      <c r="K2523" s="43"/>
      <c r="L2523" s="43"/>
      <c r="M2523" s="43"/>
      <c r="N2523" s="43"/>
      <c r="O2523" s="43"/>
      <c r="P2523" s="43"/>
      <c r="Q2523" s="43"/>
      <c r="R2523" s="43"/>
      <c r="S2523" s="43"/>
      <c r="T2523" s="43"/>
      <c r="U2523" s="43"/>
      <c r="V2523" s="43"/>
    </row>
    <row r="2524" spans="1:22" ht="15.75" customHeight="1" x14ac:dyDescent="0.2">
      <c r="A2524" s="40"/>
      <c r="B2524" s="45" t="s">
        <v>818</v>
      </c>
      <c r="C2524" s="46" t="s">
        <v>2351</v>
      </c>
      <c r="D2524" s="46" t="s">
        <v>605</v>
      </c>
      <c r="E2524" s="46" t="s">
        <v>2352</v>
      </c>
      <c r="F2524" s="46" t="s">
        <v>2343</v>
      </c>
      <c r="G2524" s="46" t="s">
        <v>2327</v>
      </c>
      <c r="H2524" s="43"/>
      <c r="I2524" s="43"/>
      <c r="J2524" s="43"/>
      <c r="K2524" s="43"/>
      <c r="L2524" s="43"/>
      <c r="M2524" s="43"/>
      <c r="N2524" s="43"/>
      <c r="O2524" s="43"/>
      <c r="P2524" s="43"/>
      <c r="Q2524" s="43"/>
      <c r="R2524" s="43"/>
      <c r="S2524" s="43"/>
      <c r="T2524" s="43"/>
      <c r="U2524" s="43"/>
      <c r="V2524" s="43"/>
    </row>
    <row r="2525" spans="1:22" ht="15.75" customHeight="1" x14ac:dyDescent="0.2">
      <c r="A2525" s="40"/>
      <c r="B2525" s="45" t="s">
        <v>830</v>
      </c>
      <c r="C2525" s="46" t="s">
        <v>2353</v>
      </c>
      <c r="D2525" s="46" t="s">
        <v>347</v>
      </c>
      <c r="E2525" s="46" t="s">
        <v>18</v>
      </c>
      <c r="F2525" s="46" t="s">
        <v>2343</v>
      </c>
      <c r="G2525" s="46" t="s">
        <v>2327</v>
      </c>
      <c r="H2525" s="43"/>
      <c r="I2525" s="43"/>
      <c r="J2525" s="43"/>
      <c r="K2525" s="43"/>
      <c r="L2525" s="43"/>
      <c r="M2525" s="43"/>
      <c r="N2525" s="43"/>
      <c r="O2525" s="43"/>
      <c r="P2525" s="43"/>
      <c r="Q2525" s="43"/>
      <c r="R2525" s="43"/>
      <c r="S2525" s="43"/>
      <c r="T2525" s="43"/>
      <c r="U2525" s="43"/>
      <c r="V2525" s="43"/>
    </row>
    <row r="2526" spans="1:22" ht="15.75" customHeight="1" x14ac:dyDescent="0.2">
      <c r="A2526" s="40">
        <v>321</v>
      </c>
      <c r="B2526" s="41" t="s">
        <v>365</v>
      </c>
      <c r="C2526" s="42" t="s">
        <v>2354</v>
      </c>
      <c r="D2526" s="42" t="s">
        <v>441</v>
      </c>
      <c r="E2526" s="42" t="s">
        <v>571</v>
      </c>
      <c r="F2526" s="42" t="s">
        <v>2355</v>
      </c>
      <c r="G2526" s="42" t="s">
        <v>2356</v>
      </c>
      <c r="H2526" s="43"/>
      <c r="I2526" s="43"/>
      <c r="J2526" s="43"/>
      <c r="K2526" s="43"/>
      <c r="L2526" s="43"/>
      <c r="M2526" s="43"/>
      <c r="N2526" s="43"/>
      <c r="O2526" s="43"/>
      <c r="P2526" s="43"/>
      <c r="Q2526" s="43"/>
      <c r="R2526" s="43"/>
      <c r="S2526" s="43"/>
      <c r="T2526" s="43"/>
      <c r="U2526" s="43"/>
      <c r="V2526" s="43"/>
    </row>
    <row r="2527" spans="1:22" ht="15.75" customHeight="1" x14ac:dyDescent="0.2">
      <c r="A2527" s="40">
        <v>331</v>
      </c>
      <c r="B2527" s="41" t="s">
        <v>365</v>
      </c>
      <c r="C2527" s="42" t="s">
        <v>2357</v>
      </c>
      <c r="D2527" s="42" t="s">
        <v>292</v>
      </c>
      <c r="E2527" s="42" t="s">
        <v>79</v>
      </c>
      <c r="F2527" s="42" t="s">
        <v>2355</v>
      </c>
      <c r="G2527" s="42" t="s">
        <v>2356</v>
      </c>
      <c r="H2527" s="43"/>
      <c r="I2527" s="43"/>
      <c r="J2527" s="43"/>
      <c r="K2527" s="43"/>
      <c r="L2527" s="43"/>
      <c r="M2527" s="43"/>
      <c r="N2527" s="43"/>
      <c r="O2527" s="43"/>
      <c r="P2527" s="43"/>
      <c r="Q2527" s="43"/>
      <c r="R2527" s="43"/>
      <c r="S2527" s="43"/>
      <c r="T2527" s="43"/>
      <c r="U2527" s="43"/>
      <c r="V2527" s="43"/>
    </row>
    <row r="2528" spans="1:22" ht="15.75" customHeight="1" x14ac:dyDescent="0.2">
      <c r="A2528" s="40">
        <v>761</v>
      </c>
      <c r="B2528" s="41" t="s">
        <v>977</v>
      </c>
      <c r="C2528" s="42" t="s">
        <v>2358</v>
      </c>
      <c r="D2528" s="42" t="s">
        <v>554</v>
      </c>
      <c r="E2528" s="42" t="s">
        <v>40</v>
      </c>
      <c r="F2528" s="42" t="s">
        <v>2355</v>
      </c>
      <c r="G2528" s="42" t="s">
        <v>2356</v>
      </c>
      <c r="H2528" s="43"/>
      <c r="I2528" s="43"/>
      <c r="J2528" s="43"/>
      <c r="K2528" s="43"/>
      <c r="L2528" s="43"/>
      <c r="M2528" s="43"/>
      <c r="N2528" s="43"/>
      <c r="O2528" s="43"/>
      <c r="P2528" s="43"/>
      <c r="Q2528" s="43"/>
      <c r="R2528" s="43"/>
      <c r="S2528" s="43"/>
      <c r="T2528" s="43"/>
      <c r="U2528" s="43"/>
      <c r="V2528" s="43"/>
    </row>
    <row r="2529" spans="1:22" ht="15.75" customHeight="1" x14ac:dyDescent="0.2">
      <c r="A2529" s="40">
        <v>769</v>
      </c>
      <c r="B2529" s="41" t="s">
        <v>1112</v>
      </c>
      <c r="C2529" s="42" t="s">
        <v>2359</v>
      </c>
      <c r="D2529" s="42" t="s">
        <v>120</v>
      </c>
      <c r="E2529" s="42" t="s">
        <v>306</v>
      </c>
      <c r="F2529" s="42" t="s">
        <v>2355</v>
      </c>
      <c r="G2529" s="42" t="s">
        <v>2356</v>
      </c>
      <c r="H2529" s="43"/>
      <c r="I2529" s="43"/>
      <c r="J2529" s="43"/>
      <c r="K2529" s="43"/>
      <c r="L2529" s="43"/>
      <c r="M2529" s="43"/>
      <c r="N2529" s="43"/>
      <c r="O2529" s="43"/>
      <c r="P2529" s="43"/>
      <c r="Q2529" s="43"/>
      <c r="R2529" s="43"/>
      <c r="S2529" s="43"/>
      <c r="T2529" s="43"/>
      <c r="U2529" s="43"/>
      <c r="V2529" s="43"/>
    </row>
    <row r="2530" spans="1:22" ht="15.75" customHeight="1" x14ac:dyDescent="0.2">
      <c r="A2530" s="40">
        <v>791</v>
      </c>
      <c r="B2530" s="41" t="s">
        <v>691</v>
      </c>
      <c r="C2530" s="42" t="s">
        <v>2360</v>
      </c>
      <c r="D2530" s="42" t="s">
        <v>1766</v>
      </c>
      <c r="E2530" s="42" t="s">
        <v>259</v>
      </c>
      <c r="F2530" s="42" t="s">
        <v>2355</v>
      </c>
      <c r="G2530" s="42" t="s">
        <v>2356</v>
      </c>
      <c r="H2530" s="43"/>
      <c r="I2530" s="43"/>
      <c r="J2530" s="43"/>
      <c r="K2530" s="43"/>
      <c r="L2530" s="43"/>
      <c r="M2530" s="43"/>
      <c r="N2530" s="43"/>
      <c r="O2530" s="43"/>
      <c r="P2530" s="43"/>
      <c r="Q2530" s="43"/>
      <c r="R2530" s="43"/>
      <c r="S2530" s="43"/>
      <c r="T2530" s="43"/>
      <c r="U2530" s="43"/>
      <c r="V2530" s="43"/>
    </row>
    <row r="2531" spans="1:22" ht="15.75" customHeight="1" x14ac:dyDescent="0.2">
      <c r="A2531" s="40">
        <v>2769</v>
      </c>
      <c r="B2531" s="41" t="s">
        <v>623</v>
      </c>
      <c r="C2531" s="42" t="s">
        <v>2354</v>
      </c>
      <c r="D2531" s="42" t="s">
        <v>441</v>
      </c>
      <c r="E2531" s="42" t="s">
        <v>571</v>
      </c>
      <c r="F2531" s="42" t="s">
        <v>2355</v>
      </c>
      <c r="G2531" s="42" t="s">
        <v>2356</v>
      </c>
      <c r="H2531" s="43"/>
      <c r="I2531" s="43"/>
      <c r="J2531" s="43"/>
      <c r="K2531" s="43"/>
      <c r="L2531" s="43"/>
      <c r="M2531" s="43"/>
      <c r="N2531" s="43"/>
      <c r="O2531" s="43"/>
      <c r="P2531" s="43"/>
      <c r="Q2531" s="43"/>
      <c r="R2531" s="43"/>
      <c r="S2531" s="43"/>
      <c r="T2531" s="43"/>
      <c r="U2531" s="43"/>
      <c r="V2531" s="43"/>
    </row>
    <row r="2532" spans="1:22" ht="15.75" customHeight="1" x14ac:dyDescent="0.2">
      <c r="A2532" s="40">
        <v>2903</v>
      </c>
      <c r="B2532" s="41" t="s">
        <v>1133</v>
      </c>
      <c r="C2532" s="42" t="s">
        <v>2354</v>
      </c>
      <c r="D2532" s="42" t="s">
        <v>441</v>
      </c>
      <c r="E2532" s="42" t="s">
        <v>571</v>
      </c>
      <c r="F2532" s="42" t="s">
        <v>2355</v>
      </c>
      <c r="G2532" s="42" t="s">
        <v>2356</v>
      </c>
      <c r="H2532" s="43"/>
      <c r="I2532" s="43"/>
      <c r="J2532" s="43"/>
      <c r="K2532" s="43"/>
      <c r="L2532" s="43"/>
      <c r="M2532" s="43"/>
      <c r="N2532" s="43"/>
      <c r="O2532" s="43"/>
      <c r="P2532" s="43"/>
      <c r="Q2532" s="43"/>
      <c r="R2532" s="43"/>
      <c r="S2532" s="43"/>
      <c r="T2532" s="43"/>
      <c r="U2532" s="43"/>
      <c r="V2532" s="43"/>
    </row>
    <row r="2533" spans="1:22" ht="15.75" customHeight="1" x14ac:dyDescent="0.2">
      <c r="A2533" s="40"/>
      <c r="B2533" s="45" t="s">
        <v>300</v>
      </c>
      <c r="C2533" s="46" t="s">
        <v>2361</v>
      </c>
      <c r="D2533" s="46" t="s">
        <v>554</v>
      </c>
      <c r="E2533" s="46" t="s">
        <v>129</v>
      </c>
      <c r="F2533" s="46" t="s">
        <v>2355</v>
      </c>
      <c r="G2533" s="46" t="s">
        <v>2356</v>
      </c>
      <c r="H2533" s="43"/>
      <c r="I2533" s="43"/>
      <c r="J2533" s="43"/>
      <c r="K2533" s="43"/>
      <c r="L2533" s="43"/>
      <c r="M2533" s="43"/>
      <c r="N2533" s="43"/>
      <c r="O2533" s="43"/>
      <c r="P2533" s="43"/>
      <c r="Q2533" s="43"/>
      <c r="R2533" s="43"/>
      <c r="S2533" s="43"/>
      <c r="T2533" s="43"/>
      <c r="U2533" s="43"/>
      <c r="V2533" s="43"/>
    </row>
    <row r="2534" spans="1:22" ht="15.75" customHeight="1" x14ac:dyDescent="0.2">
      <c r="A2534" s="40"/>
      <c r="B2534" s="45" t="s">
        <v>102</v>
      </c>
      <c r="C2534" s="46" t="s">
        <v>2361</v>
      </c>
      <c r="D2534" s="46" t="s">
        <v>554</v>
      </c>
      <c r="E2534" s="46" t="s">
        <v>129</v>
      </c>
      <c r="F2534" s="46" t="s">
        <v>2355</v>
      </c>
      <c r="G2534" s="46" t="s">
        <v>2356</v>
      </c>
      <c r="H2534" s="43"/>
      <c r="I2534" s="43"/>
      <c r="J2534" s="43"/>
      <c r="K2534" s="43"/>
      <c r="L2534" s="43"/>
      <c r="M2534" s="43"/>
      <c r="N2534" s="43"/>
      <c r="O2534" s="43"/>
      <c r="P2534" s="43"/>
      <c r="Q2534" s="43"/>
      <c r="R2534" s="43"/>
      <c r="S2534" s="43"/>
      <c r="T2534" s="43"/>
      <c r="U2534" s="43"/>
      <c r="V2534" s="43"/>
    </row>
    <row r="2535" spans="1:22" ht="15.75" customHeight="1" x14ac:dyDescent="0.2">
      <c r="A2535" s="40"/>
      <c r="B2535" s="45" t="s">
        <v>297</v>
      </c>
      <c r="C2535" s="46" t="s">
        <v>2362</v>
      </c>
      <c r="D2535" s="46" t="s">
        <v>31</v>
      </c>
      <c r="E2535" s="46" t="s">
        <v>326</v>
      </c>
      <c r="F2535" s="46" t="s">
        <v>2355</v>
      </c>
      <c r="G2535" s="46" t="s">
        <v>2356</v>
      </c>
      <c r="H2535" s="43"/>
      <c r="I2535" s="43"/>
      <c r="J2535" s="43"/>
      <c r="K2535" s="43"/>
      <c r="L2535" s="43"/>
      <c r="M2535" s="43"/>
      <c r="N2535" s="43"/>
      <c r="O2535" s="43"/>
      <c r="P2535" s="43"/>
      <c r="Q2535" s="43"/>
      <c r="R2535" s="43"/>
      <c r="S2535" s="43"/>
      <c r="T2535" s="43"/>
      <c r="U2535" s="43"/>
      <c r="V2535" s="43"/>
    </row>
    <row r="2536" spans="1:22" ht="15.75" customHeight="1" x14ac:dyDescent="0.2">
      <c r="A2536" s="40"/>
      <c r="B2536" s="45" t="s">
        <v>300</v>
      </c>
      <c r="C2536" s="46" t="s">
        <v>2362</v>
      </c>
      <c r="D2536" s="46" t="s">
        <v>31</v>
      </c>
      <c r="E2536" s="46" t="s">
        <v>326</v>
      </c>
      <c r="F2536" s="46" t="s">
        <v>2355</v>
      </c>
      <c r="G2536" s="46" t="s">
        <v>2356</v>
      </c>
      <c r="H2536" s="43"/>
      <c r="I2536" s="43"/>
      <c r="J2536" s="43"/>
      <c r="K2536" s="43"/>
      <c r="L2536" s="43"/>
      <c r="M2536" s="43"/>
      <c r="N2536" s="43"/>
      <c r="O2536" s="43"/>
      <c r="P2536" s="43"/>
      <c r="Q2536" s="43"/>
      <c r="R2536" s="43"/>
      <c r="S2536" s="43"/>
      <c r="T2536" s="43"/>
      <c r="U2536" s="43"/>
      <c r="V2536" s="43"/>
    </row>
    <row r="2537" spans="1:22" ht="15.75" customHeight="1" x14ac:dyDescent="0.2">
      <c r="A2537" s="40"/>
      <c r="B2537" s="45" t="s">
        <v>94</v>
      </c>
      <c r="C2537" s="46" t="s">
        <v>2363</v>
      </c>
      <c r="D2537" s="46" t="s">
        <v>1766</v>
      </c>
      <c r="E2537" s="46" t="s">
        <v>1200</v>
      </c>
      <c r="F2537" s="46" t="s">
        <v>2355</v>
      </c>
      <c r="G2537" s="46" t="s">
        <v>2356</v>
      </c>
      <c r="H2537" s="43"/>
      <c r="I2537" s="43"/>
      <c r="J2537" s="43"/>
      <c r="K2537" s="43"/>
      <c r="L2537" s="43"/>
      <c r="M2537" s="43"/>
      <c r="N2537" s="43"/>
      <c r="O2537" s="43"/>
      <c r="P2537" s="43"/>
      <c r="Q2537" s="43"/>
      <c r="R2537" s="43"/>
      <c r="S2537" s="43"/>
      <c r="T2537" s="43"/>
      <c r="U2537" s="43"/>
      <c r="V2537" s="43"/>
    </row>
    <row r="2538" spans="1:22" ht="15.75" customHeight="1" x14ac:dyDescent="0.2">
      <c r="A2538" s="40"/>
      <c r="B2538" s="45" t="s">
        <v>94</v>
      </c>
      <c r="C2538" s="46" t="s">
        <v>2364</v>
      </c>
      <c r="D2538" s="46" t="s">
        <v>1302</v>
      </c>
      <c r="E2538" s="46" t="s">
        <v>2365</v>
      </c>
      <c r="F2538" s="46" t="s">
        <v>2355</v>
      </c>
      <c r="G2538" s="46" t="s">
        <v>2356</v>
      </c>
      <c r="H2538" s="43"/>
      <c r="I2538" s="43"/>
      <c r="J2538" s="43"/>
      <c r="K2538" s="43"/>
      <c r="L2538" s="43"/>
      <c r="M2538" s="43"/>
      <c r="N2538" s="43"/>
      <c r="O2538" s="43"/>
      <c r="P2538" s="43"/>
      <c r="Q2538" s="43"/>
      <c r="R2538" s="43"/>
      <c r="S2538" s="43"/>
      <c r="T2538" s="43"/>
      <c r="U2538" s="43"/>
      <c r="V2538" s="43"/>
    </row>
    <row r="2539" spans="1:22" ht="15.75" customHeight="1" x14ac:dyDescent="0.2">
      <c r="A2539" s="40"/>
      <c r="B2539" s="45" t="s">
        <v>315</v>
      </c>
      <c r="C2539" s="46" t="s">
        <v>63</v>
      </c>
      <c r="D2539" s="46" t="s">
        <v>333</v>
      </c>
      <c r="E2539" s="46" t="s">
        <v>2366</v>
      </c>
      <c r="F2539" s="46" t="s">
        <v>2355</v>
      </c>
      <c r="G2539" s="46" t="s">
        <v>2356</v>
      </c>
      <c r="H2539" s="43"/>
      <c r="I2539" s="43"/>
      <c r="J2539" s="43"/>
      <c r="K2539" s="43"/>
      <c r="L2539" s="43"/>
      <c r="M2539" s="43"/>
      <c r="N2539" s="43"/>
      <c r="O2539" s="43"/>
      <c r="P2539" s="43"/>
      <c r="Q2539" s="43"/>
      <c r="R2539" s="43"/>
      <c r="S2539" s="43"/>
      <c r="T2539" s="43"/>
      <c r="U2539" s="43"/>
      <c r="V2539" s="43"/>
    </row>
    <row r="2540" spans="1:22" ht="15.75" customHeight="1" x14ac:dyDescent="0.2">
      <c r="A2540" s="40"/>
      <c r="B2540" s="45" t="s">
        <v>323</v>
      </c>
      <c r="C2540" s="46" t="s">
        <v>63</v>
      </c>
      <c r="D2540" s="46" t="s">
        <v>333</v>
      </c>
      <c r="E2540" s="46" t="s">
        <v>2366</v>
      </c>
      <c r="F2540" s="46" t="s">
        <v>2355</v>
      </c>
      <c r="G2540" s="46" t="s">
        <v>2356</v>
      </c>
      <c r="H2540" s="43"/>
      <c r="I2540" s="43"/>
      <c r="J2540" s="43"/>
      <c r="K2540" s="43"/>
      <c r="L2540" s="43"/>
      <c r="M2540" s="43"/>
      <c r="N2540" s="43"/>
      <c r="O2540" s="43"/>
      <c r="P2540" s="43"/>
      <c r="Q2540" s="43"/>
      <c r="R2540" s="43"/>
      <c r="S2540" s="43"/>
      <c r="T2540" s="43"/>
      <c r="U2540" s="43"/>
      <c r="V2540" s="43"/>
    </row>
    <row r="2541" spans="1:22" ht="15.75" customHeight="1" x14ac:dyDescent="0.2">
      <c r="A2541" s="40"/>
      <c r="B2541" s="45" t="s">
        <v>88</v>
      </c>
      <c r="C2541" s="46" t="s">
        <v>2367</v>
      </c>
      <c r="D2541" s="46" t="s">
        <v>529</v>
      </c>
      <c r="E2541" s="46" t="s">
        <v>18</v>
      </c>
      <c r="F2541" s="46" t="s">
        <v>2355</v>
      </c>
      <c r="G2541" s="46" t="s">
        <v>2356</v>
      </c>
      <c r="H2541" s="43"/>
      <c r="I2541" s="43"/>
      <c r="J2541" s="43"/>
      <c r="K2541" s="43"/>
      <c r="L2541" s="43"/>
      <c r="M2541" s="43"/>
      <c r="N2541" s="43"/>
      <c r="O2541" s="43"/>
      <c r="P2541" s="43"/>
      <c r="Q2541" s="43"/>
      <c r="R2541" s="43"/>
      <c r="S2541" s="43"/>
      <c r="T2541" s="43"/>
      <c r="U2541" s="43"/>
      <c r="V2541" s="43"/>
    </row>
    <row r="2542" spans="1:22" ht="15.75" customHeight="1" x14ac:dyDescent="0.2">
      <c r="A2542" s="40"/>
      <c r="B2542" s="45" t="s">
        <v>94</v>
      </c>
      <c r="C2542" s="46" t="s">
        <v>2367</v>
      </c>
      <c r="D2542" s="46" t="s">
        <v>529</v>
      </c>
      <c r="E2542" s="46" t="s">
        <v>18</v>
      </c>
      <c r="F2542" s="46" t="s">
        <v>2355</v>
      </c>
      <c r="G2542" s="46" t="s">
        <v>2356</v>
      </c>
      <c r="H2542" s="43"/>
      <c r="I2542" s="43"/>
      <c r="J2542" s="43"/>
      <c r="K2542" s="43"/>
      <c r="L2542" s="43"/>
      <c r="M2542" s="43"/>
      <c r="N2542" s="43"/>
      <c r="O2542" s="43"/>
      <c r="P2542" s="43"/>
      <c r="Q2542" s="43"/>
      <c r="R2542" s="43"/>
      <c r="S2542" s="43"/>
      <c r="T2542" s="43"/>
      <c r="U2542" s="43"/>
      <c r="V2542" s="43"/>
    </row>
    <row r="2543" spans="1:22" ht="15.75" customHeight="1" x14ac:dyDescent="0.2">
      <c r="A2543" s="40"/>
      <c r="B2543" s="45" t="s">
        <v>109</v>
      </c>
      <c r="C2543" s="46" t="s">
        <v>2368</v>
      </c>
      <c r="D2543" s="46" t="s">
        <v>456</v>
      </c>
      <c r="E2543" s="46" t="s">
        <v>79</v>
      </c>
      <c r="F2543" s="46" t="s">
        <v>2355</v>
      </c>
      <c r="G2543" s="46" t="s">
        <v>2356</v>
      </c>
      <c r="H2543" s="43"/>
      <c r="I2543" s="43"/>
      <c r="J2543" s="43"/>
      <c r="K2543" s="43"/>
      <c r="L2543" s="43"/>
      <c r="M2543" s="43"/>
      <c r="N2543" s="43"/>
      <c r="O2543" s="43"/>
      <c r="P2543" s="43"/>
      <c r="Q2543" s="43"/>
      <c r="R2543" s="43"/>
      <c r="S2543" s="43"/>
      <c r="T2543" s="43"/>
      <c r="U2543" s="43"/>
      <c r="V2543" s="43"/>
    </row>
    <row r="2544" spans="1:22" ht="15.75" customHeight="1" x14ac:dyDescent="0.2">
      <c r="A2544" s="40"/>
      <c r="B2544" s="45" t="s">
        <v>108</v>
      </c>
      <c r="C2544" s="46" t="s">
        <v>2368</v>
      </c>
      <c r="D2544" s="46" t="s">
        <v>456</v>
      </c>
      <c r="E2544" s="46" t="s">
        <v>79</v>
      </c>
      <c r="F2544" s="46" t="s">
        <v>2355</v>
      </c>
      <c r="G2544" s="46" t="s">
        <v>2356</v>
      </c>
      <c r="H2544" s="43"/>
      <c r="I2544" s="43"/>
      <c r="J2544" s="43"/>
      <c r="K2544" s="43"/>
      <c r="L2544" s="43"/>
      <c r="M2544" s="43"/>
      <c r="N2544" s="43"/>
      <c r="O2544" s="43"/>
      <c r="P2544" s="43"/>
      <c r="Q2544" s="43"/>
      <c r="R2544" s="43"/>
      <c r="S2544" s="43"/>
      <c r="T2544" s="43"/>
      <c r="U2544" s="43"/>
      <c r="V2544" s="43"/>
    </row>
    <row r="2545" spans="1:22" ht="15.75" customHeight="1" x14ac:dyDescent="0.2">
      <c r="A2545" s="40"/>
      <c r="B2545" s="45" t="s">
        <v>109</v>
      </c>
      <c r="C2545" s="46" t="s">
        <v>2369</v>
      </c>
      <c r="D2545" s="46" t="s">
        <v>58</v>
      </c>
      <c r="E2545" s="46" t="s">
        <v>40</v>
      </c>
      <c r="F2545" s="46" t="s">
        <v>2355</v>
      </c>
      <c r="G2545" s="46" t="s">
        <v>2356</v>
      </c>
      <c r="H2545" s="43"/>
      <c r="I2545" s="43"/>
      <c r="J2545" s="43"/>
      <c r="K2545" s="43"/>
      <c r="L2545" s="43"/>
      <c r="M2545" s="43"/>
      <c r="N2545" s="43"/>
      <c r="O2545" s="43"/>
      <c r="P2545" s="43"/>
      <c r="Q2545" s="43"/>
      <c r="R2545" s="43"/>
      <c r="S2545" s="43"/>
      <c r="T2545" s="43"/>
      <c r="U2545" s="43"/>
      <c r="V2545" s="43"/>
    </row>
    <row r="2546" spans="1:22" ht="15.75" customHeight="1" x14ac:dyDescent="0.2">
      <c r="A2546" s="40"/>
      <c r="B2546" s="45" t="s">
        <v>108</v>
      </c>
      <c r="C2546" s="46" t="s">
        <v>2369</v>
      </c>
      <c r="D2546" s="46" t="s">
        <v>58</v>
      </c>
      <c r="E2546" s="46" t="s">
        <v>40</v>
      </c>
      <c r="F2546" s="46" t="s">
        <v>2355</v>
      </c>
      <c r="G2546" s="46" t="s">
        <v>2356</v>
      </c>
      <c r="H2546" s="43"/>
      <c r="I2546" s="43"/>
      <c r="J2546" s="43"/>
      <c r="K2546" s="43"/>
      <c r="L2546" s="43"/>
      <c r="M2546" s="43"/>
      <c r="N2546" s="43"/>
      <c r="O2546" s="43"/>
      <c r="P2546" s="43"/>
      <c r="Q2546" s="43"/>
      <c r="R2546" s="43"/>
      <c r="S2546" s="43"/>
      <c r="T2546" s="43"/>
      <c r="U2546" s="43"/>
      <c r="V2546" s="43"/>
    </row>
    <row r="2547" spans="1:22" ht="15.75" customHeight="1" x14ac:dyDescent="0.2">
      <c r="A2547" s="40"/>
      <c r="B2547" s="45" t="s">
        <v>94</v>
      </c>
      <c r="C2547" s="46" t="s">
        <v>1478</v>
      </c>
      <c r="D2547" s="46" t="s">
        <v>183</v>
      </c>
      <c r="E2547" s="46" t="s">
        <v>187</v>
      </c>
      <c r="F2547" s="46" t="s">
        <v>2355</v>
      </c>
      <c r="G2547" s="46" t="s">
        <v>2356</v>
      </c>
      <c r="H2547" s="43"/>
      <c r="I2547" s="43"/>
      <c r="J2547" s="43"/>
      <c r="K2547" s="43"/>
      <c r="L2547" s="43"/>
      <c r="M2547" s="43"/>
      <c r="N2547" s="43"/>
      <c r="O2547" s="43"/>
      <c r="P2547" s="43"/>
      <c r="Q2547" s="43"/>
      <c r="R2547" s="43"/>
      <c r="S2547" s="43"/>
      <c r="T2547" s="43"/>
      <c r="U2547" s="43"/>
      <c r="V2547" s="43"/>
    </row>
    <row r="2548" spans="1:22" ht="15.75" customHeight="1" x14ac:dyDescent="0.2">
      <c r="A2548" s="40"/>
      <c r="B2548" s="45" t="s">
        <v>88</v>
      </c>
      <c r="C2548" s="46" t="s">
        <v>2359</v>
      </c>
      <c r="D2548" s="46" t="s">
        <v>309</v>
      </c>
      <c r="E2548" s="46" t="s">
        <v>79</v>
      </c>
      <c r="F2548" s="46" t="s">
        <v>2370</v>
      </c>
      <c r="G2548" s="46" t="s">
        <v>2356</v>
      </c>
      <c r="H2548" s="43"/>
      <c r="I2548" s="43"/>
      <c r="J2548" s="43"/>
      <c r="K2548" s="43"/>
      <c r="L2548" s="43"/>
      <c r="M2548" s="43"/>
      <c r="N2548" s="43"/>
      <c r="O2548" s="43"/>
      <c r="P2548" s="43"/>
      <c r="Q2548" s="43"/>
      <c r="R2548" s="43"/>
      <c r="S2548" s="43"/>
      <c r="T2548" s="43"/>
      <c r="U2548" s="43"/>
      <c r="V2548" s="43"/>
    </row>
    <row r="2549" spans="1:22" ht="15.75" customHeight="1" x14ac:dyDescent="0.2">
      <c r="A2549" s="40"/>
      <c r="B2549" s="45" t="s">
        <v>828</v>
      </c>
      <c r="C2549" s="46" t="s">
        <v>2371</v>
      </c>
      <c r="D2549" s="46" t="s">
        <v>2372</v>
      </c>
      <c r="E2549" s="46" t="s">
        <v>2373</v>
      </c>
      <c r="F2549" s="46" t="s">
        <v>2374</v>
      </c>
      <c r="G2549" s="46" t="s">
        <v>2356</v>
      </c>
      <c r="H2549" s="43"/>
      <c r="I2549" s="43"/>
      <c r="J2549" s="43"/>
      <c r="K2549" s="43"/>
      <c r="L2549" s="43"/>
      <c r="M2549" s="43"/>
      <c r="N2549" s="43"/>
      <c r="O2549" s="43"/>
      <c r="P2549" s="43"/>
      <c r="Q2549" s="43"/>
      <c r="R2549" s="43"/>
      <c r="S2549" s="43"/>
      <c r="T2549" s="43"/>
      <c r="U2549" s="43"/>
      <c r="V2549" s="43"/>
    </row>
    <row r="2550" spans="1:22" ht="15.75" customHeight="1" x14ac:dyDescent="0.2">
      <c r="A2550" s="40"/>
      <c r="B2550" s="45" t="s">
        <v>815</v>
      </c>
      <c r="C2550" s="46" t="s">
        <v>2375</v>
      </c>
      <c r="D2550" s="46" t="s">
        <v>78</v>
      </c>
      <c r="E2550" s="46" t="s">
        <v>326</v>
      </c>
      <c r="F2550" s="46" t="s">
        <v>2374</v>
      </c>
      <c r="G2550" s="46" t="s">
        <v>2356</v>
      </c>
      <c r="H2550" s="43"/>
      <c r="I2550" s="43"/>
      <c r="J2550" s="43"/>
      <c r="K2550" s="43"/>
      <c r="L2550" s="43"/>
      <c r="M2550" s="43"/>
      <c r="N2550" s="43"/>
      <c r="O2550" s="43"/>
      <c r="P2550" s="43"/>
      <c r="Q2550" s="43"/>
      <c r="R2550" s="43"/>
      <c r="S2550" s="43"/>
      <c r="T2550" s="43"/>
      <c r="U2550" s="43"/>
      <c r="V2550" s="43"/>
    </row>
    <row r="2551" spans="1:22" ht="15.75" customHeight="1" x14ac:dyDescent="0.2">
      <c r="A2551" s="40">
        <v>1177</v>
      </c>
      <c r="B2551" s="41" t="s">
        <v>256</v>
      </c>
      <c r="C2551" s="42" t="s">
        <v>2376</v>
      </c>
      <c r="D2551" s="42" t="s">
        <v>534</v>
      </c>
      <c r="E2551" s="42" t="s">
        <v>1492</v>
      </c>
      <c r="F2551" s="42" t="s">
        <v>2377</v>
      </c>
      <c r="G2551" s="42" t="s">
        <v>2356</v>
      </c>
      <c r="H2551" s="43"/>
      <c r="I2551" s="43"/>
      <c r="J2551" s="43"/>
      <c r="K2551" s="43"/>
      <c r="L2551" s="43"/>
      <c r="M2551" s="43"/>
      <c r="N2551" s="43"/>
      <c r="O2551" s="43"/>
      <c r="P2551" s="43"/>
      <c r="Q2551" s="43"/>
      <c r="R2551" s="43"/>
      <c r="S2551" s="43"/>
      <c r="T2551" s="43"/>
      <c r="U2551" s="43"/>
      <c r="V2551" s="43"/>
    </row>
    <row r="2552" spans="1:22" ht="15.75" customHeight="1" x14ac:dyDescent="0.2">
      <c r="A2552" s="40">
        <v>2257</v>
      </c>
      <c r="B2552" s="41" t="s">
        <v>517</v>
      </c>
      <c r="C2552" s="42" t="s">
        <v>2376</v>
      </c>
      <c r="D2552" s="42" t="s">
        <v>534</v>
      </c>
      <c r="E2552" s="42" t="s">
        <v>1492</v>
      </c>
      <c r="F2552" s="42" t="s">
        <v>2377</v>
      </c>
      <c r="G2552" s="42" t="s">
        <v>2356</v>
      </c>
      <c r="H2552" s="43"/>
      <c r="I2552" s="43"/>
      <c r="J2552" s="43"/>
      <c r="K2552" s="43"/>
      <c r="L2552" s="43"/>
      <c r="M2552" s="43"/>
      <c r="N2552" s="43"/>
      <c r="O2552" s="43"/>
      <c r="P2552" s="43"/>
      <c r="Q2552" s="43"/>
      <c r="R2552" s="43"/>
      <c r="S2552" s="43"/>
      <c r="T2552" s="43"/>
      <c r="U2552" s="43"/>
      <c r="V2552" s="43"/>
    </row>
    <row r="2553" spans="1:22" ht="15.75" customHeight="1" x14ac:dyDescent="0.2">
      <c r="A2553" s="40">
        <v>2829</v>
      </c>
      <c r="B2553" s="41" t="s">
        <v>518</v>
      </c>
      <c r="C2553" s="42" t="s">
        <v>2376</v>
      </c>
      <c r="D2553" s="42" t="s">
        <v>534</v>
      </c>
      <c r="E2553" s="42" t="s">
        <v>1492</v>
      </c>
      <c r="F2553" s="42" t="s">
        <v>2377</v>
      </c>
      <c r="G2553" s="42" t="s">
        <v>2356</v>
      </c>
      <c r="H2553" s="43"/>
      <c r="I2553" s="43"/>
      <c r="J2553" s="43"/>
      <c r="K2553" s="43"/>
      <c r="L2553" s="43"/>
      <c r="M2553" s="43"/>
      <c r="N2553" s="43"/>
      <c r="O2553" s="43"/>
      <c r="P2553" s="43"/>
      <c r="Q2553" s="43"/>
      <c r="R2553" s="43"/>
      <c r="S2553" s="43"/>
      <c r="T2553" s="43"/>
      <c r="U2553" s="43"/>
      <c r="V2553" s="43"/>
    </row>
    <row r="2554" spans="1:22" ht="15.75" customHeight="1" x14ac:dyDescent="0.2">
      <c r="A2554" s="40">
        <v>193</v>
      </c>
      <c r="B2554" s="41" t="s">
        <v>549</v>
      </c>
      <c r="C2554" s="42" t="s">
        <v>2378</v>
      </c>
      <c r="D2554" s="42" t="s">
        <v>120</v>
      </c>
      <c r="E2554" s="42" t="s">
        <v>322</v>
      </c>
      <c r="F2554" s="42" t="s">
        <v>2377</v>
      </c>
      <c r="G2554" s="42" t="s">
        <v>2356</v>
      </c>
      <c r="H2554" s="43"/>
      <c r="I2554" s="43"/>
      <c r="J2554" s="43"/>
      <c r="K2554" s="43"/>
      <c r="L2554" s="43"/>
      <c r="M2554" s="43"/>
      <c r="N2554" s="43"/>
      <c r="O2554" s="43"/>
      <c r="P2554" s="43"/>
      <c r="Q2554" s="43"/>
      <c r="R2554" s="43"/>
      <c r="S2554" s="43"/>
      <c r="T2554" s="43"/>
      <c r="U2554" s="43"/>
      <c r="V2554" s="43"/>
    </row>
    <row r="2555" spans="1:22" ht="15.75" customHeight="1" x14ac:dyDescent="0.2">
      <c r="A2555" s="40">
        <v>1333</v>
      </c>
      <c r="B2555" s="41" t="s">
        <v>260</v>
      </c>
      <c r="C2555" s="42" t="s">
        <v>2378</v>
      </c>
      <c r="D2555" s="42" t="s">
        <v>120</v>
      </c>
      <c r="E2555" s="42" t="s">
        <v>322</v>
      </c>
      <c r="F2555" s="42" t="s">
        <v>2377</v>
      </c>
      <c r="G2555" s="42" t="s">
        <v>2356</v>
      </c>
      <c r="H2555" s="43"/>
      <c r="I2555" s="43"/>
      <c r="J2555" s="43"/>
      <c r="K2555" s="43"/>
      <c r="L2555" s="43"/>
      <c r="M2555" s="43"/>
      <c r="N2555" s="43"/>
      <c r="O2555" s="43"/>
      <c r="P2555" s="43"/>
      <c r="Q2555" s="43"/>
      <c r="R2555" s="43"/>
      <c r="S2555" s="43"/>
      <c r="T2555" s="43"/>
      <c r="U2555" s="43"/>
      <c r="V2555" s="43"/>
    </row>
    <row r="2556" spans="1:22" ht="15.75" customHeight="1" x14ac:dyDescent="0.2">
      <c r="A2556" s="40">
        <v>2495</v>
      </c>
      <c r="B2556" s="41" t="s">
        <v>444</v>
      </c>
      <c r="C2556" s="42" t="s">
        <v>2378</v>
      </c>
      <c r="D2556" s="42" t="s">
        <v>120</v>
      </c>
      <c r="E2556" s="42" t="s">
        <v>322</v>
      </c>
      <c r="F2556" s="42" t="s">
        <v>2377</v>
      </c>
      <c r="G2556" s="42" t="s">
        <v>2356</v>
      </c>
      <c r="H2556" s="43"/>
      <c r="I2556" s="43"/>
      <c r="J2556" s="43"/>
      <c r="K2556" s="43"/>
      <c r="L2556" s="43"/>
      <c r="M2556" s="43"/>
      <c r="N2556" s="43"/>
      <c r="O2556" s="43"/>
      <c r="P2556" s="43"/>
      <c r="Q2556" s="43"/>
      <c r="R2556" s="43"/>
      <c r="S2556" s="43"/>
      <c r="T2556" s="43"/>
      <c r="U2556" s="43"/>
      <c r="V2556" s="43"/>
    </row>
    <row r="2557" spans="1:22" ht="15.75" customHeight="1" x14ac:dyDescent="0.2">
      <c r="A2557" s="40">
        <v>485</v>
      </c>
      <c r="B2557" s="41" t="s">
        <v>445</v>
      </c>
      <c r="C2557" s="42" t="s">
        <v>1644</v>
      </c>
      <c r="D2557" s="42" t="s">
        <v>388</v>
      </c>
      <c r="E2557" s="42" t="s">
        <v>639</v>
      </c>
      <c r="F2557" s="42" t="s">
        <v>2379</v>
      </c>
      <c r="G2557" s="42" t="s">
        <v>2356</v>
      </c>
      <c r="H2557" s="43"/>
      <c r="I2557" s="43"/>
      <c r="J2557" s="43"/>
      <c r="K2557" s="43"/>
      <c r="L2557" s="43"/>
      <c r="M2557" s="43"/>
      <c r="N2557" s="43"/>
      <c r="O2557" s="43"/>
      <c r="P2557" s="43"/>
      <c r="Q2557" s="43"/>
      <c r="R2557" s="43"/>
      <c r="S2557" s="43"/>
      <c r="T2557" s="43"/>
      <c r="U2557" s="43"/>
      <c r="V2557" s="43"/>
    </row>
    <row r="2558" spans="1:22" ht="15.75" customHeight="1" x14ac:dyDescent="0.2">
      <c r="A2558" s="40">
        <v>2837</v>
      </c>
      <c r="B2558" s="41" t="s">
        <v>518</v>
      </c>
      <c r="C2558" s="42" t="s">
        <v>1644</v>
      </c>
      <c r="D2558" s="42" t="s">
        <v>388</v>
      </c>
      <c r="E2558" s="42" t="s">
        <v>639</v>
      </c>
      <c r="F2558" s="42" t="s">
        <v>2379</v>
      </c>
      <c r="G2558" s="42" t="s">
        <v>2356</v>
      </c>
      <c r="H2558" s="43"/>
      <c r="I2558" s="43"/>
      <c r="J2558" s="43"/>
      <c r="K2558" s="43"/>
      <c r="L2558" s="43"/>
      <c r="M2558" s="43"/>
      <c r="N2558" s="43"/>
      <c r="O2558" s="43"/>
      <c r="P2558" s="43"/>
      <c r="Q2558" s="43"/>
      <c r="R2558" s="43"/>
      <c r="S2558" s="43"/>
      <c r="T2558" s="43"/>
      <c r="U2558" s="43"/>
      <c r="V2558" s="43"/>
    </row>
    <row r="2559" spans="1:22" ht="15.75" customHeight="1" x14ac:dyDescent="0.2">
      <c r="A2559" s="40">
        <v>61</v>
      </c>
      <c r="B2559" s="41" t="s">
        <v>226</v>
      </c>
      <c r="C2559" s="42" t="s">
        <v>2376</v>
      </c>
      <c r="D2559" s="42" t="s">
        <v>554</v>
      </c>
      <c r="E2559" s="42" t="s">
        <v>1490</v>
      </c>
      <c r="F2559" s="42" t="s">
        <v>2380</v>
      </c>
      <c r="G2559" s="42" t="s">
        <v>2356</v>
      </c>
      <c r="H2559" s="43"/>
      <c r="I2559" s="43"/>
      <c r="J2559" s="43"/>
      <c r="K2559" s="43"/>
      <c r="L2559" s="43"/>
      <c r="M2559" s="43"/>
      <c r="N2559" s="43"/>
      <c r="O2559" s="43"/>
      <c r="P2559" s="43"/>
      <c r="Q2559" s="43"/>
      <c r="R2559" s="43"/>
      <c r="S2559" s="43"/>
      <c r="T2559" s="43"/>
      <c r="U2559" s="43"/>
      <c r="V2559" s="43"/>
    </row>
    <row r="2560" spans="1:22" ht="15.75" customHeight="1" x14ac:dyDescent="0.2">
      <c r="A2560" s="40">
        <v>107</v>
      </c>
      <c r="B2560" s="41" t="s">
        <v>415</v>
      </c>
      <c r="C2560" s="42" t="s">
        <v>2376</v>
      </c>
      <c r="D2560" s="42" t="s">
        <v>554</v>
      </c>
      <c r="E2560" s="42" t="s">
        <v>1490</v>
      </c>
      <c r="F2560" s="42" t="s">
        <v>2380</v>
      </c>
      <c r="G2560" s="42" t="s">
        <v>2356</v>
      </c>
      <c r="H2560" s="43"/>
      <c r="I2560" s="43"/>
      <c r="J2560" s="43"/>
      <c r="K2560" s="43"/>
      <c r="L2560" s="43"/>
      <c r="M2560" s="43"/>
      <c r="N2560" s="43"/>
      <c r="O2560" s="43"/>
      <c r="P2560" s="43"/>
      <c r="Q2560" s="43"/>
      <c r="R2560" s="43"/>
      <c r="S2560" s="43"/>
      <c r="T2560" s="43"/>
      <c r="U2560" s="43"/>
      <c r="V2560" s="43"/>
    </row>
    <row r="2561" spans="1:22" ht="15.75" customHeight="1" x14ac:dyDescent="0.2">
      <c r="A2561" s="40"/>
      <c r="B2561" s="45" t="s">
        <v>307</v>
      </c>
      <c r="C2561" s="46" t="s">
        <v>2376</v>
      </c>
      <c r="D2561" s="46" t="s">
        <v>554</v>
      </c>
      <c r="E2561" s="46" t="s">
        <v>1490</v>
      </c>
      <c r="F2561" s="46" t="s">
        <v>2380</v>
      </c>
      <c r="G2561" s="46" t="s">
        <v>2356</v>
      </c>
      <c r="H2561" s="43"/>
      <c r="I2561" s="43"/>
      <c r="J2561" s="43"/>
      <c r="K2561" s="43"/>
      <c r="L2561" s="43"/>
      <c r="M2561" s="43"/>
      <c r="N2561" s="43"/>
      <c r="O2561" s="43"/>
      <c r="P2561" s="43"/>
      <c r="Q2561" s="43"/>
      <c r="R2561" s="43"/>
      <c r="S2561" s="43"/>
      <c r="T2561" s="43"/>
      <c r="U2561" s="43"/>
      <c r="V2561" s="43"/>
    </row>
    <row r="2562" spans="1:22" ht="15.75" customHeight="1" x14ac:dyDescent="0.2">
      <c r="A2562" s="40"/>
      <c r="B2562" s="45" t="s">
        <v>232</v>
      </c>
      <c r="C2562" s="46" t="s">
        <v>2376</v>
      </c>
      <c r="D2562" s="46" t="s">
        <v>554</v>
      </c>
      <c r="E2562" s="46" t="s">
        <v>1490</v>
      </c>
      <c r="F2562" s="46" t="s">
        <v>2380</v>
      </c>
      <c r="G2562" s="46" t="s">
        <v>2356</v>
      </c>
      <c r="H2562" s="43"/>
      <c r="I2562" s="43"/>
      <c r="J2562" s="43"/>
      <c r="K2562" s="43"/>
      <c r="L2562" s="43"/>
      <c r="M2562" s="43"/>
      <c r="N2562" s="43"/>
      <c r="O2562" s="43"/>
      <c r="P2562" s="43"/>
      <c r="Q2562" s="43"/>
      <c r="R2562" s="43"/>
      <c r="S2562" s="43"/>
      <c r="T2562" s="43"/>
      <c r="U2562" s="43"/>
      <c r="V2562" s="43"/>
    </row>
    <row r="2563" spans="1:22" ht="15.75" customHeight="1" x14ac:dyDescent="0.2">
      <c r="A2563" s="40"/>
      <c r="B2563" s="45" t="s">
        <v>303</v>
      </c>
      <c r="C2563" s="46" t="s">
        <v>2376</v>
      </c>
      <c r="D2563" s="46" t="s">
        <v>554</v>
      </c>
      <c r="E2563" s="46" t="s">
        <v>1490</v>
      </c>
      <c r="F2563" s="46" t="s">
        <v>2380</v>
      </c>
      <c r="G2563" s="46" t="s">
        <v>2356</v>
      </c>
      <c r="H2563" s="43"/>
      <c r="I2563" s="43"/>
      <c r="J2563" s="43"/>
      <c r="K2563" s="43"/>
      <c r="L2563" s="43"/>
      <c r="M2563" s="43"/>
      <c r="N2563" s="43"/>
      <c r="O2563" s="43"/>
      <c r="P2563" s="43"/>
      <c r="Q2563" s="43"/>
      <c r="R2563" s="43"/>
      <c r="S2563" s="43"/>
      <c r="T2563" s="43"/>
      <c r="U2563" s="43"/>
      <c r="V2563" s="43"/>
    </row>
    <row r="2564" spans="1:22" ht="15.75" customHeight="1" x14ac:dyDescent="0.2">
      <c r="A2564" s="40"/>
      <c r="B2564" s="45" t="s">
        <v>94</v>
      </c>
      <c r="C2564" s="46" t="s">
        <v>2376</v>
      </c>
      <c r="D2564" s="46" t="s">
        <v>554</v>
      </c>
      <c r="E2564" s="46" t="s">
        <v>1490</v>
      </c>
      <c r="F2564" s="46" t="s">
        <v>2380</v>
      </c>
      <c r="G2564" s="46" t="s">
        <v>2356</v>
      </c>
      <c r="H2564" s="43"/>
      <c r="I2564" s="43"/>
      <c r="J2564" s="43"/>
      <c r="K2564" s="43"/>
      <c r="L2564" s="43"/>
      <c r="M2564" s="43"/>
      <c r="N2564" s="43"/>
      <c r="O2564" s="43"/>
      <c r="P2564" s="43"/>
      <c r="Q2564" s="43"/>
      <c r="R2564" s="43"/>
      <c r="S2564" s="43"/>
      <c r="T2564" s="43"/>
      <c r="U2564" s="43"/>
      <c r="V2564" s="43"/>
    </row>
    <row r="2565" spans="1:22" ht="15.75" customHeight="1" x14ac:dyDescent="0.2">
      <c r="A2565" s="40"/>
      <c r="B2565" s="45" t="s">
        <v>126</v>
      </c>
      <c r="C2565" s="46" t="s">
        <v>2381</v>
      </c>
      <c r="D2565" s="46" t="s">
        <v>376</v>
      </c>
      <c r="E2565" s="46" t="s">
        <v>259</v>
      </c>
      <c r="F2565" s="46" t="s">
        <v>2380</v>
      </c>
      <c r="G2565" s="46" t="s">
        <v>2356</v>
      </c>
      <c r="H2565" s="43"/>
      <c r="I2565" s="43"/>
      <c r="J2565" s="43"/>
      <c r="K2565" s="43"/>
      <c r="L2565" s="43"/>
      <c r="M2565" s="43"/>
      <c r="N2565" s="43"/>
      <c r="O2565" s="43"/>
      <c r="P2565" s="43"/>
      <c r="Q2565" s="43"/>
      <c r="R2565" s="43"/>
      <c r="S2565" s="43"/>
      <c r="T2565" s="43"/>
      <c r="U2565" s="43"/>
      <c r="V2565" s="43"/>
    </row>
    <row r="2566" spans="1:22" ht="15.75" customHeight="1" x14ac:dyDescent="0.2">
      <c r="A2566" s="40"/>
      <c r="B2566" s="45" t="s">
        <v>303</v>
      </c>
      <c r="C2566" s="46" t="s">
        <v>2381</v>
      </c>
      <c r="D2566" s="46" t="s">
        <v>376</v>
      </c>
      <c r="E2566" s="46" t="s">
        <v>259</v>
      </c>
      <c r="F2566" s="46" t="s">
        <v>2380</v>
      </c>
      <c r="G2566" s="46" t="s">
        <v>2356</v>
      </c>
      <c r="H2566" s="43"/>
      <c r="I2566" s="43"/>
      <c r="J2566" s="43"/>
      <c r="K2566" s="43"/>
      <c r="L2566" s="43"/>
      <c r="M2566" s="43"/>
      <c r="N2566" s="43"/>
      <c r="O2566" s="43"/>
      <c r="P2566" s="43"/>
      <c r="Q2566" s="43"/>
      <c r="R2566" s="43"/>
      <c r="S2566" s="43"/>
      <c r="T2566" s="43"/>
      <c r="U2566" s="43"/>
      <c r="V2566" s="43"/>
    </row>
    <row r="2567" spans="1:22" ht="15.75" customHeight="1" x14ac:dyDescent="0.2">
      <c r="A2567" s="40"/>
      <c r="B2567" s="45" t="s">
        <v>94</v>
      </c>
      <c r="C2567" s="46" t="s">
        <v>2381</v>
      </c>
      <c r="D2567" s="46" t="s">
        <v>376</v>
      </c>
      <c r="E2567" s="46" t="s">
        <v>259</v>
      </c>
      <c r="F2567" s="46" t="s">
        <v>2380</v>
      </c>
      <c r="G2567" s="46" t="s">
        <v>2356</v>
      </c>
      <c r="H2567" s="43"/>
      <c r="I2567" s="43"/>
      <c r="J2567" s="43"/>
      <c r="K2567" s="43"/>
      <c r="L2567" s="43"/>
      <c r="M2567" s="43"/>
      <c r="N2567" s="43"/>
      <c r="O2567" s="43"/>
      <c r="P2567" s="43"/>
      <c r="Q2567" s="43"/>
      <c r="R2567" s="43"/>
      <c r="S2567" s="43"/>
      <c r="T2567" s="43"/>
      <c r="U2567" s="43"/>
      <c r="V2567" s="43"/>
    </row>
    <row r="2568" spans="1:22" ht="15.75" customHeight="1" x14ac:dyDescent="0.2">
      <c r="A2568" s="40"/>
      <c r="B2568" s="45" t="s">
        <v>232</v>
      </c>
      <c r="C2568" s="46" t="s">
        <v>1623</v>
      </c>
      <c r="D2568" s="46" t="s">
        <v>272</v>
      </c>
      <c r="E2568" s="46" t="s">
        <v>322</v>
      </c>
      <c r="F2568" s="46" t="s">
        <v>2380</v>
      </c>
      <c r="G2568" s="46" t="s">
        <v>2356</v>
      </c>
      <c r="H2568" s="43"/>
      <c r="I2568" s="43"/>
      <c r="J2568" s="43"/>
      <c r="K2568" s="43"/>
      <c r="L2568" s="43"/>
      <c r="M2568" s="43"/>
      <c r="N2568" s="43"/>
      <c r="O2568" s="43"/>
      <c r="P2568" s="43"/>
      <c r="Q2568" s="43"/>
      <c r="R2568" s="43"/>
      <c r="S2568" s="43"/>
      <c r="T2568" s="43"/>
      <c r="U2568" s="43"/>
      <c r="V2568" s="43"/>
    </row>
    <row r="2569" spans="1:22" ht="15.75" customHeight="1" x14ac:dyDescent="0.2">
      <c r="A2569" s="40"/>
      <c r="B2569" s="45" t="s">
        <v>108</v>
      </c>
      <c r="C2569" s="46" t="s">
        <v>1623</v>
      </c>
      <c r="D2569" s="46" t="s">
        <v>272</v>
      </c>
      <c r="E2569" s="46" t="s">
        <v>322</v>
      </c>
      <c r="F2569" s="46" t="s">
        <v>2380</v>
      </c>
      <c r="G2569" s="46" t="s">
        <v>2356</v>
      </c>
      <c r="H2569" s="43"/>
      <c r="I2569" s="43"/>
      <c r="J2569" s="43"/>
      <c r="K2569" s="43"/>
      <c r="L2569" s="43"/>
      <c r="M2569" s="43"/>
      <c r="N2569" s="43"/>
      <c r="O2569" s="43"/>
      <c r="P2569" s="43"/>
      <c r="Q2569" s="43"/>
      <c r="R2569" s="43"/>
      <c r="S2569" s="43"/>
      <c r="T2569" s="43"/>
      <c r="U2569" s="43"/>
      <c r="V2569" s="43"/>
    </row>
    <row r="2570" spans="1:22" ht="15.75" customHeight="1" x14ac:dyDescent="0.2">
      <c r="A2570" s="40"/>
      <c r="B2570" s="45" t="s">
        <v>94</v>
      </c>
      <c r="C2570" s="46" t="s">
        <v>1623</v>
      </c>
      <c r="D2570" s="46" t="s">
        <v>272</v>
      </c>
      <c r="E2570" s="46" t="s">
        <v>322</v>
      </c>
      <c r="F2570" s="46" t="s">
        <v>2380</v>
      </c>
      <c r="G2570" s="46" t="s">
        <v>2356</v>
      </c>
      <c r="H2570" s="43"/>
      <c r="I2570" s="43"/>
      <c r="J2570" s="43"/>
      <c r="K2570" s="43"/>
      <c r="L2570" s="43"/>
      <c r="M2570" s="43"/>
      <c r="N2570" s="43"/>
      <c r="O2570" s="43"/>
      <c r="P2570" s="43"/>
      <c r="Q2570" s="43"/>
      <c r="R2570" s="43"/>
      <c r="S2570" s="43"/>
      <c r="T2570" s="43"/>
      <c r="U2570" s="43"/>
      <c r="V2570" s="43"/>
    </row>
    <row r="2571" spans="1:22" ht="15.75" customHeight="1" x14ac:dyDescent="0.2">
      <c r="A2571" s="40">
        <v>521</v>
      </c>
      <c r="B2571" s="41" t="s">
        <v>509</v>
      </c>
      <c r="C2571" s="42" t="s">
        <v>537</v>
      </c>
      <c r="D2571" s="42" t="s">
        <v>850</v>
      </c>
      <c r="E2571" s="42" t="s">
        <v>105</v>
      </c>
      <c r="F2571" s="42" t="s">
        <v>2382</v>
      </c>
      <c r="G2571" s="42" t="s">
        <v>2356</v>
      </c>
      <c r="H2571" s="43"/>
      <c r="I2571" s="43"/>
      <c r="J2571" s="43"/>
      <c r="K2571" s="43"/>
      <c r="L2571" s="43"/>
      <c r="M2571" s="43"/>
      <c r="N2571" s="43"/>
      <c r="O2571" s="43"/>
      <c r="P2571" s="43"/>
      <c r="Q2571" s="43"/>
      <c r="R2571" s="43"/>
      <c r="S2571" s="43"/>
      <c r="T2571" s="43"/>
      <c r="U2571" s="43"/>
      <c r="V2571" s="43"/>
    </row>
    <row r="2572" spans="1:22" ht="15.75" customHeight="1" x14ac:dyDescent="0.2">
      <c r="A2572" s="40">
        <v>1131</v>
      </c>
      <c r="B2572" s="41" t="s">
        <v>449</v>
      </c>
      <c r="C2572" s="42" t="s">
        <v>537</v>
      </c>
      <c r="D2572" s="42" t="s">
        <v>850</v>
      </c>
      <c r="E2572" s="42" t="s">
        <v>105</v>
      </c>
      <c r="F2572" s="42" t="s">
        <v>2382</v>
      </c>
      <c r="G2572" s="42" t="s">
        <v>2356</v>
      </c>
      <c r="H2572" s="43"/>
      <c r="I2572" s="43"/>
      <c r="J2572" s="43"/>
      <c r="K2572" s="43"/>
      <c r="L2572" s="43"/>
      <c r="M2572" s="43"/>
      <c r="N2572" s="43"/>
      <c r="O2572" s="43"/>
      <c r="P2572" s="43"/>
      <c r="Q2572" s="43"/>
      <c r="R2572" s="43"/>
      <c r="S2572" s="43"/>
      <c r="T2572" s="43"/>
      <c r="U2572" s="43"/>
      <c r="V2572" s="43"/>
    </row>
    <row r="2573" spans="1:22" ht="15.75" customHeight="1" x14ac:dyDescent="0.2">
      <c r="A2573" s="40">
        <v>1839</v>
      </c>
      <c r="B2573" s="41" t="s">
        <v>439</v>
      </c>
      <c r="C2573" s="42" t="s">
        <v>537</v>
      </c>
      <c r="D2573" s="42" t="s">
        <v>850</v>
      </c>
      <c r="E2573" s="42" t="s">
        <v>105</v>
      </c>
      <c r="F2573" s="42" t="s">
        <v>2382</v>
      </c>
      <c r="G2573" s="42" t="s">
        <v>2356</v>
      </c>
      <c r="H2573" s="43"/>
      <c r="I2573" s="43"/>
      <c r="J2573" s="43"/>
      <c r="K2573" s="43"/>
      <c r="L2573" s="43"/>
      <c r="M2573" s="43"/>
      <c r="N2573" s="43"/>
      <c r="O2573" s="43"/>
      <c r="P2573" s="43"/>
      <c r="Q2573" s="43"/>
      <c r="R2573" s="43"/>
      <c r="S2573" s="43"/>
      <c r="T2573" s="43"/>
      <c r="U2573" s="43"/>
      <c r="V2573" s="43"/>
    </row>
    <row r="2574" spans="1:22" ht="15.75" customHeight="1" x14ac:dyDescent="0.2">
      <c r="A2574" s="40">
        <v>2663</v>
      </c>
      <c r="B2574" s="41" t="s">
        <v>1055</v>
      </c>
      <c r="C2574" s="42" t="s">
        <v>2383</v>
      </c>
      <c r="D2574" s="42" t="s">
        <v>2384</v>
      </c>
      <c r="E2574" s="42" t="s">
        <v>2385</v>
      </c>
      <c r="F2574" s="42" t="s">
        <v>2382</v>
      </c>
      <c r="G2574" s="42" t="s">
        <v>2356</v>
      </c>
      <c r="H2574" s="43"/>
      <c r="I2574" s="43"/>
      <c r="J2574" s="43"/>
      <c r="K2574" s="43"/>
      <c r="L2574" s="43"/>
      <c r="M2574" s="43"/>
      <c r="N2574" s="43"/>
      <c r="O2574" s="43"/>
      <c r="P2574" s="43"/>
      <c r="Q2574" s="43"/>
      <c r="R2574" s="43"/>
      <c r="S2574" s="43"/>
      <c r="T2574" s="43"/>
      <c r="U2574" s="43"/>
      <c r="V2574" s="43"/>
    </row>
    <row r="2575" spans="1:22" ht="15.75" customHeight="1" x14ac:dyDescent="0.2">
      <c r="A2575" s="40"/>
      <c r="B2575" s="45" t="s">
        <v>828</v>
      </c>
      <c r="C2575" s="46" t="s">
        <v>598</v>
      </c>
      <c r="D2575" s="46" t="s">
        <v>183</v>
      </c>
      <c r="E2575" s="46" t="s">
        <v>87</v>
      </c>
      <c r="F2575" s="46" t="s">
        <v>2386</v>
      </c>
      <c r="G2575" s="46" t="s">
        <v>2356</v>
      </c>
      <c r="H2575" s="43"/>
      <c r="I2575" s="43"/>
      <c r="J2575" s="43"/>
      <c r="K2575" s="43"/>
      <c r="L2575" s="43"/>
      <c r="M2575" s="43"/>
      <c r="N2575" s="43"/>
      <c r="O2575" s="43"/>
      <c r="P2575" s="43"/>
      <c r="Q2575" s="43"/>
      <c r="R2575" s="43"/>
      <c r="S2575" s="43"/>
      <c r="T2575" s="43"/>
      <c r="U2575" s="43"/>
      <c r="V2575" s="43"/>
    </row>
    <row r="2576" spans="1:22" ht="15.75" customHeight="1" x14ac:dyDescent="0.2">
      <c r="A2576" s="40"/>
      <c r="B2576" s="45" t="s">
        <v>523</v>
      </c>
      <c r="C2576" s="46" t="s">
        <v>2387</v>
      </c>
      <c r="D2576" s="46" t="s">
        <v>78</v>
      </c>
      <c r="E2576" s="46" t="s">
        <v>306</v>
      </c>
      <c r="F2576" s="46" t="s">
        <v>2386</v>
      </c>
      <c r="G2576" s="46" t="s">
        <v>2356</v>
      </c>
      <c r="H2576" s="43"/>
      <c r="I2576" s="43"/>
      <c r="J2576" s="43"/>
      <c r="K2576" s="43"/>
      <c r="L2576" s="43"/>
      <c r="M2576" s="43"/>
      <c r="N2576" s="43"/>
      <c r="O2576" s="43"/>
      <c r="P2576" s="43"/>
      <c r="Q2576" s="43"/>
      <c r="R2576" s="43"/>
      <c r="S2576" s="43"/>
      <c r="T2576" s="43"/>
      <c r="U2576" s="43"/>
      <c r="V2576" s="43"/>
    </row>
    <row r="2577" spans="1:22" ht="15.75" customHeight="1" x14ac:dyDescent="0.2">
      <c r="A2577" s="40"/>
      <c r="B2577" s="45" t="s">
        <v>1975</v>
      </c>
      <c r="C2577" s="46" t="s">
        <v>2388</v>
      </c>
      <c r="D2577" s="46" t="s">
        <v>491</v>
      </c>
      <c r="E2577" s="46" t="s">
        <v>40</v>
      </c>
      <c r="F2577" s="46" t="s">
        <v>2386</v>
      </c>
      <c r="G2577" s="46" t="s">
        <v>2356</v>
      </c>
      <c r="H2577" s="43"/>
      <c r="I2577" s="43"/>
      <c r="J2577" s="43"/>
      <c r="K2577" s="43"/>
      <c r="L2577" s="43"/>
      <c r="M2577" s="43"/>
      <c r="N2577" s="43"/>
      <c r="O2577" s="43"/>
      <c r="P2577" s="43"/>
      <c r="Q2577" s="43"/>
      <c r="R2577" s="43"/>
      <c r="S2577" s="43"/>
      <c r="T2577" s="43"/>
      <c r="U2577" s="43"/>
      <c r="V2577" s="43"/>
    </row>
    <row r="2578" spans="1:22" ht="15.75" customHeight="1" x14ac:dyDescent="0.2">
      <c r="A2578" s="40"/>
      <c r="B2578" s="45" t="s">
        <v>830</v>
      </c>
      <c r="C2578" s="46" t="s">
        <v>2389</v>
      </c>
      <c r="D2578" s="46" t="s">
        <v>526</v>
      </c>
      <c r="E2578" s="46" t="s">
        <v>18</v>
      </c>
      <c r="F2578" s="46" t="s">
        <v>2390</v>
      </c>
      <c r="G2578" s="46" t="s">
        <v>2356</v>
      </c>
      <c r="H2578" s="43"/>
      <c r="I2578" s="43"/>
      <c r="J2578" s="43"/>
      <c r="K2578" s="43"/>
      <c r="L2578" s="43"/>
      <c r="M2578" s="43"/>
      <c r="N2578" s="43"/>
      <c r="O2578" s="43"/>
      <c r="P2578" s="43"/>
      <c r="Q2578" s="43"/>
      <c r="R2578" s="43"/>
      <c r="S2578" s="43"/>
      <c r="T2578" s="43"/>
      <c r="U2578" s="43"/>
      <c r="V2578" s="43"/>
    </row>
    <row r="2579" spans="1:22" ht="15.75" customHeight="1" x14ac:dyDescent="0.2">
      <c r="A2579" s="40"/>
      <c r="B2579" s="45" t="s">
        <v>823</v>
      </c>
      <c r="C2579" s="46" t="s">
        <v>1264</v>
      </c>
      <c r="D2579" s="46" t="s">
        <v>78</v>
      </c>
      <c r="E2579" s="46" t="s">
        <v>546</v>
      </c>
      <c r="F2579" s="46" t="s">
        <v>2390</v>
      </c>
      <c r="G2579" s="46" t="s">
        <v>2356</v>
      </c>
      <c r="H2579" s="43"/>
      <c r="I2579" s="43"/>
      <c r="J2579" s="43"/>
      <c r="K2579" s="43"/>
      <c r="L2579" s="43"/>
      <c r="M2579" s="43"/>
      <c r="N2579" s="43"/>
      <c r="O2579" s="43"/>
      <c r="P2579" s="43"/>
      <c r="Q2579" s="43"/>
      <c r="R2579" s="43"/>
      <c r="S2579" s="43"/>
      <c r="T2579" s="43"/>
      <c r="U2579" s="43"/>
      <c r="V2579" s="43"/>
    </row>
    <row r="2580" spans="1:22" ht="15.75" customHeight="1" x14ac:dyDescent="0.2">
      <c r="A2580" s="40"/>
      <c r="B2580" s="45" t="s">
        <v>815</v>
      </c>
      <c r="C2580" s="46" t="s">
        <v>2391</v>
      </c>
      <c r="D2580" s="46" t="s">
        <v>116</v>
      </c>
      <c r="E2580" s="46" t="s">
        <v>1212</v>
      </c>
      <c r="F2580" s="46" t="s">
        <v>2390</v>
      </c>
      <c r="G2580" s="46" t="s">
        <v>2356</v>
      </c>
      <c r="H2580" s="43"/>
      <c r="I2580" s="43"/>
      <c r="J2580" s="43"/>
      <c r="K2580" s="43"/>
      <c r="L2580" s="43"/>
      <c r="M2580" s="43"/>
      <c r="N2580" s="43"/>
      <c r="O2580" s="43"/>
      <c r="P2580" s="43"/>
      <c r="Q2580" s="43"/>
      <c r="R2580" s="43"/>
      <c r="S2580" s="43"/>
      <c r="T2580" s="43"/>
      <c r="U2580" s="43"/>
      <c r="V2580" s="43"/>
    </row>
    <row r="2581" spans="1:22" ht="15.75" customHeight="1" x14ac:dyDescent="0.2">
      <c r="A2581" s="40"/>
      <c r="B2581" s="45" t="s">
        <v>815</v>
      </c>
      <c r="C2581" s="46" t="s">
        <v>1268</v>
      </c>
      <c r="D2581" s="46" t="s">
        <v>516</v>
      </c>
      <c r="E2581" s="46" t="s">
        <v>40</v>
      </c>
      <c r="F2581" s="46" t="s">
        <v>2390</v>
      </c>
      <c r="G2581" s="46" t="s">
        <v>2356</v>
      </c>
      <c r="H2581" s="43"/>
      <c r="I2581" s="43"/>
      <c r="J2581" s="43"/>
      <c r="K2581" s="43"/>
      <c r="L2581" s="43"/>
      <c r="M2581" s="43"/>
      <c r="N2581" s="43"/>
      <c r="O2581" s="43"/>
      <c r="P2581" s="43"/>
      <c r="Q2581" s="43"/>
      <c r="R2581" s="43"/>
      <c r="S2581" s="43"/>
      <c r="T2581" s="43"/>
      <c r="U2581" s="43"/>
      <c r="V2581" s="43"/>
    </row>
    <row r="2582" spans="1:22" ht="15.75" customHeight="1" x14ac:dyDescent="0.2">
      <c r="A2582" s="40"/>
      <c r="B2582" s="45" t="s">
        <v>815</v>
      </c>
      <c r="C2582" s="46" t="s">
        <v>2392</v>
      </c>
      <c r="D2582" s="46" t="s">
        <v>992</v>
      </c>
      <c r="E2582" s="46" t="s">
        <v>310</v>
      </c>
      <c r="F2582" s="46" t="s">
        <v>2390</v>
      </c>
      <c r="G2582" s="46" t="s">
        <v>2356</v>
      </c>
      <c r="H2582" s="43"/>
      <c r="I2582" s="43"/>
      <c r="J2582" s="43"/>
      <c r="K2582" s="43"/>
      <c r="L2582" s="43"/>
      <c r="M2582" s="43"/>
      <c r="N2582" s="43"/>
      <c r="O2582" s="43"/>
      <c r="P2582" s="43"/>
      <c r="Q2582" s="43"/>
      <c r="R2582" s="43"/>
      <c r="S2582" s="43"/>
      <c r="T2582" s="43"/>
      <c r="U2582" s="43"/>
      <c r="V2582" s="43"/>
    </row>
    <row r="2583" spans="1:22" ht="15.75" customHeight="1" x14ac:dyDescent="0.2">
      <c r="A2583" s="40"/>
      <c r="B2583" s="45" t="s">
        <v>736</v>
      </c>
      <c r="C2583" s="46" t="s">
        <v>1347</v>
      </c>
      <c r="D2583" s="46" t="s">
        <v>58</v>
      </c>
      <c r="E2583" s="46" t="s">
        <v>571</v>
      </c>
      <c r="F2583" s="46" t="s">
        <v>2390</v>
      </c>
      <c r="G2583" s="46" t="s">
        <v>2356</v>
      </c>
      <c r="H2583" s="43"/>
      <c r="I2583" s="43"/>
      <c r="J2583" s="43"/>
      <c r="K2583" s="43"/>
      <c r="L2583" s="43"/>
      <c r="M2583" s="43"/>
      <c r="N2583" s="43"/>
      <c r="O2583" s="43"/>
      <c r="P2583" s="43"/>
      <c r="Q2583" s="43"/>
      <c r="R2583" s="43"/>
      <c r="S2583" s="43"/>
      <c r="T2583" s="43"/>
      <c r="U2583" s="43"/>
      <c r="V2583" s="43"/>
    </row>
    <row r="2584" spans="1:22" ht="15.75" customHeight="1" x14ac:dyDescent="0.2">
      <c r="A2584" s="40"/>
      <c r="B2584" s="45" t="s">
        <v>818</v>
      </c>
      <c r="C2584" s="46" t="s">
        <v>2393</v>
      </c>
      <c r="D2584" s="46" t="s">
        <v>656</v>
      </c>
      <c r="E2584" s="46" t="s">
        <v>2394</v>
      </c>
      <c r="F2584" s="46" t="s">
        <v>2395</v>
      </c>
      <c r="G2584" s="46" t="s">
        <v>2356</v>
      </c>
      <c r="H2584" s="43"/>
      <c r="I2584" s="43"/>
      <c r="J2584" s="43"/>
      <c r="K2584" s="43"/>
      <c r="L2584" s="43"/>
      <c r="M2584" s="43"/>
      <c r="N2584" s="43"/>
      <c r="O2584" s="43"/>
      <c r="P2584" s="43"/>
      <c r="Q2584" s="43"/>
      <c r="R2584" s="43"/>
      <c r="S2584" s="43"/>
      <c r="T2584" s="43"/>
      <c r="U2584" s="43"/>
      <c r="V2584" s="43"/>
    </row>
    <row r="2585" spans="1:22" ht="15.75" customHeight="1" x14ac:dyDescent="0.2">
      <c r="A2585" s="40"/>
      <c r="B2585" s="45" t="s">
        <v>828</v>
      </c>
      <c r="C2585" s="46" t="s">
        <v>2396</v>
      </c>
      <c r="D2585" s="46" t="s">
        <v>593</v>
      </c>
      <c r="E2585" s="46" t="s">
        <v>134</v>
      </c>
      <c r="F2585" s="46" t="s">
        <v>2395</v>
      </c>
      <c r="G2585" s="46" t="s">
        <v>2356</v>
      </c>
      <c r="H2585" s="43"/>
      <c r="I2585" s="43"/>
      <c r="J2585" s="43"/>
      <c r="K2585" s="43"/>
      <c r="L2585" s="43"/>
      <c r="M2585" s="43"/>
      <c r="N2585" s="43"/>
      <c r="O2585" s="43"/>
      <c r="P2585" s="43"/>
      <c r="Q2585" s="43"/>
      <c r="R2585" s="43"/>
      <c r="S2585" s="43"/>
      <c r="T2585" s="43"/>
      <c r="U2585" s="43"/>
      <c r="V2585" s="43"/>
    </row>
    <row r="2586" spans="1:22" ht="15.75" customHeight="1" x14ac:dyDescent="0.2">
      <c r="A2586" s="40"/>
      <c r="B2586" s="45" t="s">
        <v>830</v>
      </c>
      <c r="C2586" s="46" t="s">
        <v>2397</v>
      </c>
      <c r="D2586" s="46" t="s">
        <v>183</v>
      </c>
      <c r="E2586" s="46" t="s">
        <v>630</v>
      </c>
      <c r="F2586" s="46" t="s">
        <v>2395</v>
      </c>
      <c r="G2586" s="46" t="s">
        <v>2356</v>
      </c>
      <c r="H2586" s="43"/>
      <c r="I2586" s="43"/>
      <c r="J2586" s="43"/>
      <c r="K2586" s="43"/>
      <c r="L2586" s="43"/>
      <c r="M2586" s="43"/>
      <c r="N2586" s="43"/>
      <c r="O2586" s="43"/>
      <c r="P2586" s="43"/>
      <c r="Q2586" s="43"/>
      <c r="R2586" s="43"/>
      <c r="S2586" s="43"/>
      <c r="T2586" s="43"/>
      <c r="U2586" s="43"/>
      <c r="V2586" s="43"/>
    </row>
    <row r="2587" spans="1:22" ht="15.75" customHeight="1" x14ac:dyDescent="0.2">
      <c r="A2587" s="40"/>
      <c r="B2587" s="45" t="s">
        <v>818</v>
      </c>
      <c r="C2587" s="46" t="s">
        <v>2398</v>
      </c>
      <c r="D2587" s="46" t="s">
        <v>554</v>
      </c>
      <c r="E2587" s="46" t="s">
        <v>424</v>
      </c>
      <c r="F2587" s="46" t="s">
        <v>2395</v>
      </c>
      <c r="G2587" s="46" t="s">
        <v>2356</v>
      </c>
      <c r="H2587" s="43"/>
      <c r="I2587" s="43"/>
      <c r="J2587" s="43"/>
      <c r="K2587" s="43"/>
      <c r="L2587" s="43"/>
      <c r="M2587" s="43"/>
      <c r="N2587" s="43"/>
      <c r="O2587" s="43"/>
      <c r="P2587" s="43"/>
      <c r="Q2587" s="43"/>
      <c r="R2587" s="43"/>
      <c r="S2587" s="43"/>
      <c r="T2587" s="43"/>
      <c r="U2587" s="43"/>
      <c r="V2587" s="43"/>
    </row>
    <row r="2588" spans="1:22" ht="15.75" customHeight="1" x14ac:dyDescent="0.2">
      <c r="A2588" s="40">
        <v>1697</v>
      </c>
      <c r="B2588" s="41" t="s">
        <v>270</v>
      </c>
      <c r="C2588" s="42" t="s">
        <v>1679</v>
      </c>
      <c r="D2588" s="42" t="s">
        <v>989</v>
      </c>
      <c r="E2588" s="42" t="s">
        <v>32</v>
      </c>
      <c r="F2588" s="42" t="s">
        <v>2399</v>
      </c>
      <c r="G2588" s="42" t="s">
        <v>2356</v>
      </c>
      <c r="H2588" s="43"/>
      <c r="I2588" s="43"/>
      <c r="J2588" s="43"/>
      <c r="K2588" s="43"/>
      <c r="L2588" s="43"/>
      <c r="M2588" s="43"/>
      <c r="N2588" s="43"/>
      <c r="O2588" s="43"/>
      <c r="P2588" s="43"/>
      <c r="Q2588" s="43"/>
      <c r="R2588" s="43"/>
      <c r="S2588" s="43"/>
      <c r="T2588" s="43"/>
      <c r="U2588" s="43"/>
      <c r="V2588" s="43"/>
    </row>
    <row r="2589" spans="1:22" ht="15.75" customHeight="1" x14ac:dyDescent="0.2">
      <c r="A2589" s="40">
        <v>2225</v>
      </c>
      <c r="B2589" s="41" t="s">
        <v>282</v>
      </c>
      <c r="C2589" s="42" t="s">
        <v>1679</v>
      </c>
      <c r="D2589" s="42" t="s">
        <v>989</v>
      </c>
      <c r="E2589" s="42" t="s">
        <v>32</v>
      </c>
      <c r="F2589" s="42" t="s">
        <v>2399</v>
      </c>
      <c r="G2589" s="42" t="s">
        <v>2356</v>
      </c>
      <c r="H2589" s="43"/>
      <c r="I2589" s="43"/>
      <c r="J2589" s="43"/>
      <c r="K2589" s="43"/>
      <c r="L2589" s="43"/>
      <c r="M2589" s="43"/>
      <c r="N2589" s="43"/>
      <c r="O2589" s="43"/>
      <c r="P2589" s="43"/>
      <c r="Q2589" s="43"/>
      <c r="R2589" s="43"/>
      <c r="S2589" s="43"/>
      <c r="T2589" s="43"/>
      <c r="U2589" s="43"/>
      <c r="V2589" s="43"/>
    </row>
    <row r="2590" spans="1:22" ht="15.75" customHeight="1" x14ac:dyDescent="0.2">
      <c r="A2590" s="48">
        <v>3015</v>
      </c>
      <c r="B2590" s="49" t="s">
        <v>290</v>
      </c>
      <c r="C2590" s="50" t="s">
        <v>1679</v>
      </c>
      <c r="D2590" s="50" t="s">
        <v>989</v>
      </c>
      <c r="E2590" s="50" t="s">
        <v>32</v>
      </c>
      <c r="F2590" s="42" t="s">
        <v>2399</v>
      </c>
      <c r="G2590" s="42" t="s">
        <v>2356</v>
      </c>
      <c r="H2590" s="43"/>
      <c r="I2590" s="43"/>
      <c r="J2590" s="43"/>
      <c r="K2590" s="43"/>
      <c r="L2590" s="43"/>
      <c r="M2590" s="43"/>
      <c r="N2590" s="43"/>
      <c r="O2590" s="43"/>
      <c r="P2590" s="43"/>
      <c r="Q2590" s="43"/>
      <c r="R2590" s="43"/>
      <c r="S2590" s="43"/>
      <c r="T2590" s="43"/>
      <c r="U2590" s="43"/>
      <c r="V2590" s="43"/>
    </row>
    <row r="2591" spans="1:22" ht="15.75" customHeight="1" x14ac:dyDescent="0.2">
      <c r="A2591" s="40"/>
      <c r="B2591" s="45" t="s">
        <v>315</v>
      </c>
      <c r="C2591" s="46" t="s">
        <v>2400</v>
      </c>
      <c r="D2591" s="46" t="s">
        <v>325</v>
      </c>
      <c r="E2591" s="46" t="s">
        <v>393</v>
      </c>
      <c r="F2591" s="46" t="s">
        <v>2399</v>
      </c>
      <c r="G2591" s="46" t="s">
        <v>2356</v>
      </c>
      <c r="H2591" s="43"/>
      <c r="I2591" s="43"/>
      <c r="J2591" s="43"/>
      <c r="K2591" s="43"/>
      <c r="L2591" s="43"/>
      <c r="M2591" s="43"/>
      <c r="N2591" s="43"/>
      <c r="O2591" s="43"/>
      <c r="P2591" s="43"/>
      <c r="Q2591" s="43"/>
      <c r="R2591" s="43"/>
      <c r="S2591" s="43"/>
      <c r="T2591" s="43"/>
      <c r="U2591" s="43"/>
      <c r="V2591" s="43"/>
    </row>
    <row r="2592" spans="1:22" ht="15.75" customHeight="1" x14ac:dyDescent="0.2">
      <c r="A2592" s="40"/>
      <c r="B2592" s="45" t="s">
        <v>108</v>
      </c>
      <c r="C2592" s="46" t="s">
        <v>2400</v>
      </c>
      <c r="D2592" s="46" t="s">
        <v>325</v>
      </c>
      <c r="E2592" s="46" t="s">
        <v>393</v>
      </c>
      <c r="F2592" s="46" t="s">
        <v>2399</v>
      </c>
      <c r="G2592" s="46" t="s">
        <v>2356</v>
      </c>
      <c r="H2592" s="43"/>
      <c r="I2592" s="43"/>
      <c r="J2592" s="43"/>
      <c r="K2592" s="43"/>
      <c r="L2592" s="43"/>
      <c r="M2592" s="43"/>
      <c r="N2592" s="43"/>
      <c r="O2592" s="43"/>
      <c r="P2592" s="43"/>
      <c r="Q2592" s="43"/>
      <c r="R2592" s="43"/>
      <c r="S2592" s="43"/>
      <c r="T2592" s="43"/>
      <c r="U2592" s="43"/>
      <c r="V2592" s="43"/>
    </row>
    <row r="2593" spans="1:22" ht="15.75" customHeight="1" x14ac:dyDescent="0.2">
      <c r="A2593" s="40"/>
      <c r="B2593" s="45" t="s">
        <v>108</v>
      </c>
      <c r="C2593" s="46" t="s">
        <v>2401</v>
      </c>
      <c r="D2593" s="46" t="s">
        <v>557</v>
      </c>
      <c r="E2593" s="46" t="s">
        <v>567</v>
      </c>
      <c r="F2593" s="46" t="s">
        <v>2399</v>
      </c>
      <c r="G2593" s="46" t="s">
        <v>2356</v>
      </c>
      <c r="H2593" s="43"/>
      <c r="I2593" s="43"/>
      <c r="J2593" s="43"/>
      <c r="K2593" s="43"/>
      <c r="L2593" s="43"/>
      <c r="M2593" s="43"/>
      <c r="N2593" s="43"/>
      <c r="O2593" s="43"/>
      <c r="P2593" s="43"/>
      <c r="Q2593" s="43"/>
      <c r="R2593" s="43"/>
      <c r="S2593" s="43"/>
      <c r="T2593" s="43"/>
      <c r="U2593" s="43"/>
      <c r="V2593" s="43"/>
    </row>
    <row r="2594" spans="1:22" ht="15.75" customHeight="1" x14ac:dyDescent="0.2">
      <c r="A2594" s="40"/>
      <c r="B2594" s="45" t="s">
        <v>108</v>
      </c>
      <c r="C2594" s="46" t="s">
        <v>2401</v>
      </c>
      <c r="D2594" s="46" t="s">
        <v>557</v>
      </c>
      <c r="E2594" s="46" t="s">
        <v>567</v>
      </c>
      <c r="F2594" s="46" t="s">
        <v>2399</v>
      </c>
      <c r="G2594" s="46" t="s">
        <v>2356</v>
      </c>
      <c r="H2594" s="43"/>
      <c r="I2594" s="43"/>
      <c r="J2594" s="43"/>
      <c r="K2594" s="43"/>
      <c r="L2594" s="43"/>
      <c r="M2594" s="43"/>
      <c r="N2594" s="43"/>
      <c r="O2594" s="43"/>
      <c r="P2594" s="43"/>
      <c r="Q2594" s="43"/>
      <c r="R2594" s="43"/>
      <c r="S2594" s="43"/>
      <c r="T2594" s="43"/>
      <c r="U2594" s="43"/>
      <c r="V2594" s="43"/>
    </row>
    <row r="2595" spans="1:22" ht="15.75" customHeight="1" x14ac:dyDescent="0.2">
      <c r="A2595" s="40">
        <v>2429</v>
      </c>
      <c r="B2595" s="41" t="s">
        <v>201</v>
      </c>
      <c r="C2595" s="42" t="s">
        <v>2402</v>
      </c>
      <c r="D2595" s="42" t="s">
        <v>309</v>
      </c>
      <c r="E2595" s="42" t="s">
        <v>273</v>
      </c>
      <c r="F2595" s="42" t="s">
        <v>2403</v>
      </c>
      <c r="G2595" s="42" t="s">
        <v>2356</v>
      </c>
      <c r="H2595" s="43"/>
      <c r="I2595" s="43"/>
      <c r="J2595" s="43"/>
      <c r="K2595" s="43"/>
      <c r="L2595" s="43"/>
      <c r="M2595" s="43"/>
      <c r="N2595" s="43"/>
      <c r="O2595" s="43"/>
      <c r="P2595" s="43"/>
      <c r="Q2595" s="43"/>
      <c r="R2595" s="43"/>
      <c r="S2595" s="43"/>
      <c r="T2595" s="43"/>
      <c r="U2595" s="43"/>
      <c r="V2595" s="43"/>
    </row>
    <row r="2596" spans="1:22" ht="15.75" customHeight="1" x14ac:dyDescent="0.2">
      <c r="A2596" s="40"/>
      <c r="B2596" s="45" t="s">
        <v>336</v>
      </c>
      <c r="C2596" s="46" t="s">
        <v>2404</v>
      </c>
      <c r="D2596" s="46" t="s">
        <v>2405</v>
      </c>
      <c r="E2596" s="46" t="s">
        <v>2406</v>
      </c>
      <c r="F2596" s="46" t="s">
        <v>2403</v>
      </c>
      <c r="G2596" s="46" t="s">
        <v>2356</v>
      </c>
      <c r="H2596" s="43"/>
      <c r="I2596" s="43"/>
      <c r="J2596" s="43"/>
      <c r="K2596" s="43"/>
      <c r="L2596" s="43"/>
      <c r="M2596" s="43"/>
      <c r="N2596" s="43"/>
      <c r="O2596" s="43"/>
      <c r="P2596" s="43"/>
      <c r="Q2596" s="43"/>
      <c r="R2596" s="43"/>
      <c r="S2596" s="43"/>
      <c r="T2596" s="43"/>
      <c r="U2596" s="43"/>
      <c r="V2596" s="43"/>
    </row>
    <row r="2597" spans="1:22" ht="15.75" customHeight="1" x14ac:dyDescent="0.2">
      <c r="A2597" s="40"/>
      <c r="B2597" s="45" t="s">
        <v>336</v>
      </c>
      <c r="C2597" s="46" t="s">
        <v>2407</v>
      </c>
      <c r="D2597" s="46" t="s">
        <v>898</v>
      </c>
      <c r="E2597" s="46" t="s">
        <v>650</v>
      </c>
      <c r="F2597" s="46" t="s">
        <v>2403</v>
      </c>
      <c r="G2597" s="46" t="s">
        <v>2356</v>
      </c>
      <c r="H2597" s="43"/>
      <c r="I2597" s="43"/>
      <c r="J2597" s="43"/>
      <c r="K2597" s="43"/>
      <c r="L2597" s="43"/>
      <c r="M2597" s="43"/>
      <c r="N2597" s="43"/>
      <c r="O2597" s="43"/>
      <c r="P2597" s="43"/>
      <c r="Q2597" s="43"/>
      <c r="R2597" s="43"/>
      <c r="S2597" s="43"/>
      <c r="T2597" s="43"/>
      <c r="U2597" s="43"/>
      <c r="V2597" s="43"/>
    </row>
    <row r="2598" spans="1:22" ht="15.75" customHeight="1" x14ac:dyDescent="0.2">
      <c r="A2598" s="40"/>
      <c r="B2598" s="45" t="s">
        <v>41</v>
      </c>
      <c r="C2598" s="46" t="s">
        <v>1557</v>
      </c>
      <c r="D2598" s="46" t="s">
        <v>111</v>
      </c>
      <c r="E2598" s="46" t="s">
        <v>1090</v>
      </c>
      <c r="F2598" s="46" t="s">
        <v>2403</v>
      </c>
      <c r="G2598" s="46" t="s">
        <v>2356</v>
      </c>
      <c r="H2598" s="43"/>
      <c r="I2598" s="43"/>
      <c r="J2598" s="43"/>
      <c r="K2598" s="43"/>
      <c r="L2598" s="43"/>
      <c r="M2598" s="43"/>
      <c r="N2598" s="43"/>
      <c r="O2598" s="43"/>
      <c r="P2598" s="43"/>
      <c r="Q2598" s="43"/>
      <c r="R2598" s="43"/>
      <c r="S2598" s="43"/>
      <c r="T2598" s="43"/>
      <c r="U2598" s="43"/>
      <c r="V2598" s="43"/>
    </row>
    <row r="2599" spans="1:22" ht="15.75" customHeight="1" x14ac:dyDescent="0.2">
      <c r="A2599" s="40"/>
      <c r="B2599" s="45" t="s">
        <v>80</v>
      </c>
      <c r="C2599" s="46" t="s">
        <v>640</v>
      </c>
      <c r="D2599" s="46" t="s">
        <v>516</v>
      </c>
      <c r="E2599" s="46" t="s">
        <v>650</v>
      </c>
      <c r="F2599" s="46" t="s">
        <v>2403</v>
      </c>
      <c r="G2599" s="46" t="s">
        <v>2356</v>
      </c>
      <c r="H2599" s="43"/>
      <c r="I2599" s="43"/>
      <c r="J2599" s="43"/>
      <c r="K2599" s="43"/>
      <c r="L2599" s="43"/>
      <c r="M2599" s="43"/>
      <c r="N2599" s="43"/>
      <c r="O2599" s="43"/>
      <c r="P2599" s="43"/>
      <c r="Q2599" s="43"/>
      <c r="R2599" s="43"/>
      <c r="S2599" s="43"/>
      <c r="T2599" s="43"/>
      <c r="U2599" s="43"/>
      <c r="V2599" s="43"/>
    </row>
    <row r="2600" spans="1:22" ht="15.75" customHeight="1" x14ac:dyDescent="0.2">
      <c r="A2600" s="40"/>
      <c r="B2600" s="45" t="s">
        <v>80</v>
      </c>
      <c r="C2600" s="46" t="s">
        <v>625</v>
      </c>
      <c r="D2600" s="46" t="s">
        <v>474</v>
      </c>
      <c r="E2600" s="46" t="s">
        <v>319</v>
      </c>
      <c r="F2600" s="46" t="s">
        <v>2403</v>
      </c>
      <c r="G2600" s="46" t="s">
        <v>2356</v>
      </c>
      <c r="H2600" s="43"/>
      <c r="I2600" s="43"/>
      <c r="J2600" s="43"/>
      <c r="K2600" s="43"/>
      <c r="L2600" s="43"/>
      <c r="M2600" s="43"/>
      <c r="N2600" s="43"/>
      <c r="O2600" s="43"/>
      <c r="P2600" s="43"/>
      <c r="Q2600" s="43"/>
      <c r="R2600" s="43"/>
      <c r="S2600" s="43"/>
      <c r="T2600" s="43"/>
      <c r="U2600" s="43"/>
      <c r="V2600" s="43"/>
    </row>
    <row r="2601" spans="1:22" ht="15.75" customHeight="1" x14ac:dyDescent="0.2">
      <c r="A2601" s="40"/>
      <c r="B2601" s="45" t="s">
        <v>46</v>
      </c>
      <c r="C2601" s="46" t="s">
        <v>2408</v>
      </c>
      <c r="D2601" s="46" t="s">
        <v>39</v>
      </c>
      <c r="E2601" s="46" t="s">
        <v>87</v>
      </c>
      <c r="F2601" s="46" t="s">
        <v>2403</v>
      </c>
      <c r="G2601" s="46" t="s">
        <v>2356</v>
      </c>
      <c r="H2601" s="43"/>
      <c r="I2601" s="43"/>
      <c r="J2601" s="43"/>
      <c r="K2601" s="43"/>
      <c r="L2601" s="43"/>
      <c r="M2601" s="43"/>
      <c r="N2601" s="43"/>
      <c r="O2601" s="43"/>
      <c r="P2601" s="43"/>
      <c r="Q2601" s="43"/>
      <c r="R2601" s="43"/>
      <c r="S2601" s="43"/>
      <c r="T2601" s="43"/>
      <c r="U2601" s="43"/>
      <c r="V2601" s="43"/>
    </row>
    <row r="2602" spans="1:22" ht="15.75" customHeight="1" x14ac:dyDescent="0.2">
      <c r="A2602" s="40"/>
      <c r="B2602" s="45" t="s">
        <v>336</v>
      </c>
      <c r="C2602" s="46" t="s">
        <v>2409</v>
      </c>
      <c r="D2602" s="46" t="s">
        <v>309</v>
      </c>
      <c r="E2602" s="46" t="s">
        <v>1212</v>
      </c>
      <c r="F2602" s="46" t="s">
        <v>2403</v>
      </c>
      <c r="G2602" s="46" t="s">
        <v>2356</v>
      </c>
      <c r="H2602" s="43"/>
      <c r="I2602" s="43"/>
      <c r="J2602" s="43"/>
      <c r="K2602" s="43"/>
      <c r="L2602" s="43"/>
      <c r="M2602" s="43"/>
      <c r="N2602" s="43"/>
      <c r="O2602" s="43"/>
      <c r="P2602" s="43"/>
      <c r="Q2602" s="43"/>
      <c r="R2602" s="43"/>
      <c r="S2602" s="43"/>
      <c r="T2602" s="43"/>
      <c r="U2602" s="43"/>
      <c r="V2602" s="43"/>
    </row>
    <row r="2603" spans="1:22" ht="15.75" customHeight="1" x14ac:dyDescent="0.2">
      <c r="A2603" s="40"/>
      <c r="B2603" s="45" t="s">
        <v>336</v>
      </c>
      <c r="C2603" s="46" t="s">
        <v>2410</v>
      </c>
      <c r="D2603" s="46" t="s">
        <v>647</v>
      </c>
      <c r="E2603" s="46" t="s">
        <v>690</v>
      </c>
      <c r="F2603" s="46" t="s">
        <v>2403</v>
      </c>
      <c r="G2603" s="46" t="s">
        <v>2356</v>
      </c>
      <c r="H2603" s="43"/>
      <c r="I2603" s="43"/>
      <c r="J2603" s="43"/>
      <c r="K2603" s="43"/>
      <c r="L2603" s="43"/>
      <c r="M2603" s="43"/>
      <c r="N2603" s="43"/>
      <c r="O2603" s="43"/>
      <c r="P2603" s="43"/>
      <c r="Q2603" s="43"/>
      <c r="R2603" s="43"/>
      <c r="S2603" s="43"/>
      <c r="T2603" s="43"/>
      <c r="U2603" s="43"/>
      <c r="V2603" s="43"/>
    </row>
    <row r="2604" spans="1:22" ht="15.75" customHeight="1" x14ac:dyDescent="0.2">
      <c r="A2604" s="40"/>
      <c r="B2604" s="45" t="s">
        <v>80</v>
      </c>
      <c r="C2604" s="46" t="s">
        <v>2411</v>
      </c>
      <c r="D2604" s="46" t="s">
        <v>58</v>
      </c>
      <c r="E2604" s="46" t="s">
        <v>32</v>
      </c>
      <c r="F2604" s="46" t="s">
        <v>2403</v>
      </c>
      <c r="G2604" s="46" t="s">
        <v>2356</v>
      </c>
      <c r="H2604" s="43"/>
      <c r="I2604" s="43"/>
      <c r="J2604" s="43"/>
      <c r="K2604" s="43"/>
      <c r="L2604" s="43"/>
      <c r="M2604" s="43"/>
      <c r="N2604" s="43"/>
      <c r="O2604" s="43"/>
      <c r="P2604" s="43"/>
      <c r="Q2604" s="43"/>
      <c r="R2604" s="43"/>
      <c r="S2604" s="43"/>
      <c r="T2604" s="43"/>
      <c r="U2604" s="43"/>
      <c r="V2604" s="43"/>
    </row>
    <row r="2605" spans="1:22" ht="15.75" customHeight="1" x14ac:dyDescent="0.2">
      <c r="A2605" s="40">
        <v>307</v>
      </c>
      <c r="B2605" s="41" t="s">
        <v>1208</v>
      </c>
      <c r="C2605" s="42" t="s">
        <v>241</v>
      </c>
      <c r="D2605" s="42" t="s">
        <v>516</v>
      </c>
      <c r="E2605" s="42" t="s">
        <v>650</v>
      </c>
      <c r="F2605" s="42" t="s">
        <v>2413</v>
      </c>
      <c r="G2605" s="42" t="s">
        <v>2356</v>
      </c>
      <c r="H2605" s="43"/>
      <c r="I2605" s="43"/>
      <c r="J2605" s="43"/>
      <c r="K2605" s="43"/>
      <c r="L2605" s="43"/>
      <c r="M2605" s="43"/>
      <c r="N2605" s="43"/>
      <c r="O2605" s="43"/>
      <c r="P2605" s="43"/>
      <c r="Q2605" s="43"/>
      <c r="R2605" s="43"/>
      <c r="S2605" s="43"/>
      <c r="T2605" s="43"/>
      <c r="U2605" s="43"/>
      <c r="V2605" s="43"/>
    </row>
    <row r="2606" spans="1:22" ht="15.75" customHeight="1" x14ac:dyDescent="0.2">
      <c r="A2606" s="40">
        <v>309</v>
      </c>
      <c r="B2606" s="41" t="s">
        <v>1208</v>
      </c>
      <c r="C2606" s="42" t="s">
        <v>2414</v>
      </c>
      <c r="D2606" s="42" t="s">
        <v>120</v>
      </c>
      <c r="E2606" s="42" t="s">
        <v>237</v>
      </c>
      <c r="F2606" s="42" t="s">
        <v>2413</v>
      </c>
      <c r="G2606" s="42" t="s">
        <v>2356</v>
      </c>
      <c r="H2606" s="43"/>
      <c r="I2606" s="43"/>
      <c r="J2606" s="43"/>
      <c r="K2606" s="43"/>
      <c r="L2606" s="43"/>
      <c r="M2606" s="43"/>
      <c r="N2606" s="43"/>
      <c r="O2606" s="43"/>
      <c r="P2606" s="43"/>
      <c r="Q2606" s="43"/>
      <c r="R2606" s="43"/>
      <c r="S2606" s="43"/>
      <c r="T2606" s="43"/>
      <c r="U2606" s="43"/>
      <c r="V2606" s="43"/>
    </row>
    <row r="2607" spans="1:22" ht="15.75" customHeight="1" x14ac:dyDescent="0.2">
      <c r="A2607" s="40">
        <v>311</v>
      </c>
      <c r="B2607" s="41" t="s">
        <v>1208</v>
      </c>
      <c r="C2607" s="42" t="s">
        <v>2415</v>
      </c>
      <c r="D2607" s="42" t="s">
        <v>120</v>
      </c>
      <c r="E2607" s="42" t="s">
        <v>22</v>
      </c>
      <c r="F2607" s="42" t="s">
        <v>2413</v>
      </c>
      <c r="G2607" s="42" t="s">
        <v>2356</v>
      </c>
      <c r="H2607" s="43"/>
      <c r="I2607" s="43"/>
      <c r="J2607" s="43"/>
      <c r="K2607" s="43"/>
      <c r="L2607" s="43"/>
      <c r="M2607" s="43"/>
      <c r="N2607" s="43"/>
      <c r="O2607" s="43"/>
      <c r="P2607" s="43"/>
      <c r="Q2607" s="43"/>
      <c r="R2607" s="43"/>
      <c r="S2607" s="43"/>
      <c r="T2607" s="43"/>
      <c r="U2607" s="43"/>
      <c r="V2607" s="43"/>
    </row>
    <row r="2608" spans="1:22" ht="15.75" customHeight="1" x14ac:dyDescent="0.2">
      <c r="A2608" s="40">
        <v>315</v>
      </c>
      <c r="B2608" s="41" t="s">
        <v>1208</v>
      </c>
      <c r="C2608" s="42" t="s">
        <v>2416</v>
      </c>
      <c r="D2608" s="42" t="s">
        <v>309</v>
      </c>
      <c r="E2608" s="42" t="s">
        <v>32</v>
      </c>
      <c r="F2608" s="42" t="s">
        <v>2413</v>
      </c>
      <c r="G2608" s="42" t="s">
        <v>2356</v>
      </c>
      <c r="H2608" s="43"/>
      <c r="I2608" s="43"/>
      <c r="J2608" s="43"/>
      <c r="K2608" s="43"/>
      <c r="L2608" s="43"/>
      <c r="M2608" s="43"/>
      <c r="N2608" s="43"/>
      <c r="O2608" s="43"/>
      <c r="P2608" s="43"/>
      <c r="Q2608" s="43"/>
      <c r="R2608" s="43"/>
      <c r="S2608" s="43"/>
      <c r="T2608" s="43"/>
      <c r="U2608" s="43"/>
      <c r="V2608" s="43"/>
    </row>
    <row r="2609" spans="1:22" ht="15.75" customHeight="1" x14ac:dyDescent="0.2">
      <c r="A2609" s="40">
        <v>397</v>
      </c>
      <c r="B2609" s="41" t="s">
        <v>1883</v>
      </c>
      <c r="C2609" s="42" t="s">
        <v>2417</v>
      </c>
      <c r="D2609" s="42" t="s">
        <v>593</v>
      </c>
      <c r="E2609" s="42" t="s">
        <v>2418</v>
      </c>
      <c r="F2609" s="42" t="s">
        <v>2413</v>
      </c>
      <c r="G2609" s="42" t="s">
        <v>2356</v>
      </c>
      <c r="H2609" s="43"/>
      <c r="I2609" s="43"/>
      <c r="J2609" s="43"/>
      <c r="K2609" s="43"/>
      <c r="L2609" s="43"/>
      <c r="M2609" s="43"/>
      <c r="N2609" s="43"/>
      <c r="O2609" s="43"/>
      <c r="P2609" s="43"/>
      <c r="Q2609" s="43"/>
      <c r="R2609" s="43"/>
      <c r="S2609" s="43"/>
      <c r="T2609" s="43"/>
      <c r="U2609" s="43"/>
      <c r="V2609" s="43"/>
    </row>
    <row r="2610" spans="1:22" ht="15.75" customHeight="1" x14ac:dyDescent="0.2">
      <c r="A2610" s="40"/>
      <c r="B2610" s="45" t="s">
        <v>815</v>
      </c>
      <c r="C2610" s="46" t="s">
        <v>2417</v>
      </c>
      <c r="D2610" s="46" t="s">
        <v>593</v>
      </c>
      <c r="E2610" s="46" t="s">
        <v>2418</v>
      </c>
      <c r="F2610" s="46" t="s">
        <v>2413</v>
      </c>
      <c r="G2610" s="46" t="s">
        <v>2356</v>
      </c>
      <c r="H2610" s="43"/>
      <c r="I2610" s="43"/>
      <c r="J2610" s="43"/>
      <c r="K2610" s="43"/>
      <c r="L2610" s="43"/>
      <c r="M2610" s="43"/>
      <c r="N2610" s="43"/>
      <c r="O2610" s="43"/>
      <c r="P2610" s="43"/>
      <c r="Q2610" s="43"/>
      <c r="R2610" s="43"/>
      <c r="S2610" s="43"/>
      <c r="T2610" s="43"/>
      <c r="U2610" s="43"/>
      <c r="V2610" s="43"/>
    </row>
    <row r="2611" spans="1:22" ht="15.75" customHeight="1" x14ac:dyDescent="0.2">
      <c r="A2611" s="40"/>
      <c r="B2611" s="45" t="s">
        <v>807</v>
      </c>
      <c r="C2611" s="46" t="s">
        <v>2412</v>
      </c>
      <c r="D2611" s="46" t="s">
        <v>1385</v>
      </c>
      <c r="E2611" s="46" t="s">
        <v>630</v>
      </c>
      <c r="F2611" s="46" t="s">
        <v>2413</v>
      </c>
      <c r="G2611" s="46" t="s">
        <v>2356</v>
      </c>
      <c r="H2611" s="43"/>
      <c r="I2611" s="43"/>
      <c r="J2611" s="43"/>
      <c r="K2611" s="43"/>
      <c r="L2611" s="43"/>
      <c r="M2611" s="43"/>
      <c r="N2611" s="43"/>
      <c r="O2611" s="43"/>
      <c r="P2611" s="43"/>
      <c r="Q2611" s="43"/>
      <c r="R2611" s="43"/>
      <c r="S2611" s="43"/>
      <c r="T2611" s="43"/>
      <c r="U2611" s="43"/>
      <c r="V2611" s="43"/>
    </row>
    <row r="2612" spans="1:22" ht="15.75" customHeight="1" x14ac:dyDescent="0.2">
      <c r="A2612" s="40"/>
      <c r="B2612" s="45" t="s">
        <v>828</v>
      </c>
      <c r="C2612" s="46" t="s">
        <v>2419</v>
      </c>
      <c r="D2612" s="46" t="s">
        <v>647</v>
      </c>
      <c r="E2612" s="46" t="s">
        <v>259</v>
      </c>
      <c r="F2612" s="46" t="s">
        <v>2413</v>
      </c>
      <c r="G2612" s="46" t="s">
        <v>2356</v>
      </c>
      <c r="H2612" s="43"/>
      <c r="I2612" s="43"/>
      <c r="J2612" s="43"/>
      <c r="K2612" s="43"/>
      <c r="L2612" s="43"/>
      <c r="M2612" s="43"/>
      <c r="N2612" s="43"/>
      <c r="O2612" s="43"/>
      <c r="P2612" s="43"/>
      <c r="Q2612" s="43"/>
      <c r="R2612" s="43"/>
      <c r="S2612" s="43"/>
      <c r="T2612" s="43"/>
      <c r="U2612" s="43"/>
      <c r="V2612" s="43"/>
    </row>
    <row r="2613" spans="1:22" ht="15.75" customHeight="1" x14ac:dyDescent="0.2">
      <c r="A2613" s="40"/>
      <c r="B2613" s="45" t="s">
        <v>815</v>
      </c>
      <c r="C2613" s="46" t="s">
        <v>2420</v>
      </c>
      <c r="D2613" s="46" t="s">
        <v>1748</v>
      </c>
      <c r="E2613" s="46" t="s">
        <v>1749</v>
      </c>
      <c r="F2613" s="46" t="s">
        <v>2413</v>
      </c>
      <c r="G2613" s="46" t="s">
        <v>2356</v>
      </c>
      <c r="H2613" s="43"/>
      <c r="I2613" s="43"/>
      <c r="J2613" s="43"/>
      <c r="K2613" s="43"/>
      <c r="L2613" s="43"/>
      <c r="M2613" s="43"/>
      <c r="N2613" s="43"/>
      <c r="O2613" s="43"/>
      <c r="P2613" s="43"/>
      <c r="Q2613" s="43"/>
      <c r="R2613" s="43"/>
      <c r="S2613" s="43"/>
      <c r="T2613" s="43"/>
      <c r="U2613" s="43"/>
      <c r="V2613" s="43"/>
    </row>
    <row r="2614" spans="1:22" ht="15.75" customHeight="1" x14ac:dyDescent="0.2">
      <c r="A2614" s="40"/>
      <c r="B2614" s="45" t="s">
        <v>736</v>
      </c>
      <c r="C2614" s="46" t="s">
        <v>2416</v>
      </c>
      <c r="D2614" s="46" t="s">
        <v>309</v>
      </c>
      <c r="E2614" s="46" t="s">
        <v>32</v>
      </c>
      <c r="F2614" s="46" t="s">
        <v>2413</v>
      </c>
      <c r="G2614" s="46" t="s">
        <v>2356</v>
      </c>
      <c r="H2614" s="43"/>
      <c r="I2614" s="43"/>
      <c r="J2614" s="43"/>
      <c r="K2614" s="43"/>
      <c r="L2614" s="43"/>
      <c r="M2614" s="43"/>
      <c r="N2614" s="43"/>
      <c r="O2614" s="43"/>
      <c r="P2614" s="43"/>
      <c r="Q2614" s="43"/>
      <c r="R2614" s="43"/>
      <c r="S2614" s="43"/>
      <c r="T2614" s="43"/>
      <c r="U2614" s="43"/>
      <c r="V2614" s="43"/>
    </row>
    <row r="2615" spans="1:22" ht="15.75" customHeight="1" x14ac:dyDescent="0.2">
      <c r="A2615" s="40"/>
      <c r="B2615" s="45" t="s">
        <v>920</v>
      </c>
      <c r="C2615" s="46" t="s">
        <v>2421</v>
      </c>
      <c r="D2615" s="46" t="s">
        <v>78</v>
      </c>
      <c r="E2615" s="46" t="s">
        <v>2422</v>
      </c>
      <c r="F2615" s="46" t="s">
        <v>2413</v>
      </c>
      <c r="G2615" s="46" t="s">
        <v>2356</v>
      </c>
      <c r="H2615" s="43"/>
      <c r="I2615" s="43"/>
      <c r="J2615" s="43"/>
      <c r="K2615" s="43"/>
      <c r="L2615" s="43"/>
      <c r="M2615" s="43"/>
      <c r="N2615" s="43"/>
      <c r="O2615" s="43"/>
      <c r="P2615" s="43"/>
      <c r="Q2615" s="43"/>
      <c r="R2615" s="43"/>
      <c r="S2615" s="43"/>
      <c r="T2615" s="43"/>
      <c r="U2615" s="43"/>
      <c r="V2615" s="43"/>
    </row>
    <row r="2616" spans="1:22" ht="15.75" customHeight="1" x14ac:dyDescent="0.2">
      <c r="A2616" s="40"/>
      <c r="B2616" s="45" t="s">
        <v>523</v>
      </c>
      <c r="C2616" s="46" t="s">
        <v>1027</v>
      </c>
      <c r="D2616" s="46" t="s">
        <v>2423</v>
      </c>
      <c r="E2616" s="46" t="s">
        <v>2424</v>
      </c>
      <c r="F2616" s="46" t="s">
        <v>2413</v>
      </c>
      <c r="G2616" s="46" t="s">
        <v>2356</v>
      </c>
      <c r="H2616" s="43"/>
      <c r="I2616" s="43"/>
      <c r="J2616" s="43"/>
      <c r="K2616" s="43"/>
      <c r="L2616" s="43"/>
      <c r="M2616" s="43"/>
      <c r="N2616" s="43"/>
      <c r="O2616" s="43"/>
      <c r="P2616" s="43"/>
      <c r="Q2616" s="43"/>
      <c r="R2616" s="43"/>
      <c r="S2616" s="43"/>
      <c r="T2616" s="43"/>
      <c r="U2616" s="43"/>
      <c r="V2616" s="43"/>
    </row>
    <row r="2617" spans="1:22" ht="15.75" customHeight="1" x14ac:dyDescent="0.2">
      <c r="A2617" s="40">
        <v>2393</v>
      </c>
      <c r="B2617" s="41" t="s">
        <v>154</v>
      </c>
      <c r="C2617" s="42" t="s">
        <v>1917</v>
      </c>
      <c r="D2617" s="42" t="s">
        <v>557</v>
      </c>
      <c r="E2617" s="42" t="s">
        <v>1169</v>
      </c>
      <c r="F2617" s="42" t="s">
        <v>2425</v>
      </c>
      <c r="G2617" s="42" t="s">
        <v>2356</v>
      </c>
      <c r="H2617" s="43"/>
      <c r="I2617" s="43"/>
      <c r="J2617" s="43"/>
      <c r="K2617" s="43"/>
      <c r="L2617" s="43"/>
      <c r="M2617" s="43"/>
      <c r="N2617" s="43"/>
      <c r="O2617" s="43"/>
      <c r="P2617" s="43"/>
      <c r="Q2617" s="43"/>
      <c r="R2617" s="43"/>
      <c r="S2617" s="43"/>
      <c r="T2617" s="43"/>
      <c r="U2617" s="43"/>
      <c r="V2617" s="43"/>
    </row>
    <row r="2618" spans="1:22" ht="15.75" customHeight="1" x14ac:dyDescent="0.2">
      <c r="A2618" s="40">
        <v>2411</v>
      </c>
      <c r="B2618" s="41" t="s">
        <v>10</v>
      </c>
      <c r="C2618" s="42" t="s">
        <v>2426</v>
      </c>
      <c r="D2618" s="42" t="s">
        <v>75</v>
      </c>
      <c r="E2618" s="42" t="s">
        <v>1806</v>
      </c>
      <c r="F2618" s="42" t="s">
        <v>2425</v>
      </c>
      <c r="G2618" s="42" t="s">
        <v>2356</v>
      </c>
      <c r="H2618" s="43"/>
      <c r="I2618" s="43"/>
      <c r="J2618" s="43"/>
      <c r="K2618" s="43"/>
      <c r="L2618" s="43"/>
      <c r="M2618" s="43"/>
      <c r="N2618" s="43"/>
      <c r="O2618" s="43"/>
      <c r="P2618" s="43"/>
      <c r="Q2618" s="43"/>
      <c r="R2618" s="43"/>
      <c r="S2618" s="43"/>
      <c r="T2618" s="43"/>
      <c r="U2618" s="43"/>
      <c r="V2618" s="43"/>
    </row>
    <row r="2619" spans="1:22" ht="15.75" customHeight="1" x14ac:dyDescent="0.2">
      <c r="A2619" s="40">
        <v>2469</v>
      </c>
      <c r="B2619" s="41" t="s">
        <v>16</v>
      </c>
      <c r="C2619" s="42" t="s">
        <v>2427</v>
      </c>
      <c r="D2619" s="42" t="s">
        <v>647</v>
      </c>
      <c r="E2619" s="42" t="s">
        <v>1038</v>
      </c>
      <c r="F2619" s="42" t="s">
        <v>2425</v>
      </c>
      <c r="G2619" s="42" t="s">
        <v>2356</v>
      </c>
      <c r="H2619" s="43"/>
      <c r="I2619" s="43"/>
      <c r="J2619" s="43"/>
      <c r="K2619" s="43"/>
      <c r="L2619" s="43"/>
      <c r="M2619" s="43"/>
      <c r="N2619" s="43"/>
      <c r="O2619" s="43"/>
      <c r="P2619" s="43"/>
      <c r="Q2619" s="43"/>
      <c r="R2619" s="43"/>
      <c r="S2619" s="43"/>
      <c r="T2619" s="43"/>
      <c r="U2619" s="43"/>
      <c r="V2619" s="43"/>
    </row>
    <row r="2620" spans="1:22" ht="15.75" customHeight="1" x14ac:dyDescent="0.2">
      <c r="A2620" s="40"/>
      <c r="B2620" s="45" t="s">
        <v>71</v>
      </c>
      <c r="C2620" s="46" t="s">
        <v>2428</v>
      </c>
      <c r="D2620" s="46" t="s">
        <v>272</v>
      </c>
      <c r="E2620" s="46" t="s">
        <v>112</v>
      </c>
      <c r="F2620" s="46" t="s">
        <v>2425</v>
      </c>
      <c r="G2620" s="46" t="s">
        <v>2356</v>
      </c>
      <c r="H2620" s="43"/>
      <c r="I2620" s="43"/>
      <c r="J2620" s="43"/>
      <c r="K2620" s="43"/>
      <c r="L2620" s="43"/>
      <c r="M2620" s="43"/>
      <c r="N2620" s="43"/>
      <c r="O2620" s="43"/>
      <c r="P2620" s="43"/>
      <c r="Q2620" s="43"/>
      <c r="R2620" s="43"/>
      <c r="S2620" s="43"/>
      <c r="T2620" s="43"/>
      <c r="U2620" s="43"/>
      <c r="V2620" s="43"/>
    </row>
    <row r="2621" spans="1:22" ht="15.75" customHeight="1" x14ac:dyDescent="0.2">
      <c r="A2621" s="40"/>
      <c r="B2621" s="45" t="s">
        <v>37</v>
      </c>
      <c r="C2621" s="46" t="s">
        <v>2429</v>
      </c>
      <c r="D2621" s="46" t="s">
        <v>1397</v>
      </c>
      <c r="E2621" s="46" t="s">
        <v>626</v>
      </c>
      <c r="F2621" s="46" t="s">
        <v>2425</v>
      </c>
      <c r="G2621" s="46" t="s">
        <v>2356</v>
      </c>
      <c r="H2621" s="43"/>
      <c r="I2621" s="43"/>
      <c r="J2621" s="43"/>
      <c r="K2621" s="43"/>
      <c r="L2621" s="43"/>
      <c r="M2621" s="43"/>
      <c r="N2621" s="43"/>
      <c r="O2621" s="43"/>
      <c r="P2621" s="43"/>
      <c r="Q2621" s="43"/>
      <c r="R2621" s="43"/>
      <c r="S2621" s="43"/>
      <c r="T2621" s="43"/>
      <c r="U2621" s="43"/>
      <c r="V2621" s="43"/>
    </row>
    <row r="2622" spans="1:22" ht="15.75" customHeight="1" x14ac:dyDescent="0.2">
      <c r="A2622" s="40"/>
      <c r="B2622" s="45" t="s">
        <v>71</v>
      </c>
      <c r="C2622" s="46" t="s">
        <v>2430</v>
      </c>
      <c r="D2622" s="46" t="s">
        <v>78</v>
      </c>
      <c r="E2622" s="46" t="s">
        <v>87</v>
      </c>
      <c r="F2622" s="46" t="s">
        <v>2425</v>
      </c>
      <c r="G2622" s="46" t="s">
        <v>2356</v>
      </c>
      <c r="H2622" s="43"/>
      <c r="I2622" s="43"/>
      <c r="J2622" s="43"/>
      <c r="K2622" s="43"/>
      <c r="L2622" s="43"/>
      <c r="M2622" s="43"/>
      <c r="N2622" s="43"/>
      <c r="O2622" s="43"/>
      <c r="P2622" s="43"/>
      <c r="Q2622" s="43"/>
      <c r="R2622" s="43"/>
      <c r="S2622" s="43"/>
      <c r="T2622" s="43"/>
      <c r="U2622" s="43"/>
      <c r="V2622" s="43"/>
    </row>
    <row r="2623" spans="1:22" ht="15.75" customHeight="1" x14ac:dyDescent="0.2">
      <c r="A2623" s="40"/>
      <c r="B2623" s="45" t="s">
        <v>41</v>
      </c>
      <c r="C2623" s="46" t="s">
        <v>450</v>
      </c>
      <c r="D2623" s="46" t="s">
        <v>1581</v>
      </c>
      <c r="E2623" s="46" t="s">
        <v>1425</v>
      </c>
      <c r="F2623" s="46" t="s">
        <v>2425</v>
      </c>
      <c r="G2623" s="46" t="s">
        <v>2356</v>
      </c>
      <c r="H2623" s="43"/>
      <c r="I2623" s="43"/>
      <c r="J2623" s="43"/>
      <c r="K2623" s="43"/>
      <c r="L2623" s="43"/>
      <c r="M2623" s="43"/>
      <c r="N2623" s="43"/>
      <c r="O2623" s="43"/>
      <c r="P2623" s="43"/>
      <c r="Q2623" s="43"/>
      <c r="R2623" s="43"/>
      <c r="S2623" s="43"/>
      <c r="T2623" s="43"/>
      <c r="U2623" s="43"/>
      <c r="V2623" s="43"/>
    </row>
    <row r="2624" spans="1:22" ht="15.75" customHeight="1" x14ac:dyDescent="0.2">
      <c r="A2624" s="40"/>
      <c r="B2624" s="45" t="s">
        <v>26</v>
      </c>
      <c r="C2624" s="46" t="s">
        <v>2431</v>
      </c>
      <c r="D2624" s="46" t="s">
        <v>309</v>
      </c>
      <c r="E2624" s="46" t="s">
        <v>1212</v>
      </c>
      <c r="F2624" s="46" t="s">
        <v>2425</v>
      </c>
      <c r="G2624" s="46" t="s">
        <v>2356</v>
      </c>
      <c r="H2624" s="43"/>
      <c r="I2624" s="43"/>
      <c r="J2624" s="43"/>
      <c r="K2624" s="43"/>
      <c r="L2624" s="43"/>
      <c r="M2624" s="43"/>
      <c r="N2624" s="43"/>
      <c r="O2624" s="43"/>
      <c r="P2624" s="43"/>
      <c r="Q2624" s="43"/>
      <c r="R2624" s="43"/>
      <c r="S2624" s="43"/>
      <c r="T2624" s="43"/>
      <c r="U2624" s="43"/>
      <c r="V2624" s="43"/>
    </row>
    <row r="2625" spans="1:22" ht="15.75" customHeight="1" x14ac:dyDescent="0.2">
      <c r="A2625" s="40"/>
      <c r="B2625" s="45" t="s">
        <v>37</v>
      </c>
      <c r="C2625" s="46" t="s">
        <v>2432</v>
      </c>
      <c r="D2625" s="46" t="s">
        <v>383</v>
      </c>
      <c r="E2625" s="46" t="s">
        <v>302</v>
      </c>
      <c r="F2625" s="46" t="s">
        <v>2425</v>
      </c>
      <c r="G2625" s="46" t="s">
        <v>2356</v>
      </c>
      <c r="H2625" s="43"/>
      <c r="I2625" s="43"/>
      <c r="J2625" s="43"/>
      <c r="K2625" s="43"/>
      <c r="L2625" s="43"/>
      <c r="M2625" s="43"/>
      <c r="N2625" s="43"/>
      <c r="O2625" s="43"/>
      <c r="P2625" s="43"/>
      <c r="Q2625" s="43"/>
      <c r="R2625" s="43"/>
      <c r="S2625" s="43"/>
      <c r="T2625" s="43"/>
      <c r="U2625" s="43"/>
      <c r="V2625" s="43"/>
    </row>
    <row r="2626" spans="1:22" ht="15.75" customHeight="1" x14ac:dyDescent="0.2">
      <c r="A2626" s="40"/>
      <c r="B2626" s="45" t="s">
        <v>71</v>
      </c>
      <c r="C2626" s="46" t="s">
        <v>2433</v>
      </c>
      <c r="D2626" s="46" t="s">
        <v>39</v>
      </c>
      <c r="E2626" s="46" t="s">
        <v>393</v>
      </c>
      <c r="F2626" s="46" t="s">
        <v>2425</v>
      </c>
      <c r="G2626" s="46" t="s">
        <v>2356</v>
      </c>
      <c r="H2626" s="43"/>
      <c r="I2626" s="43"/>
      <c r="J2626" s="43"/>
      <c r="K2626" s="43"/>
      <c r="L2626" s="43"/>
      <c r="M2626" s="43"/>
      <c r="N2626" s="43"/>
      <c r="O2626" s="43"/>
      <c r="P2626" s="43"/>
      <c r="Q2626" s="43"/>
      <c r="R2626" s="43"/>
      <c r="S2626" s="43"/>
      <c r="T2626" s="43"/>
      <c r="U2626" s="43"/>
      <c r="V2626" s="43"/>
    </row>
    <row r="2627" spans="1:22" ht="15.75" customHeight="1" x14ac:dyDescent="0.2">
      <c r="A2627" s="40"/>
      <c r="B2627" s="45" t="s">
        <v>26</v>
      </c>
      <c r="C2627" s="46" t="s">
        <v>2434</v>
      </c>
      <c r="D2627" s="46" t="s">
        <v>1401</v>
      </c>
      <c r="E2627" s="46" t="s">
        <v>393</v>
      </c>
      <c r="F2627" s="46" t="s">
        <v>2425</v>
      </c>
      <c r="G2627" s="46" t="s">
        <v>2356</v>
      </c>
      <c r="H2627" s="43"/>
      <c r="I2627" s="43"/>
      <c r="J2627" s="43"/>
      <c r="K2627" s="43"/>
      <c r="L2627" s="43"/>
      <c r="M2627" s="43"/>
      <c r="N2627" s="43"/>
      <c r="O2627" s="43"/>
      <c r="P2627" s="43"/>
      <c r="Q2627" s="43"/>
      <c r="R2627" s="43"/>
      <c r="S2627" s="43"/>
      <c r="T2627" s="43"/>
      <c r="U2627" s="43"/>
      <c r="V2627" s="43"/>
    </row>
    <row r="2628" spans="1:22" ht="15.75" customHeight="1" x14ac:dyDescent="0.2">
      <c r="A2628" s="40"/>
      <c r="B2628" s="45" t="s">
        <v>311</v>
      </c>
      <c r="C2628" s="46" t="s">
        <v>2435</v>
      </c>
      <c r="D2628" s="46" t="s">
        <v>554</v>
      </c>
      <c r="E2628" s="46" t="s">
        <v>650</v>
      </c>
      <c r="F2628" s="46" t="s">
        <v>2436</v>
      </c>
      <c r="G2628" s="46" t="s">
        <v>2356</v>
      </c>
      <c r="H2628" s="43"/>
      <c r="I2628" s="43"/>
      <c r="J2628" s="43"/>
      <c r="K2628" s="43"/>
      <c r="L2628" s="43"/>
      <c r="M2628" s="43"/>
      <c r="N2628" s="43"/>
      <c r="O2628" s="43"/>
      <c r="P2628" s="43"/>
      <c r="Q2628" s="43"/>
      <c r="R2628" s="43"/>
      <c r="S2628" s="43"/>
      <c r="T2628" s="43"/>
      <c r="U2628" s="43"/>
      <c r="V2628" s="43"/>
    </row>
    <row r="2629" spans="1:22" ht="15.75" customHeight="1" x14ac:dyDescent="0.2">
      <c r="A2629" s="40"/>
      <c r="B2629" s="45" t="s">
        <v>114</v>
      </c>
      <c r="C2629" s="46" t="s">
        <v>2435</v>
      </c>
      <c r="D2629" s="46" t="s">
        <v>554</v>
      </c>
      <c r="E2629" s="46" t="s">
        <v>650</v>
      </c>
      <c r="F2629" s="46" t="s">
        <v>2436</v>
      </c>
      <c r="G2629" s="46" t="s">
        <v>2356</v>
      </c>
      <c r="H2629" s="43"/>
      <c r="I2629" s="43"/>
      <c r="J2629" s="43"/>
      <c r="K2629" s="43"/>
      <c r="L2629" s="43"/>
      <c r="M2629" s="43"/>
      <c r="N2629" s="43"/>
      <c r="O2629" s="43"/>
      <c r="P2629" s="43"/>
      <c r="Q2629" s="43"/>
      <c r="R2629" s="43"/>
      <c r="S2629" s="43"/>
      <c r="T2629" s="43"/>
      <c r="U2629" s="43"/>
      <c r="V2629" s="43"/>
    </row>
    <row r="2630" spans="1:22" ht="15.75" customHeight="1" x14ac:dyDescent="0.2">
      <c r="A2630" s="40"/>
      <c r="B2630" s="45" t="s">
        <v>108</v>
      </c>
      <c r="C2630" s="46" t="s">
        <v>2435</v>
      </c>
      <c r="D2630" s="46" t="s">
        <v>554</v>
      </c>
      <c r="E2630" s="46" t="s">
        <v>650</v>
      </c>
      <c r="F2630" s="46" t="s">
        <v>2436</v>
      </c>
      <c r="G2630" s="46" t="s">
        <v>2356</v>
      </c>
      <c r="H2630" s="43"/>
      <c r="I2630" s="43"/>
      <c r="J2630" s="43"/>
      <c r="K2630" s="43"/>
      <c r="L2630" s="43"/>
      <c r="M2630" s="43"/>
      <c r="N2630" s="43"/>
      <c r="O2630" s="43"/>
      <c r="P2630" s="43"/>
      <c r="Q2630" s="43"/>
      <c r="R2630" s="43"/>
      <c r="S2630" s="43"/>
      <c r="T2630" s="43"/>
      <c r="U2630" s="43"/>
      <c r="V2630" s="43"/>
    </row>
    <row r="2631" spans="1:22" ht="15.75" customHeight="1" x14ac:dyDescent="0.2">
      <c r="A2631" s="40"/>
      <c r="B2631" s="45" t="s">
        <v>300</v>
      </c>
      <c r="C2631" s="46" t="s">
        <v>2437</v>
      </c>
      <c r="D2631" s="46" t="s">
        <v>516</v>
      </c>
      <c r="E2631" s="46" t="s">
        <v>129</v>
      </c>
      <c r="F2631" s="46" t="s">
        <v>2436</v>
      </c>
      <c r="G2631" s="46" t="s">
        <v>2356</v>
      </c>
      <c r="H2631" s="43"/>
      <c r="I2631" s="43"/>
      <c r="J2631" s="43"/>
      <c r="K2631" s="43"/>
      <c r="L2631" s="43"/>
      <c r="M2631" s="43"/>
      <c r="N2631" s="43"/>
      <c r="O2631" s="43"/>
      <c r="P2631" s="43"/>
      <c r="Q2631" s="43"/>
      <c r="R2631" s="43"/>
      <c r="S2631" s="43"/>
      <c r="T2631" s="43"/>
      <c r="U2631" s="43"/>
      <c r="V2631" s="43"/>
    </row>
    <row r="2632" spans="1:22" ht="15.75" customHeight="1" x14ac:dyDescent="0.2">
      <c r="A2632" s="40"/>
      <c r="B2632" s="45" t="s">
        <v>303</v>
      </c>
      <c r="C2632" s="46" t="s">
        <v>2437</v>
      </c>
      <c r="D2632" s="46" t="s">
        <v>516</v>
      </c>
      <c r="E2632" s="46" t="s">
        <v>129</v>
      </c>
      <c r="F2632" s="46" t="s">
        <v>2436</v>
      </c>
      <c r="G2632" s="46" t="s">
        <v>2356</v>
      </c>
      <c r="H2632" s="43"/>
      <c r="I2632" s="43"/>
      <c r="J2632" s="43"/>
      <c r="K2632" s="43"/>
      <c r="L2632" s="43"/>
      <c r="M2632" s="43"/>
      <c r="N2632" s="43"/>
      <c r="O2632" s="43"/>
      <c r="P2632" s="43"/>
      <c r="Q2632" s="43"/>
      <c r="R2632" s="43"/>
      <c r="S2632" s="43"/>
      <c r="T2632" s="43"/>
      <c r="U2632" s="43"/>
      <c r="V2632" s="43"/>
    </row>
    <row r="2633" spans="1:22" ht="15.75" customHeight="1" x14ac:dyDescent="0.2">
      <c r="A2633" s="40"/>
      <c r="B2633" s="45" t="s">
        <v>94</v>
      </c>
      <c r="C2633" s="46" t="s">
        <v>2437</v>
      </c>
      <c r="D2633" s="46" t="s">
        <v>516</v>
      </c>
      <c r="E2633" s="46" t="s">
        <v>129</v>
      </c>
      <c r="F2633" s="46" t="s">
        <v>2436</v>
      </c>
      <c r="G2633" s="46" t="s">
        <v>2356</v>
      </c>
      <c r="H2633" s="43"/>
      <c r="I2633" s="43"/>
      <c r="J2633" s="43"/>
      <c r="K2633" s="43"/>
      <c r="L2633" s="43"/>
      <c r="M2633" s="43"/>
      <c r="N2633" s="43"/>
      <c r="O2633" s="43"/>
      <c r="P2633" s="43"/>
      <c r="Q2633" s="43"/>
      <c r="R2633" s="43"/>
      <c r="S2633" s="43"/>
      <c r="T2633" s="43"/>
      <c r="U2633" s="43"/>
      <c r="V2633" s="43"/>
    </row>
    <row r="2634" spans="1:22" ht="15.75" customHeight="1" x14ac:dyDescent="0.2">
      <c r="A2634" s="40"/>
      <c r="B2634" s="45" t="s">
        <v>94</v>
      </c>
      <c r="C2634" s="46" t="s">
        <v>2438</v>
      </c>
      <c r="D2634" s="46" t="s">
        <v>2439</v>
      </c>
      <c r="E2634" s="46" t="s">
        <v>32</v>
      </c>
      <c r="F2634" s="46" t="s">
        <v>2436</v>
      </c>
      <c r="G2634" s="46" t="s">
        <v>2356</v>
      </c>
      <c r="H2634" s="43"/>
      <c r="I2634" s="43"/>
      <c r="J2634" s="43"/>
      <c r="K2634" s="43"/>
      <c r="L2634" s="43"/>
      <c r="M2634" s="43"/>
      <c r="N2634" s="43"/>
      <c r="O2634" s="43"/>
      <c r="P2634" s="43"/>
      <c r="Q2634" s="43"/>
      <c r="R2634" s="43"/>
      <c r="S2634" s="43"/>
      <c r="T2634" s="43"/>
      <c r="U2634" s="43"/>
      <c r="V2634" s="43"/>
    </row>
    <row r="2635" spans="1:22" ht="15.75" customHeight="1" x14ac:dyDescent="0.2">
      <c r="A2635" s="40"/>
      <c r="B2635" s="45" t="s">
        <v>131</v>
      </c>
      <c r="C2635" s="46" t="s">
        <v>2440</v>
      </c>
      <c r="D2635" s="46" t="s">
        <v>600</v>
      </c>
      <c r="E2635" s="46" t="s">
        <v>319</v>
      </c>
      <c r="F2635" s="46" t="s">
        <v>2436</v>
      </c>
      <c r="G2635" s="46" t="s">
        <v>2356</v>
      </c>
      <c r="H2635" s="43"/>
      <c r="I2635" s="43"/>
      <c r="J2635" s="43"/>
      <c r="K2635" s="43"/>
      <c r="L2635" s="43"/>
      <c r="M2635" s="43"/>
      <c r="N2635" s="43"/>
      <c r="O2635" s="43"/>
      <c r="P2635" s="43"/>
      <c r="Q2635" s="43"/>
      <c r="R2635" s="43"/>
      <c r="S2635" s="43"/>
      <c r="T2635" s="43"/>
      <c r="U2635" s="43"/>
      <c r="V2635" s="43"/>
    </row>
    <row r="2636" spans="1:22" ht="15.75" customHeight="1" x14ac:dyDescent="0.2">
      <c r="A2636" s="40"/>
      <c r="B2636" s="45" t="s">
        <v>118</v>
      </c>
      <c r="C2636" s="46" t="s">
        <v>2440</v>
      </c>
      <c r="D2636" s="46" t="s">
        <v>600</v>
      </c>
      <c r="E2636" s="46" t="s">
        <v>319</v>
      </c>
      <c r="F2636" s="46" t="s">
        <v>2436</v>
      </c>
      <c r="G2636" s="46" t="s">
        <v>2356</v>
      </c>
      <c r="H2636" s="43"/>
      <c r="I2636" s="43"/>
      <c r="J2636" s="43"/>
      <c r="K2636" s="43"/>
      <c r="L2636" s="43"/>
      <c r="M2636" s="43"/>
      <c r="N2636" s="43"/>
      <c r="O2636" s="43"/>
      <c r="P2636" s="43"/>
      <c r="Q2636" s="43"/>
      <c r="R2636" s="43"/>
      <c r="S2636" s="43"/>
      <c r="T2636" s="43"/>
      <c r="U2636" s="43"/>
      <c r="V2636" s="43"/>
    </row>
    <row r="2637" spans="1:22" ht="15.75" customHeight="1" x14ac:dyDescent="0.2">
      <c r="A2637" s="40"/>
      <c r="B2637" s="45" t="s">
        <v>94</v>
      </c>
      <c r="C2637" s="46" t="s">
        <v>2440</v>
      </c>
      <c r="D2637" s="46" t="s">
        <v>600</v>
      </c>
      <c r="E2637" s="46" t="s">
        <v>319</v>
      </c>
      <c r="F2637" s="46" t="s">
        <v>2436</v>
      </c>
      <c r="G2637" s="46" t="s">
        <v>2356</v>
      </c>
      <c r="H2637" s="43"/>
      <c r="I2637" s="43"/>
      <c r="J2637" s="43"/>
      <c r="K2637" s="43"/>
      <c r="L2637" s="43"/>
      <c r="M2637" s="43"/>
      <c r="N2637" s="43"/>
      <c r="O2637" s="43"/>
      <c r="P2637" s="43"/>
      <c r="Q2637" s="43"/>
      <c r="R2637" s="43"/>
      <c r="S2637" s="43"/>
      <c r="T2637" s="43"/>
      <c r="U2637" s="43"/>
      <c r="V2637" s="43"/>
    </row>
    <row r="2638" spans="1:22" ht="15.75" customHeight="1" x14ac:dyDescent="0.2">
      <c r="A2638" s="40">
        <v>259</v>
      </c>
      <c r="B2638" s="41" t="s">
        <v>243</v>
      </c>
      <c r="C2638" s="42" t="s">
        <v>2441</v>
      </c>
      <c r="D2638" s="42" t="s">
        <v>562</v>
      </c>
      <c r="E2638" s="42" t="s">
        <v>571</v>
      </c>
      <c r="F2638" s="42" t="s">
        <v>2442</v>
      </c>
      <c r="G2638" s="42" t="s">
        <v>2356</v>
      </c>
      <c r="H2638" s="43"/>
      <c r="I2638" s="43"/>
      <c r="J2638" s="43"/>
      <c r="K2638" s="43"/>
      <c r="L2638" s="43"/>
      <c r="M2638" s="43"/>
      <c r="N2638" s="43"/>
      <c r="O2638" s="43"/>
      <c r="P2638" s="43"/>
      <c r="Q2638" s="43"/>
      <c r="R2638" s="43"/>
      <c r="S2638" s="43"/>
      <c r="T2638" s="43"/>
      <c r="U2638" s="43"/>
      <c r="V2638" s="43"/>
    </row>
    <row r="2639" spans="1:22" ht="15.75" customHeight="1" x14ac:dyDescent="0.2">
      <c r="A2639" s="40">
        <v>633</v>
      </c>
      <c r="B2639" s="41" t="s">
        <v>248</v>
      </c>
      <c r="C2639" s="42" t="s">
        <v>2443</v>
      </c>
      <c r="D2639" s="42" t="s">
        <v>388</v>
      </c>
      <c r="E2639" s="42" t="s">
        <v>1083</v>
      </c>
      <c r="F2639" s="42" t="s">
        <v>2442</v>
      </c>
      <c r="G2639" s="42" t="s">
        <v>2356</v>
      </c>
      <c r="H2639" s="43"/>
      <c r="I2639" s="43"/>
      <c r="J2639" s="43"/>
      <c r="K2639" s="43"/>
      <c r="L2639" s="43"/>
      <c r="M2639" s="43"/>
      <c r="N2639" s="43"/>
      <c r="O2639" s="43"/>
      <c r="P2639" s="43"/>
      <c r="Q2639" s="43"/>
      <c r="R2639" s="43"/>
      <c r="S2639" s="43"/>
      <c r="T2639" s="43"/>
      <c r="U2639" s="43"/>
      <c r="V2639" s="43"/>
    </row>
    <row r="2640" spans="1:22" ht="15.75" customHeight="1" x14ac:dyDescent="0.2">
      <c r="A2640" s="40">
        <v>1245</v>
      </c>
      <c r="B2640" s="41" t="s">
        <v>699</v>
      </c>
      <c r="C2640" s="42" t="s">
        <v>2441</v>
      </c>
      <c r="D2640" s="42" t="s">
        <v>562</v>
      </c>
      <c r="E2640" s="42" t="s">
        <v>571</v>
      </c>
      <c r="F2640" s="42" t="s">
        <v>2442</v>
      </c>
      <c r="G2640" s="42" t="s">
        <v>2356</v>
      </c>
      <c r="H2640" s="43"/>
      <c r="I2640" s="43"/>
      <c r="J2640" s="43"/>
      <c r="K2640" s="43"/>
      <c r="L2640" s="43"/>
      <c r="M2640" s="43"/>
      <c r="N2640" s="43"/>
      <c r="O2640" s="43"/>
      <c r="P2640" s="43"/>
      <c r="Q2640" s="43"/>
      <c r="R2640" s="43"/>
      <c r="S2640" s="43"/>
      <c r="T2640" s="43"/>
      <c r="U2640" s="43"/>
      <c r="V2640" s="43"/>
    </row>
    <row r="2641" spans="1:22" ht="15.75" customHeight="1" x14ac:dyDescent="0.2">
      <c r="A2641" s="40">
        <v>1453</v>
      </c>
      <c r="B2641" s="41" t="s">
        <v>261</v>
      </c>
      <c r="C2641" s="42" t="s">
        <v>2444</v>
      </c>
      <c r="D2641" s="42" t="s">
        <v>554</v>
      </c>
      <c r="E2641" s="42" t="s">
        <v>424</v>
      </c>
      <c r="F2641" s="42" t="s">
        <v>2442</v>
      </c>
      <c r="G2641" s="42" t="s">
        <v>2356</v>
      </c>
      <c r="H2641" s="43"/>
      <c r="I2641" s="43"/>
      <c r="J2641" s="43"/>
      <c r="K2641" s="43"/>
      <c r="L2641" s="43"/>
      <c r="M2641" s="43"/>
      <c r="N2641" s="43"/>
      <c r="O2641" s="43"/>
      <c r="P2641" s="43"/>
      <c r="Q2641" s="43"/>
      <c r="R2641" s="43"/>
      <c r="S2641" s="43"/>
      <c r="T2641" s="43"/>
      <c r="U2641" s="43"/>
      <c r="V2641" s="43"/>
    </row>
    <row r="2642" spans="1:22" ht="15.75" customHeight="1" x14ac:dyDescent="0.2">
      <c r="A2642" s="40">
        <v>1465</v>
      </c>
      <c r="B2642" s="41" t="s">
        <v>261</v>
      </c>
      <c r="C2642" s="42" t="s">
        <v>2445</v>
      </c>
      <c r="D2642" s="42" t="s">
        <v>309</v>
      </c>
      <c r="E2642" s="42" t="s">
        <v>32</v>
      </c>
      <c r="F2642" s="42" t="s">
        <v>2442</v>
      </c>
      <c r="G2642" s="42" t="s">
        <v>2356</v>
      </c>
      <c r="H2642" s="43"/>
      <c r="I2642" s="43"/>
      <c r="J2642" s="43"/>
      <c r="K2642" s="43"/>
      <c r="L2642" s="43"/>
      <c r="M2642" s="43"/>
      <c r="N2642" s="43"/>
      <c r="O2642" s="43"/>
      <c r="P2642" s="43"/>
      <c r="Q2642" s="43"/>
      <c r="R2642" s="43"/>
      <c r="S2642" s="43"/>
      <c r="T2642" s="43"/>
      <c r="U2642" s="43"/>
      <c r="V2642" s="43"/>
    </row>
    <row r="2643" spans="1:22" ht="15.75" customHeight="1" x14ac:dyDescent="0.2">
      <c r="A2643" s="40">
        <v>1505</v>
      </c>
      <c r="B2643" s="41" t="s">
        <v>262</v>
      </c>
      <c r="C2643" s="42" t="s">
        <v>2443</v>
      </c>
      <c r="D2643" s="42" t="s">
        <v>388</v>
      </c>
      <c r="E2643" s="42" t="s">
        <v>1083</v>
      </c>
      <c r="F2643" s="42" t="s">
        <v>2442</v>
      </c>
      <c r="G2643" s="42" t="s">
        <v>2356</v>
      </c>
      <c r="H2643" s="43"/>
      <c r="I2643" s="43"/>
      <c r="J2643" s="43"/>
      <c r="K2643" s="43"/>
      <c r="L2643" s="43"/>
      <c r="M2643" s="43"/>
      <c r="N2643" s="43"/>
      <c r="O2643" s="43"/>
      <c r="P2643" s="43"/>
      <c r="Q2643" s="43"/>
      <c r="R2643" s="43"/>
      <c r="S2643" s="43"/>
      <c r="T2643" s="43"/>
      <c r="U2643" s="43"/>
      <c r="V2643" s="43"/>
    </row>
    <row r="2644" spans="1:22" ht="15.75" customHeight="1" x14ac:dyDescent="0.2">
      <c r="A2644" s="40">
        <v>1901</v>
      </c>
      <c r="B2644" s="41" t="s">
        <v>277</v>
      </c>
      <c r="C2644" s="42" t="s">
        <v>2444</v>
      </c>
      <c r="D2644" s="42" t="s">
        <v>554</v>
      </c>
      <c r="E2644" s="42" t="s">
        <v>424</v>
      </c>
      <c r="F2644" s="42" t="s">
        <v>2442</v>
      </c>
      <c r="G2644" s="42" t="s">
        <v>2356</v>
      </c>
      <c r="H2644" s="43"/>
      <c r="I2644" s="43"/>
      <c r="J2644" s="43"/>
      <c r="K2644" s="43"/>
      <c r="L2644" s="43"/>
      <c r="M2644" s="43"/>
      <c r="N2644" s="43"/>
      <c r="O2644" s="43"/>
      <c r="P2644" s="43"/>
      <c r="Q2644" s="43"/>
      <c r="R2644" s="43"/>
      <c r="S2644" s="43"/>
      <c r="T2644" s="43"/>
      <c r="U2644" s="43"/>
      <c r="V2644" s="43"/>
    </row>
    <row r="2645" spans="1:22" ht="15.75" customHeight="1" x14ac:dyDescent="0.2">
      <c r="A2645" s="40">
        <v>1967</v>
      </c>
      <c r="B2645" s="41" t="s">
        <v>721</v>
      </c>
      <c r="C2645" s="42" t="s">
        <v>2443</v>
      </c>
      <c r="D2645" s="42" t="s">
        <v>388</v>
      </c>
      <c r="E2645" s="42" t="s">
        <v>1083</v>
      </c>
      <c r="F2645" s="42" t="s">
        <v>2442</v>
      </c>
      <c r="G2645" s="42" t="s">
        <v>2356</v>
      </c>
      <c r="H2645" s="43"/>
      <c r="I2645" s="43"/>
      <c r="J2645" s="43"/>
      <c r="K2645" s="43"/>
      <c r="L2645" s="43"/>
      <c r="M2645" s="43"/>
      <c r="N2645" s="43"/>
      <c r="O2645" s="43"/>
      <c r="P2645" s="43"/>
      <c r="Q2645" s="43"/>
      <c r="R2645" s="43"/>
      <c r="S2645" s="43"/>
      <c r="T2645" s="43"/>
      <c r="U2645" s="43"/>
      <c r="V2645" s="43"/>
    </row>
    <row r="2646" spans="1:22" ht="15.75" customHeight="1" x14ac:dyDescent="0.2">
      <c r="A2646" s="40">
        <v>2697</v>
      </c>
      <c r="B2646" s="41" t="s">
        <v>1098</v>
      </c>
      <c r="C2646" s="42" t="s">
        <v>2444</v>
      </c>
      <c r="D2646" s="42" t="s">
        <v>554</v>
      </c>
      <c r="E2646" s="42" t="s">
        <v>424</v>
      </c>
      <c r="F2646" s="42" t="s">
        <v>2442</v>
      </c>
      <c r="G2646" s="42" t="s">
        <v>2356</v>
      </c>
      <c r="H2646" s="43"/>
      <c r="I2646" s="43"/>
      <c r="J2646" s="43"/>
      <c r="K2646" s="43"/>
      <c r="L2646" s="43"/>
      <c r="M2646" s="43"/>
      <c r="N2646" s="43"/>
      <c r="O2646" s="43"/>
      <c r="P2646" s="43"/>
      <c r="Q2646" s="43"/>
      <c r="R2646" s="43"/>
      <c r="S2646" s="43"/>
      <c r="T2646" s="43"/>
      <c r="U2646" s="43"/>
      <c r="V2646" s="43"/>
    </row>
    <row r="2647" spans="1:22" ht="15.75" customHeight="1" x14ac:dyDescent="0.2">
      <c r="A2647" s="40">
        <v>2705</v>
      </c>
      <c r="B2647" s="41" t="s">
        <v>1098</v>
      </c>
      <c r="C2647" s="42" t="s">
        <v>2445</v>
      </c>
      <c r="D2647" s="42" t="s">
        <v>309</v>
      </c>
      <c r="E2647" s="42" t="s">
        <v>32</v>
      </c>
      <c r="F2647" s="42" t="s">
        <v>2442</v>
      </c>
      <c r="G2647" s="42" t="s">
        <v>2356</v>
      </c>
      <c r="H2647" s="43"/>
      <c r="I2647" s="43"/>
      <c r="J2647" s="43"/>
      <c r="K2647" s="43"/>
      <c r="L2647" s="43"/>
      <c r="M2647" s="43"/>
      <c r="N2647" s="43"/>
      <c r="O2647" s="43"/>
      <c r="P2647" s="43"/>
      <c r="Q2647" s="43"/>
      <c r="R2647" s="43"/>
      <c r="S2647" s="43"/>
      <c r="T2647" s="43"/>
      <c r="U2647" s="43"/>
      <c r="V2647" s="43"/>
    </row>
    <row r="2648" spans="1:22" ht="15.75" customHeight="1" x14ac:dyDescent="0.2">
      <c r="A2648" s="40">
        <v>155</v>
      </c>
      <c r="B2648" s="41" t="s">
        <v>460</v>
      </c>
      <c r="C2648" s="42" t="s">
        <v>1819</v>
      </c>
      <c r="D2648" s="42" t="s">
        <v>325</v>
      </c>
      <c r="E2648" s="42" t="s">
        <v>334</v>
      </c>
      <c r="F2648" s="42" t="s">
        <v>2446</v>
      </c>
      <c r="G2648" s="42" t="s">
        <v>2447</v>
      </c>
      <c r="H2648" s="43"/>
      <c r="I2648" s="43"/>
      <c r="J2648" s="43"/>
      <c r="K2648" s="43"/>
      <c r="L2648" s="43"/>
      <c r="M2648" s="43"/>
      <c r="N2648" s="43"/>
      <c r="O2648" s="43"/>
      <c r="P2648" s="43"/>
      <c r="Q2648" s="43"/>
      <c r="R2648" s="43"/>
      <c r="S2648" s="43"/>
      <c r="T2648" s="43"/>
      <c r="U2648" s="43"/>
      <c r="V2648" s="43"/>
    </row>
    <row r="2649" spans="1:22" ht="15.75" customHeight="1" x14ac:dyDescent="0.2">
      <c r="A2649" s="40">
        <v>531</v>
      </c>
      <c r="B2649" s="41" t="s">
        <v>678</v>
      </c>
      <c r="C2649" s="42" t="s">
        <v>2448</v>
      </c>
      <c r="D2649" s="42" t="s">
        <v>295</v>
      </c>
      <c r="E2649" s="42" t="s">
        <v>314</v>
      </c>
      <c r="F2649" s="42" t="s">
        <v>2446</v>
      </c>
      <c r="G2649" s="42" t="s">
        <v>2447</v>
      </c>
      <c r="H2649" s="43"/>
      <c r="I2649" s="43"/>
      <c r="J2649" s="43"/>
      <c r="K2649" s="43"/>
      <c r="L2649" s="43"/>
      <c r="M2649" s="43"/>
      <c r="N2649" s="43"/>
      <c r="O2649" s="43"/>
      <c r="P2649" s="43"/>
      <c r="Q2649" s="43"/>
      <c r="R2649" s="43"/>
      <c r="S2649" s="43"/>
      <c r="T2649" s="43"/>
      <c r="U2649" s="43"/>
      <c r="V2649" s="43"/>
    </row>
    <row r="2650" spans="1:22" ht="15.75" customHeight="1" x14ac:dyDescent="0.2">
      <c r="A2650" s="40">
        <v>631</v>
      </c>
      <c r="B2650" s="41" t="s">
        <v>248</v>
      </c>
      <c r="C2650" s="42" t="s">
        <v>712</v>
      </c>
      <c r="D2650" s="42" t="s">
        <v>1107</v>
      </c>
      <c r="E2650" s="42" t="s">
        <v>319</v>
      </c>
      <c r="F2650" s="42" t="s">
        <v>2446</v>
      </c>
      <c r="G2650" s="42" t="s">
        <v>2447</v>
      </c>
      <c r="H2650" s="43"/>
      <c r="I2650" s="43"/>
      <c r="J2650" s="43"/>
      <c r="K2650" s="43"/>
      <c r="L2650" s="43"/>
      <c r="M2650" s="43"/>
      <c r="N2650" s="43"/>
      <c r="O2650" s="43"/>
      <c r="P2650" s="43"/>
      <c r="Q2650" s="43"/>
      <c r="R2650" s="43"/>
      <c r="S2650" s="43"/>
      <c r="T2650" s="43"/>
      <c r="U2650" s="43"/>
      <c r="V2650" s="43"/>
    </row>
    <row r="2651" spans="1:22" ht="15.75" customHeight="1" x14ac:dyDescent="0.2">
      <c r="A2651" s="40">
        <v>685</v>
      </c>
      <c r="B2651" s="41" t="s">
        <v>252</v>
      </c>
      <c r="C2651" s="42" t="s">
        <v>2449</v>
      </c>
      <c r="D2651" s="42" t="s">
        <v>526</v>
      </c>
      <c r="E2651" s="42" t="s">
        <v>374</v>
      </c>
      <c r="F2651" s="42" t="s">
        <v>2446</v>
      </c>
      <c r="G2651" s="42" t="s">
        <v>2447</v>
      </c>
      <c r="H2651" s="43"/>
      <c r="I2651" s="43"/>
      <c r="J2651" s="43"/>
      <c r="K2651" s="43"/>
      <c r="L2651" s="43"/>
      <c r="M2651" s="43"/>
      <c r="N2651" s="43"/>
      <c r="O2651" s="43"/>
      <c r="P2651" s="43"/>
      <c r="Q2651" s="43"/>
      <c r="R2651" s="43"/>
      <c r="S2651" s="43"/>
      <c r="T2651" s="43"/>
      <c r="U2651" s="43"/>
      <c r="V2651" s="43"/>
    </row>
    <row r="2652" spans="1:22" ht="15.75" customHeight="1" x14ac:dyDescent="0.2">
      <c r="A2652" s="40">
        <v>1075</v>
      </c>
      <c r="B2652" s="41" t="s">
        <v>458</v>
      </c>
      <c r="C2652" s="42" t="s">
        <v>1819</v>
      </c>
      <c r="D2652" s="42" t="s">
        <v>325</v>
      </c>
      <c r="E2652" s="42" t="s">
        <v>334</v>
      </c>
      <c r="F2652" s="42" t="s">
        <v>2446</v>
      </c>
      <c r="G2652" s="42" t="s">
        <v>2447</v>
      </c>
      <c r="H2652" s="43"/>
      <c r="I2652" s="43"/>
      <c r="J2652" s="43"/>
      <c r="K2652" s="43"/>
      <c r="L2652" s="43"/>
      <c r="M2652" s="43"/>
      <c r="N2652" s="43"/>
      <c r="O2652" s="43"/>
      <c r="P2652" s="43"/>
      <c r="Q2652" s="43"/>
      <c r="R2652" s="43"/>
      <c r="S2652" s="43"/>
      <c r="T2652" s="43"/>
      <c r="U2652" s="43"/>
      <c r="V2652" s="43"/>
    </row>
    <row r="2653" spans="1:22" ht="15.75" customHeight="1" x14ac:dyDescent="0.2">
      <c r="A2653" s="40">
        <v>1123</v>
      </c>
      <c r="B2653" s="41" t="s">
        <v>449</v>
      </c>
      <c r="C2653" s="42" t="s">
        <v>2448</v>
      </c>
      <c r="D2653" s="42" t="s">
        <v>295</v>
      </c>
      <c r="E2653" s="42" t="s">
        <v>314</v>
      </c>
      <c r="F2653" s="42" t="s">
        <v>2446</v>
      </c>
      <c r="G2653" s="42" t="s">
        <v>2447</v>
      </c>
      <c r="H2653" s="43"/>
      <c r="I2653" s="43"/>
      <c r="J2653" s="43"/>
      <c r="K2653" s="43"/>
      <c r="L2653" s="43"/>
      <c r="M2653" s="43"/>
      <c r="N2653" s="43"/>
      <c r="O2653" s="43"/>
      <c r="P2653" s="43"/>
      <c r="Q2653" s="43"/>
      <c r="R2653" s="43"/>
      <c r="S2653" s="43"/>
      <c r="T2653" s="43"/>
      <c r="U2653" s="43"/>
      <c r="V2653" s="43"/>
    </row>
    <row r="2654" spans="1:22" ht="15.75" customHeight="1" x14ac:dyDescent="0.2">
      <c r="A2654" s="40">
        <v>1339</v>
      </c>
      <c r="B2654" s="41" t="s">
        <v>260</v>
      </c>
      <c r="C2654" s="42" t="s">
        <v>2450</v>
      </c>
      <c r="D2654" s="42" t="s">
        <v>183</v>
      </c>
      <c r="E2654" s="42" t="s">
        <v>79</v>
      </c>
      <c r="F2654" s="42" t="s">
        <v>2446</v>
      </c>
      <c r="G2654" s="42" t="s">
        <v>2447</v>
      </c>
      <c r="H2654" s="43"/>
      <c r="I2654" s="43"/>
      <c r="J2654" s="43"/>
      <c r="K2654" s="43"/>
      <c r="L2654" s="43"/>
      <c r="M2654" s="43"/>
      <c r="N2654" s="43"/>
      <c r="O2654" s="43"/>
      <c r="P2654" s="43"/>
      <c r="Q2654" s="43"/>
      <c r="R2654" s="43"/>
      <c r="S2654" s="43"/>
      <c r="T2654" s="43"/>
      <c r="U2654" s="43"/>
      <c r="V2654" s="43"/>
    </row>
    <row r="2655" spans="1:22" ht="15.75" customHeight="1" x14ac:dyDescent="0.2">
      <c r="A2655" s="40">
        <v>1541</v>
      </c>
      <c r="B2655" s="41" t="s">
        <v>263</v>
      </c>
      <c r="C2655" s="42" t="s">
        <v>2449</v>
      </c>
      <c r="D2655" s="42" t="s">
        <v>526</v>
      </c>
      <c r="E2655" s="42" t="s">
        <v>374</v>
      </c>
      <c r="F2655" s="42" t="s">
        <v>2446</v>
      </c>
      <c r="G2655" s="42" t="s">
        <v>2447</v>
      </c>
      <c r="H2655" s="43"/>
      <c r="I2655" s="43"/>
      <c r="J2655" s="43"/>
      <c r="K2655" s="43"/>
      <c r="L2655" s="43"/>
      <c r="M2655" s="43"/>
      <c r="N2655" s="43"/>
      <c r="O2655" s="43"/>
      <c r="P2655" s="43"/>
      <c r="Q2655" s="43"/>
      <c r="R2655" s="43"/>
      <c r="S2655" s="43"/>
      <c r="T2655" s="43"/>
      <c r="U2655" s="43"/>
      <c r="V2655" s="43"/>
    </row>
    <row r="2656" spans="1:22" ht="15.75" customHeight="1" x14ac:dyDescent="0.2">
      <c r="A2656" s="40">
        <v>1573</v>
      </c>
      <c r="B2656" s="41" t="s">
        <v>585</v>
      </c>
      <c r="C2656" s="42" t="s">
        <v>712</v>
      </c>
      <c r="D2656" s="42" t="s">
        <v>1107</v>
      </c>
      <c r="E2656" s="42" t="s">
        <v>319</v>
      </c>
      <c r="F2656" s="42" t="s">
        <v>2446</v>
      </c>
      <c r="G2656" s="42" t="s">
        <v>2447</v>
      </c>
      <c r="H2656" s="43"/>
      <c r="I2656" s="43"/>
      <c r="J2656" s="43"/>
      <c r="K2656" s="43"/>
      <c r="L2656" s="43"/>
      <c r="M2656" s="43"/>
      <c r="N2656" s="43"/>
      <c r="O2656" s="43"/>
      <c r="P2656" s="43"/>
      <c r="Q2656" s="43"/>
      <c r="R2656" s="43"/>
      <c r="S2656" s="43"/>
      <c r="T2656" s="43"/>
      <c r="U2656" s="43"/>
      <c r="V2656" s="43"/>
    </row>
    <row r="2657" spans="1:22" ht="15.75" customHeight="1" x14ac:dyDescent="0.2">
      <c r="A2657" s="40">
        <v>1659</v>
      </c>
      <c r="B2657" s="41" t="s">
        <v>435</v>
      </c>
      <c r="C2657" s="42" t="s">
        <v>700</v>
      </c>
      <c r="D2657" s="42" t="s">
        <v>272</v>
      </c>
      <c r="E2657" s="42" t="s">
        <v>40</v>
      </c>
      <c r="F2657" s="42" t="s">
        <v>2446</v>
      </c>
      <c r="G2657" s="42" t="s">
        <v>2447</v>
      </c>
      <c r="H2657" s="43"/>
      <c r="I2657" s="43"/>
      <c r="J2657" s="43"/>
      <c r="K2657" s="43"/>
      <c r="L2657" s="43"/>
      <c r="M2657" s="43"/>
      <c r="N2657" s="43"/>
      <c r="O2657" s="43"/>
      <c r="P2657" s="43"/>
      <c r="Q2657" s="43"/>
      <c r="R2657" s="43"/>
      <c r="S2657" s="43"/>
      <c r="T2657" s="43"/>
      <c r="U2657" s="43"/>
      <c r="V2657" s="43"/>
    </row>
    <row r="2658" spans="1:22" ht="15.75" customHeight="1" x14ac:dyDescent="0.2">
      <c r="A2658" s="40">
        <v>1765</v>
      </c>
      <c r="B2658" s="41" t="s">
        <v>459</v>
      </c>
      <c r="C2658" s="42" t="s">
        <v>1819</v>
      </c>
      <c r="D2658" s="42" t="s">
        <v>325</v>
      </c>
      <c r="E2658" s="42" t="s">
        <v>334</v>
      </c>
      <c r="F2658" s="42" t="s">
        <v>2446</v>
      </c>
      <c r="G2658" s="42" t="s">
        <v>2447</v>
      </c>
      <c r="H2658" s="43"/>
      <c r="I2658" s="43"/>
      <c r="J2658" s="43"/>
      <c r="K2658" s="43"/>
      <c r="L2658" s="43"/>
      <c r="M2658" s="43"/>
      <c r="N2658" s="43"/>
      <c r="O2658" s="43"/>
      <c r="P2658" s="43"/>
      <c r="Q2658" s="43"/>
      <c r="R2658" s="43"/>
      <c r="S2658" s="43"/>
      <c r="T2658" s="43"/>
      <c r="U2658" s="43"/>
      <c r="V2658" s="43"/>
    </row>
    <row r="2659" spans="1:22" ht="15.75" customHeight="1" x14ac:dyDescent="0.2">
      <c r="A2659" s="40">
        <v>1811</v>
      </c>
      <c r="B2659" s="41" t="s">
        <v>276</v>
      </c>
      <c r="C2659" s="42" t="s">
        <v>2450</v>
      </c>
      <c r="D2659" s="42" t="s">
        <v>183</v>
      </c>
      <c r="E2659" s="42" t="s">
        <v>79</v>
      </c>
      <c r="F2659" s="42" t="s">
        <v>2446</v>
      </c>
      <c r="G2659" s="42" t="s">
        <v>2447</v>
      </c>
      <c r="H2659" s="43"/>
      <c r="I2659" s="43"/>
      <c r="J2659" s="43"/>
      <c r="K2659" s="43"/>
      <c r="L2659" s="43"/>
      <c r="M2659" s="43"/>
      <c r="N2659" s="43"/>
      <c r="O2659" s="43"/>
      <c r="P2659" s="43"/>
      <c r="Q2659" s="43"/>
      <c r="R2659" s="43"/>
      <c r="S2659" s="43"/>
      <c r="T2659" s="43"/>
      <c r="U2659" s="43"/>
      <c r="V2659" s="43"/>
    </row>
    <row r="2660" spans="1:22" ht="15.75" customHeight="1" x14ac:dyDescent="0.2">
      <c r="A2660" s="40">
        <v>1821</v>
      </c>
      <c r="B2660" s="41" t="s">
        <v>439</v>
      </c>
      <c r="C2660" s="42" t="s">
        <v>2448</v>
      </c>
      <c r="D2660" s="42" t="s">
        <v>295</v>
      </c>
      <c r="E2660" s="42" t="s">
        <v>314</v>
      </c>
      <c r="F2660" s="42" t="s">
        <v>2446</v>
      </c>
      <c r="G2660" s="42" t="s">
        <v>2447</v>
      </c>
      <c r="H2660" s="43"/>
      <c r="I2660" s="43"/>
      <c r="J2660" s="43"/>
      <c r="K2660" s="43"/>
      <c r="L2660" s="43"/>
      <c r="M2660" s="43"/>
      <c r="N2660" s="43"/>
      <c r="O2660" s="43"/>
      <c r="P2660" s="43"/>
      <c r="Q2660" s="43"/>
      <c r="R2660" s="43"/>
      <c r="S2660" s="43"/>
      <c r="T2660" s="43"/>
      <c r="U2660" s="43"/>
      <c r="V2660" s="43"/>
    </row>
    <row r="2661" spans="1:22" ht="15.75" customHeight="1" x14ac:dyDescent="0.2">
      <c r="A2661" s="40">
        <v>1933</v>
      </c>
      <c r="B2661" s="41" t="s">
        <v>278</v>
      </c>
      <c r="C2661" s="42" t="s">
        <v>700</v>
      </c>
      <c r="D2661" s="42" t="s">
        <v>272</v>
      </c>
      <c r="E2661" s="42" t="s">
        <v>40</v>
      </c>
      <c r="F2661" s="42" t="s">
        <v>2446</v>
      </c>
      <c r="G2661" s="42" t="s">
        <v>2447</v>
      </c>
      <c r="H2661" s="43"/>
      <c r="I2661" s="43"/>
      <c r="J2661" s="43"/>
      <c r="K2661" s="43"/>
      <c r="L2661" s="43"/>
      <c r="M2661" s="43"/>
      <c r="N2661" s="43"/>
      <c r="O2661" s="43"/>
      <c r="P2661" s="43"/>
      <c r="Q2661" s="43"/>
      <c r="R2661" s="43"/>
      <c r="S2661" s="43"/>
      <c r="T2661" s="43"/>
      <c r="U2661" s="43"/>
      <c r="V2661" s="43"/>
    </row>
    <row r="2662" spans="1:22" ht="15.75" customHeight="1" x14ac:dyDescent="0.2">
      <c r="A2662" s="40">
        <v>2293</v>
      </c>
      <c r="B2662" s="41" t="s">
        <v>284</v>
      </c>
      <c r="C2662" s="42" t="s">
        <v>712</v>
      </c>
      <c r="D2662" s="42" t="s">
        <v>1107</v>
      </c>
      <c r="E2662" s="42" t="s">
        <v>319</v>
      </c>
      <c r="F2662" s="42" t="s">
        <v>2446</v>
      </c>
      <c r="G2662" s="42" t="s">
        <v>2447</v>
      </c>
      <c r="H2662" s="43"/>
      <c r="I2662" s="43"/>
      <c r="J2662" s="43"/>
      <c r="K2662" s="43"/>
      <c r="L2662" s="43"/>
      <c r="M2662" s="43"/>
      <c r="N2662" s="43"/>
      <c r="O2662" s="43"/>
      <c r="P2662" s="43"/>
      <c r="Q2662" s="43"/>
      <c r="R2662" s="43"/>
      <c r="S2662" s="43"/>
      <c r="T2662" s="43"/>
      <c r="U2662" s="43"/>
      <c r="V2662" s="43"/>
    </row>
    <row r="2663" spans="1:22" ht="15.75" customHeight="1" x14ac:dyDescent="0.2">
      <c r="A2663" s="40">
        <v>59</v>
      </c>
      <c r="B2663" s="41" t="s">
        <v>226</v>
      </c>
      <c r="C2663" s="42" t="s">
        <v>700</v>
      </c>
      <c r="D2663" s="42" t="s">
        <v>2451</v>
      </c>
      <c r="E2663" s="42" t="s">
        <v>125</v>
      </c>
      <c r="F2663" s="42" t="s">
        <v>2446</v>
      </c>
      <c r="G2663" s="42" t="s">
        <v>2447</v>
      </c>
      <c r="H2663" s="43"/>
      <c r="I2663" s="43"/>
      <c r="J2663" s="43"/>
      <c r="K2663" s="43"/>
      <c r="L2663" s="43"/>
      <c r="M2663" s="43"/>
      <c r="N2663" s="43"/>
      <c r="O2663" s="43"/>
      <c r="P2663" s="43"/>
      <c r="Q2663" s="43"/>
      <c r="R2663" s="43"/>
      <c r="S2663" s="43"/>
      <c r="T2663" s="43"/>
      <c r="U2663" s="43"/>
      <c r="V2663" s="43"/>
    </row>
    <row r="2664" spans="1:22" ht="15.75" customHeight="1" x14ac:dyDescent="0.2">
      <c r="A2664" s="40"/>
      <c r="B2664" s="45" t="s">
        <v>118</v>
      </c>
      <c r="C2664" s="46" t="s">
        <v>700</v>
      </c>
      <c r="D2664" s="46" t="s">
        <v>516</v>
      </c>
      <c r="E2664" s="46" t="s">
        <v>630</v>
      </c>
      <c r="F2664" s="46" t="s">
        <v>2446</v>
      </c>
      <c r="G2664" s="46" t="s">
        <v>2447</v>
      </c>
      <c r="H2664" s="43"/>
      <c r="I2664" s="43"/>
      <c r="J2664" s="43"/>
      <c r="K2664" s="43"/>
      <c r="L2664" s="43"/>
      <c r="M2664" s="43"/>
      <c r="N2664" s="43"/>
      <c r="O2664" s="43"/>
      <c r="P2664" s="43"/>
      <c r="Q2664" s="43"/>
      <c r="R2664" s="43"/>
      <c r="S2664" s="43"/>
      <c r="T2664" s="43"/>
      <c r="U2664" s="43"/>
      <c r="V2664" s="43"/>
    </row>
    <row r="2665" spans="1:22" ht="15.75" customHeight="1" x14ac:dyDescent="0.2">
      <c r="A2665" s="40"/>
      <c r="B2665" s="45" t="s">
        <v>121</v>
      </c>
      <c r="C2665" s="46" t="s">
        <v>700</v>
      </c>
      <c r="D2665" s="46" t="s">
        <v>516</v>
      </c>
      <c r="E2665" s="46" t="s">
        <v>630</v>
      </c>
      <c r="F2665" s="46" t="s">
        <v>2446</v>
      </c>
      <c r="G2665" s="46" t="s">
        <v>2447</v>
      </c>
      <c r="H2665" s="43"/>
      <c r="I2665" s="43"/>
      <c r="J2665" s="43"/>
      <c r="K2665" s="43"/>
      <c r="L2665" s="43"/>
      <c r="M2665" s="43"/>
      <c r="N2665" s="43"/>
      <c r="O2665" s="43"/>
      <c r="P2665" s="43"/>
      <c r="Q2665" s="43"/>
      <c r="R2665" s="43"/>
      <c r="S2665" s="43"/>
      <c r="T2665" s="43"/>
      <c r="U2665" s="43"/>
      <c r="V2665" s="43"/>
    </row>
    <row r="2666" spans="1:22" ht="15.75" customHeight="1" x14ac:dyDescent="0.2">
      <c r="A2666" s="40"/>
      <c r="B2666" s="45" t="s">
        <v>94</v>
      </c>
      <c r="C2666" s="46" t="s">
        <v>700</v>
      </c>
      <c r="D2666" s="46" t="s">
        <v>516</v>
      </c>
      <c r="E2666" s="46" t="s">
        <v>630</v>
      </c>
      <c r="F2666" s="46" t="s">
        <v>2446</v>
      </c>
      <c r="G2666" s="46" t="s">
        <v>2447</v>
      </c>
      <c r="H2666" s="43"/>
      <c r="I2666" s="43"/>
      <c r="J2666" s="43"/>
      <c r="K2666" s="43"/>
      <c r="L2666" s="43"/>
      <c r="M2666" s="43"/>
      <c r="N2666" s="43"/>
      <c r="O2666" s="43"/>
      <c r="P2666" s="43"/>
      <c r="Q2666" s="43"/>
      <c r="R2666" s="43"/>
      <c r="S2666" s="43"/>
      <c r="T2666" s="43"/>
      <c r="U2666" s="43"/>
      <c r="V2666" s="43"/>
    </row>
    <row r="2667" spans="1:22" ht="15.75" customHeight="1" x14ac:dyDescent="0.2">
      <c r="A2667" s="40"/>
      <c r="B2667" s="45" t="s">
        <v>131</v>
      </c>
      <c r="C2667" s="46" t="s">
        <v>870</v>
      </c>
      <c r="D2667" s="46" t="s">
        <v>39</v>
      </c>
      <c r="E2667" s="46" t="s">
        <v>650</v>
      </c>
      <c r="F2667" s="46" t="s">
        <v>2446</v>
      </c>
      <c r="G2667" s="46" t="s">
        <v>2447</v>
      </c>
      <c r="H2667" s="43"/>
      <c r="I2667" s="43"/>
      <c r="J2667" s="43"/>
      <c r="K2667" s="43"/>
      <c r="L2667" s="43"/>
      <c r="M2667" s="43"/>
      <c r="N2667" s="43"/>
      <c r="O2667" s="43"/>
      <c r="P2667" s="43"/>
      <c r="Q2667" s="43"/>
      <c r="R2667" s="43"/>
      <c r="S2667" s="43"/>
      <c r="T2667" s="43"/>
      <c r="U2667" s="43"/>
      <c r="V2667" s="43"/>
    </row>
    <row r="2668" spans="1:22" ht="15.75" customHeight="1" x14ac:dyDescent="0.2">
      <c r="A2668" s="40"/>
      <c r="B2668" s="45" t="s">
        <v>118</v>
      </c>
      <c r="C2668" s="46" t="s">
        <v>870</v>
      </c>
      <c r="D2668" s="46" t="s">
        <v>39</v>
      </c>
      <c r="E2668" s="46" t="s">
        <v>650</v>
      </c>
      <c r="F2668" s="46" t="s">
        <v>2446</v>
      </c>
      <c r="G2668" s="46" t="s">
        <v>2447</v>
      </c>
      <c r="H2668" s="43"/>
      <c r="I2668" s="43"/>
      <c r="J2668" s="43"/>
      <c r="K2668" s="43"/>
      <c r="L2668" s="43"/>
      <c r="M2668" s="43"/>
      <c r="N2668" s="43"/>
      <c r="O2668" s="43"/>
      <c r="P2668" s="43"/>
      <c r="Q2668" s="43"/>
      <c r="R2668" s="43"/>
      <c r="S2668" s="43"/>
      <c r="T2668" s="43"/>
      <c r="U2668" s="43"/>
      <c r="V2668" s="43"/>
    </row>
    <row r="2669" spans="1:22" ht="15.75" customHeight="1" x14ac:dyDescent="0.2">
      <c r="A2669" s="40"/>
      <c r="B2669" s="45" t="s">
        <v>94</v>
      </c>
      <c r="C2669" s="46" t="s">
        <v>870</v>
      </c>
      <c r="D2669" s="46" t="s">
        <v>39</v>
      </c>
      <c r="E2669" s="46" t="s">
        <v>650</v>
      </c>
      <c r="F2669" s="46" t="s">
        <v>2446</v>
      </c>
      <c r="G2669" s="46" t="s">
        <v>2447</v>
      </c>
      <c r="H2669" s="43"/>
      <c r="I2669" s="43"/>
      <c r="J2669" s="43"/>
      <c r="K2669" s="43"/>
      <c r="L2669" s="43"/>
      <c r="M2669" s="43"/>
      <c r="N2669" s="43"/>
      <c r="O2669" s="43"/>
      <c r="P2669" s="43"/>
      <c r="Q2669" s="43"/>
      <c r="R2669" s="43"/>
      <c r="S2669" s="43"/>
      <c r="T2669" s="43"/>
      <c r="U2669" s="43"/>
      <c r="V2669" s="43"/>
    </row>
    <row r="2670" spans="1:22" ht="15.75" customHeight="1" x14ac:dyDescent="0.2">
      <c r="A2670" s="40"/>
      <c r="B2670" s="45" t="s">
        <v>118</v>
      </c>
      <c r="C2670" s="46" t="s">
        <v>2452</v>
      </c>
      <c r="D2670" s="46" t="s">
        <v>31</v>
      </c>
      <c r="E2670" s="46" t="s">
        <v>546</v>
      </c>
      <c r="F2670" s="46" t="s">
        <v>2446</v>
      </c>
      <c r="G2670" s="46" t="s">
        <v>2447</v>
      </c>
      <c r="H2670" s="43"/>
      <c r="I2670" s="43"/>
      <c r="J2670" s="43"/>
      <c r="K2670" s="43"/>
      <c r="L2670" s="43"/>
      <c r="M2670" s="43"/>
      <c r="N2670" s="43"/>
      <c r="O2670" s="43"/>
      <c r="P2670" s="43"/>
      <c r="Q2670" s="43"/>
      <c r="R2670" s="43"/>
      <c r="S2670" s="43"/>
      <c r="T2670" s="43"/>
      <c r="U2670" s="43"/>
      <c r="V2670" s="43"/>
    </row>
    <row r="2671" spans="1:22" ht="15.75" customHeight="1" x14ac:dyDescent="0.2">
      <c r="A2671" s="40"/>
      <c r="B2671" s="45" t="s">
        <v>121</v>
      </c>
      <c r="C2671" s="46" t="s">
        <v>2452</v>
      </c>
      <c r="D2671" s="46" t="s">
        <v>31</v>
      </c>
      <c r="E2671" s="46" t="s">
        <v>546</v>
      </c>
      <c r="F2671" s="46" t="s">
        <v>2446</v>
      </c>
      <c r="G2671" s="46" t="s">
        <v>2447</v>
      </c>
      <c r="H2671" s="43"/>
      <c r="I2671" s="43"/>
      <c r="J2671" s="43"/>
      <c r="K2671" s="43"/>
      <c r="L2671" s="43"/>
      <c r="M2671" s="43"/>
      <c r="N2671" s="43"/>
      <c r="O2671" s="43"/>
      <c r="P2671" s="43"/>
      <c r="Q2671" s="43"/>
      <c r="R2671" s="43"/>
      <c r="S2671" s="43"/>
      <c r="T2671" s="43"/>
      <c r="U2671" s="43"/>
      <c r="V2671" s="43"/>
    </row>
    <row r="2672" spans="1:22" ht="15.75" customHeight="1" x14ac:dyDescent="0.2">
      <c r="A2672" s="40"/>
      <c r="B2672" s="45" t="s">
        <v>94</v>
      </c>
      <c r="C2672" s="46" t="s">
        <v>2452</v>
      </c>
      <c r="D2672" s="46" t="s">
        <v>31</v>
      </c>
      <c r="E2672" s="46" t="s">
        <v>546</v>
      </c>
      <c r="F2672" s="46" t="s">
        <v>2446</v>
      </c>
      <c r="G2672" s="46" t="s">
        <v>2447</v>
      </c>
      <c r="H2672" s="43"/>
      <c r="I2672" s="43"/>
      <c r="J2672" s="43"/>
      <c r="K2672" s="43"/>
      <c r="L2672" s="43"/>
      <c r="M2672" s="43"/>
      <c r="N2672" s="43"/>
      <c r="O2672" s="43"/>
      <c r="P2672" s="43"/>
      <c r="Q2672" s="43"/>
      <c r="R2672" s="43"/>
      <c r="S2672" s="43"/>
      <c r="T2672" s="43"/>
      <c r="U2672" s="43"/>
      <c r="V2672" s="43"/>
    </row>
    <row r="2673" spans="1:22" ht="15.75" customHeight="1" x14ac:dyDescent="0.2">
      <c r="A2673" s="40">
        <v>403</v>
      </c>
      <c r="B2673" s="41" t="s">
        <v>1299</v>
      </c>
      <c r="C2673" s="42" t="s">
        <v>2453</v>
      </c>
      <c r="D2673" s="42" t="s">
        <v>992</v>
      </c>
      <c r="E2673" s="42" t="s">
        <v>563</v>
      </c>
      <c r="F2673" s="42" t="s">
        <v>2454</v>
      </c>
      <c r="G2673" s="42" t="s">
        <v>2447</v>
      </c>
      <c r="H2673" s="43"/>
      <c r="I2673" s="43"/>
      <c r="J2673" s="43"/>
      <c r="K2673" s="43"/>
      <c r="L2673" s="43"/>
      <c r="M2673" s="43"/>
      <c r="N2673" s="43"/>
      <c r="O2673" s="43"/>
      <c r="P2673" s="43"/>
      <c r="Q2673" s="43"/>
      <c r="R2673" s="43"/>
      <c r="S2673" s="43"/>
      <c r="T2673" s="43"/>
      <c r="U2673" s="43"/>
      <c r="V2673" s="43"/>
    </row>
    <row r="2674" spans="1:22" ht="15.75" customHeight="1" x14ac:dyDescent="0.2">
      <c r="A2674" s="40">
        <v>533</v>
      </c>
      <c r="B2674" s="41" t="s">
        <v>678</v>
      </c>
      <c r="C2674" s="42" t="s">
        <v>2448</v>
      </c>
      <c r="D2674" s="42" t="s">
        <v>511</v>
      </c>
      <c r="E2674" s="42" t="s">
        <v>1065</v>
      </c>
      <c r="F2674" s="42" t="s">
        <v>2454</v>
      </c>
      <c r="G2674" s="42" t="s">
        <v>2447</v>
      </c>
      <c r="H2674" s="43"/>
      <c r="I2674" s="43"/>
      <c r="J2674" s="43"/>
      <c r="K2674" s="43"/>
      <c r="L2674" s="43"/>
      <c r="M2674" s="43"/>
      <c r="N2674" s="43"/>
      <c r="O2674" s="43"/>
      <c r="P2674" s="43"/>
      <c r="Q2674" s="43"/>
      <c r="R2674" s="43"/>
      <c r="S2674" s="43"/>
      <c r="T2674" s="43"/>
      <c r="U2674" s="43"/>
      <c r="V2674" s="43"/>
    </row>
    <row r="2675" spans="1:22" ht="15.75" customHeight="1" x14ac:dyDescent="0.2">
      <c r="A2675" s="40">
        <v>753</v>
      </c>
      <c r="B2675" s="41" t="s">
        <v>977</v>
      </c>
      <c r="C2675" s="42" t="s">
        <v>700</v>
      </c>
      <c r="D2675" s="42" t="s">
        <v>522</v>
      </c>
      <c r="E2675" s="42" t="s">
        <v>125</v>
      </c>
      <c r="F2675" s="42" t="s">
        <v>2454</v>
      </c>
      <c r="G2675" s="42" t="s">
        <v>2447</v>
      </c>
      <c r="H2675" s="43"/>
      <c r="I2675" s="43"/>
      <c r="J2675" s="43"/>
      <c r="K2675" s="43"/>
      <c r="L2675" s="43"/>
      <c r="M2675" s="43"/>
      <c r="N2675" s="43"/>
      <c r="O2675" s="43"/>
      <c r="P2675" s="43"/>
      <c r="Q2675" s="43"/>
      <c r="R2675" s="43"/>
      <c r="S2675" s="43"/>
      <c r="T2675" s="43"/>
      <c r="U2675" s="43"/>
      <c r="V2675" s="43"/>
    </row>
    <row r="2676" spans="1:22" ht="15.75" customHeight="1" x14ac:dyDescent="0.2">
      <c r="A2676" s="40">
        <v>1109</v>
      </c>
      <c r="B2676" s="41" t="s">
        <v>1344</v>
      </c>
      <c r="C2676" s="42" t="s">
        <v>2448</v>
      </c>
      <c r="D2676" s="42" t="s">
        <v>511</v>
      </c>
      <c r="E2676" s="42" t="s">
        <v>1065</v>
      </c>
      <c r="F2676" s="42" t="s">
        <v>2454</v>
      </c>
      <c r="G2676" s="42" t="s">
        <v>2447</v>
      </c>
      <c r="H2676" s="43"/>
      <c r="I2676" s="43"/>
      <c r="J2676" s="43"/>
      <c r="K2676" s="43"/>
      <c r="L2676" s="43"/>
      <c r="M2676" s="43"/>
      <c r="N2676" s="43"/>
      <c r="O2676" s="43"/>
      <c r="P2676" s="43"/>
      <c r="Q2676" s="43"/>
      <c r="R2676" s="43"/>
      <c r="S2676" s="43"/>
      <c r="T2676" s="43"/>
      <c r="U2676" s="43"/>
      <c r="V2676" s="43"/>
    </row>
    <row r="2677" spans="1:22" ht="15.75" customHeight="1" x14ac:dyDescent="0.2">
      <c r="A2677" s="40">
        <v>1661</v>
      </c>
      <c r="B2677" s="41" t="s">
        <v>435</v>
      </c>
      <c r="C2677" s="42" t="s">
        <v>2453</v>
      </c>
      <c r="D2677" s="42" t="s">
        <v>992</v>
      </c>
      <c r="E2677" s="42" t="s">
        <v>563</v>
      </c>
      <c r="F2677" s="42" t="s">
        <v>2454</v>
      </c>
      <c r="G2677" s="42" t="s">
        <v>2447</v>
      </c>
      <c r="H2677" s="43"/>
      <c r="I2677" s="43"/>
      <c r="J2677" s="43"/>
      <c r="K2677" s="43"/>
      <c r="L2677" s="43"/>
      <c r="M2677" s="43"/>
      <c r="N2677" s="43"/>
      <c r="O2677" s="43"/>
      <c r="P2677" s="43"/>
      <c r="Q2677" s="43"/>
      <c r="R2677" s="43"/>
      <c r="S2677" s="43"/>
      <c r="T2677" s="43"/>
      <c r="U2677" s="43"/>
      <c r="V2677" s="43"/>
    </row>
    <row r="2678" spans="1:22" ht="15.75" customHeight="1" x14ac:dyDescent="0.2">
      <c r="A2678" s="40">
        <v>1823</v>
      </c>
      <c r="B2678" s="41" t="s">
        <v>439</v>
      </c>
      <c r="C2678" s="42" t="s">
        <v>2448</v>
      </c>
      <c r="D2678" s="42" t="s">
        <v>511</v>
      </c>
      <c r="E2678" s="42" t="s">
        <v>1065</v>
      </c>
      <c r="F2678" s="42" t="s">
        <v>2454</v>
      </c>
      <c r="G2678" s="42" t="s">
        <v>2447</v>
      </c>
      <c r="H2678" s="43"/>
      <c r="I2678" s="43"/>
      <c r="J2678" s="43"/>
      <c r="K2678" s="43"/>
      <c r="L2678" s="43"/>
      <c r="M2678" s="43"/>
      <c r="N2678" s="43"/>
      <c r="O2678" s="43"/>
      <c r="P2678" s="43"/>
      <c r="Q2678" s="43"/>
      <c r="R2678" s="43"/>
      <c r="S2678" s="43"/>
      <c r="T2678" s="43"/>
      <c r="U2678" s="43"/>
      <c r="V2678" s="43"/>
    </row>
    <row r="2679" spans="1:22" ht="15.75" customHeight="1" x14ac:dyDescent="0.2">
      <c r="A2679" s="40">
        <v>1935</v>
      </c>
      <c r="B2679" s="41" t="s">
        <v>278</v>
      </c>
      <c r="C2679" s="42" t="s">
        <v>2453</v>
      </c>
      <c r="D2679" s="42" t="s">
        <v>992</v>
      </c>
      <c r="E2679" s="42" t="s">
        <v>563</v>
      </c>
      <c r="F2679" s="42" t="s">
        <v>2454</v>
      </c>
      <c r="G2679" s="42" t="s">
        <v>2447</v>
      </c>
      <c r="H2679" s="43"/>
      <c r="I2679" s="43"/>
      <c r="J2679" s="43"/>
      <c r="K2679" s="43"/>
      <c r="L2679" s="43"/>
      <c r="M2679" s="43"/>
      <c r="N2679" s="43"/>
      <c r="O2679" s="43"/>
      <c r="P2679" s="43"/>
      <c r="Q2679" s="43"/>
      <c r="R2679" s="43"/>
      <c r="S2679" s="43"/>
      <c r="T2679" s="43"/>
      <c r="U2679" s="43"/>
      <c r="V2679" s="43"/>
    </row>
    <row r="2680" spans="1:22" ht="15.75" customHeight="1" x14ac:dyDescent="0.2">
      <c r="A2680" s="40">
        <v>2205</v>
      </c>
      <c r="B2680" s="41" t="s">
        <v>282</v>
      </c>
      <c r="C2680" s="42" t="s">
        <v>2453</v>
      </c>
      <c r="D2680" s="42" t="s">
        <v>992</v>
      </c>
      <c r="E2680" s="42" t="s">
        <v>563</v>
      </c>
      <c r="F2680" s="42" t="s">
        <v>2454</v>
      </c>
      <c r="G2680" s="42" t="s">
        <v>2447</v>
      </c>
      <c r="H2680" s="43"/>
      <c r="I2680" s="43"/>
      <c r="J2680" s="43"/>
      <c r="K2680" s="43"/>
      <c r="L2680" s="43"/>
      <c r="M2680" s="43"/>
      <c r="N2680" s="43"/>
      <c r="O2680" s="43"/>
      <c r="P2680" s="43"/>
      <c r="Q2680" s="43"/>
      <c r="R2680" s="43"/>
      <c r="S2680" s="43"/>
      <c r="T2680" s="43"/>
      <c r="U2680" s="43"/>
      <c r="V2680" s="43"/>
    </row>
    <row r="2681" spans="1:22" ht="15.75" customHeight="1" x14ac:dyDescent="0.2">
      <c r="A2681" s="40">
        <v>2351</v>
      </c>
      <c r="B2681" s="41" t="s">
        <v>1700</v>
      </c>
      <c r="C2681" s="42" t="s">
        <v>700</v>
      </c>
      <c r="D2681" s="42" t="s">
        <v>522</v>
      </c>
      <c r="E2681" s="42" t="s">
        <v>125</v>
      </c>
      <c r="F2681" s="42" t="s">
        <v>2454</v>
      </c>
      <c r="G2681" s="42" t="s">
        <v>2447</v>
      </c>
      <c r="H2681" s="43"/>
      <c r="I2681" s="43"/>
      <c r="J2681" s="43"/>
      <c r="K2681" s="43"/>
      <c r="L2681" s="43"/>
      <c r="M2681" s="43"/>
      <c r="N2681" s="43"/>
      <c r="O2681" s="43"/>
      <c r="P2681" s="43"/>
      <c r="Q2681" s="43"/>
      <c r="R2681" s="43"/>
      <c r="S2681" s="43"/>
      <c r="T2681" s="43"/>
      <c r="U2681" s="43"/>
      <c r="V2681" s="43"/>
    </row>
    <row r="2682" spans="1:22" ht="15.75" customHeight="1" x14ac:dyDescent="0.2">
      <c r="A2682" s="40"/>
      <c r="B2682" s="45" t="s">
        <v>102</v>
      </c>
      <c r="C2682" s="46" t="s">
        <v>2455</v>
      </c>
      <c r="D2682" s="46" t="s">
        <v>692</v>
      </c>
      <c r="E2682" s="46" t="s">
        <v>596</v>
      </c>
      <c r="F2682" s="46" t="s">
        <v>2454</v>
      </c>
      <c r="G2682" s="46" t="s">
        <v>2447</v>
      </c>
      <c r="H2682" s="43"/>
      <c r="I2682" s="43"/>
      <c r="J2682" s="43"/>
      <c r="K2682" s="43"/>
      <c r="L2682" s="43"/>
      <c r="M2682" s="43"/>
      <c r="N2682" s="43"/>
      <c r="O2682" s="43"/>
      <c r="P2682" s="43"/>
      <c r="Q2682" s="43"/>
      <c r="R2682" s="43"/>
      <c r="S2682" s="43"/>
      <c r="T2682" s="43"/>
      <c r="U2682" s="43"/>
      <c r="V2682" s="43"/>
    </row>
    <row r="2683" spans="1:22" ht="15.75" customHeight="1" x14ac:dyDescent="0.2">
      <c r="A2683" s="40"/>
      <c r="B2683" s="45" t="s">
        <v>303</v>
      </c>
      <c r="C2683" s="46" t="s">
        <v>2455</v>
      </c>
      <c r="D2683" s="46" t="s">
        <v>692</v>
      </c>
      <c r="E2683" s="46" t="s">
        <v>596</v>
      </c>
      <c r="F2683" s="46" t="s">
        <v>2454</v>
      </c>
      <c r="G2683" s="46" t="s">
        <v>2447</v>
      </c>
      <c r="H2683" s="43"/>
      <c r="I2683" s="43"/>
      <c r="J2683" s="43"/>
      <c r="K2683" s="43"/>
      <c r="L2683" s="43"/>
      <c r="M2683" s="43"/>
      <c r="N2683" s="43"/>
      <c r="O2683" s="43"/>
      <c r="P2683" s="43"/>
      <c r="Q2683" s="43"/>
      <c r="R2683" s="43"/>
      <c r="S2683" s="43"/>
      <c r="T2683" s="43"/>
      <c r="U2683" s="43"/>
      <c r="V2683" s="43"/>
    </row>
    <row r="2684" spans="1:22" ht="15.75" customHeight="1" x14ac:dyDescent="0.2">
      <c r="A2684" s="40"/>
      <c r="B2684" s="45" t="s">
        <v>94</v>
      </c>
      <c r="C2684" s="46" t="s">
        <v>2455</v>
      </c>
      <c r="D2684" s="46" t="s">
        <v>692</v>
      </c>
      <c r="E2684" s="46" t="s">
        <v>596</v>
      </c>
      <c r="F2684" s="46" t="s">
        <v>2454</v>
      </c>
      <c r="G2684" s="46" t="s">
        <v>2447</v>
      </c>
      <c r="H2684" s="43"/>
      <c r="I2684" s="43"/>
      <c r="J2684" s="43"/>
      <c r="K2684" s="43"/>
      <c r="L2684" s="43"/>
      <c r="M2684" s="43"/>
      <c r="N2684" s="43"/>
      <c r="O2684" s="43"/>
      <c r="P2684" s="43"/>
      <c r="Q2684" s="43"/>
      <c r="R2684" s="43"/>
      <c r="S2684" s="43"/>
      <c r="T2684" s="43"/>
      <c r="U2684" s="43"/>
      <c r="V2684" s="43"/>
    </row>
    <row r="2685" spans="1:22" ht="15.75" customHeight="1" x14ac:dyDescent="0.2">
      <c r="A2685" s="40"/>
      <c r="B2685" s="45" t="s">
        <v>94</v>
      </c>
      <c r="C2685" s="46" t="s">
        <v>2456</v>
      </c>
      <c r="D2685" s="46" t="s">
        <v>581</v>
      </c>
      <c r="E2685" s="46" t="s">
        <v>255</v>
      </c>
      <c r="F2685" s="46" t="s">
        <v>2454</v>
      </c>
      <c r="G2685" s="46" t="s">
        <v>2447</v>
      </c>
      <c r="H2685" s="43"/>
      <c r="I2685" s="43"/>
      <c r="J2685" s="43"/>
      <c r="K2685" s="43"/>
      <c r="L2685" s="43"/>
      <c r="M2685" s="43"/>
      <c r="N2685" s="43"/>
      <c r="O2685" s="43"/>
      <c r="P2685" s="43"/>
      <c r="Q2685" s="43"/>
      <c r="R2685" s="43"/>
      <c r="S2685" s="43"/>
      <c r="T2685" s="43"/>
      <c r="U2685" s="43"/>
      <c r="V2685" s="43"/>
    </row>
    <row r="2686" spans="1:22" ht="15.75" customHeight="1" x14ac:dyDescent="0.2">
      <c r="A2686" s="40"/>
      <c r="B2686" s="45" t="s">
        <v>94</v>
      </c>
      <c r="C2686" s="46" t="s">
        <v>2410</v>
      </c>
      <c r="D2686" s="46" t="s">
        <v>513</v>
      </c>
      <c r="E2686" s="46" t="s">
        <v>251</v>
      </c>
      <c r="F2686" s="46" t="s">
        <v>2454</v>
      </c>
      <c r="G2686" s="46" t="s">
        <v>2447</v>
      </c>
      <c r="H2686" s="43"/>
      <c r="I2686" s="43"/>
      <c r="J2686" s="43"/>
      <c r="K2686" s="43"/>
      <c r="L2686" s="43"/>
      <c r="M2686" s="43"/>
      <c r="N2686" s="43"/>
      <c r="O2686" s="43"/>
      <c r="P2686" s="43"/>
      <c r="Q2686" s="43"/>
      <c r="R2686" s="43"/>
      <c r="S2686" s="43"/>
      <c r="T2686" s="43"/>
      <c r="U2686" s="43"/>
      <c r="V2686" s="43"/>
    </row>
    <row r="2687" spans="1:22" ht="15.75" customHeight="1" x14ac:dyDescent="0.2">
      <c r="A2687" s="40"/>
      <c r="B2687" s="45" t="s">
        <v>307</v>
      </c>
      <c r="C2687" s="46" t="s">
        <v>2457</v>
      </c>
      <c r="D2687" s="46" t="s">
        <v>730</v>
      </c>
      <c r="E2687" s="46" t="s">
        <v>876</v>
      </c>
      <c r="F2687" s="46" t="s">
        <v>2454</v>
      </c>
      <c r="G2687" s="46" t="s">
        <v>2447</v>
      </c>
      <c r="H2687" s="43"/>
      <c r="I2687" s="43"/>
      <c r="J2687" s="43"/>
      <c r="K2687" s="43"/>
      <c r="L2687" s="43"/>
      <c r="M2687" s="43"/>
      <c r="N2687" s="43"/>
      <c r="O2687" s="43"/>
      <c r="P2687" s="43"/>
      <c r="Q2687" s="43"/>
      <c r="R2687" s="43"/>
      <c r="S2687" s="43"/>
      <c r="T2687" s="43"/>
      <c r="U2687" s="43"/>
      <c r="V2687" s="43"/>
    </row>
    <row r="2688" spans="1:22" ht="15.75" customHeight="1" x14ac:dyDescent="0.2">
      <c r="A2688" s="40"/>
      <c r="B2688" s="45" t="s">
        <v>232</v>
      </c>
      <c r="C2688" s="46" t="s">
        <v>2457</v>
      </c>
      <c r="D2688" s="46" t="s">
        <v>730</v>
      </c>
      <c r="E2688" s="46" t="s">
        <v>876</v>
      </c>
      <c r="F2688" s="46" t="s">
        <v>2454</v>
      </c>
      <c r="G2688" s="46" t="s">
        <v>2447</v>
      </c>
      <c r="H2688" s="43"/>
      <c r="I2688" s="43"/>
      <c r="J2688" s="43"/>
      <c r="K2688" s="43"/>
      <c r="L2688" s="43"/>
      <c r="M2688" s="43"/>
      <c r="N2688" s="43"/>
      <c r="O2688" s="43"/>
      <c r="P2688" s="43"/>
      <c r="Q2688" s="43"/>
      <c r="R2688" s="43"/>
      <c r="S2688" s="43"/>
      <c r="T2688" s="43"/>
      <c r="U2688" s="43"/>
      <c r="V2688" s="43"/>
    </row>
    <row r="2689" spans="1:22" ht="15.75" customHeight="1" x14ac:dyDescent="0.2">
      <c r="A2689" s="40"/>
      <c r="B2689" s="45" t="s">
        <v>108</v>
      </c>
      <c r="C2689" s="46" t="s">
        <v>2457</v>
      </c>
      <c r="D2689" s="46" t="s">
        <v>730</v>
      </c>
      <c r="E2689" s="46" t="s">
        <v>876</v>
      </c>
      <c r="F2689" s="46" t="s">
        <v>2454</v>
      </c>
      <c r="G2689" s="46" t="s">
        <v>2447</v>
      </c>
      <c r="H2689" s="43"/>
      <c r="I2689" s="43"/>
      <c r="J2689" s="43"/>
      <c r="K2689" s="43"/>
      <c r="L2689" s="43"/>
      <c r="M2689" s="43"/>
      <c r="N2689" s="43"/>
      <c r="O2689" s="43"/>
      <c r="P2689" s="43"/>
      <c r="Q2689" s="43"/>
      <c r="R2689" s="43"/>
      <c r="S2689" s="43"/>
      <c r="T2689" s="43"/>
      <c r="U2689" s="43"/>
      <c r="V2689" s="43"/>
    </row>
    <row r="2690" spans="1:22" ht="15.75" customHeight="1" x14ac:dyDescent="0.2">
      <c r="A2690" s="40"/>
      <c r="B2690" s="45" t="s">
        <v>303</v>
      </c>
      <c r="C2690" s="46" t="s">
        <v>2457</v>
      </c>
      <c r="D2690" s="46" t="s">
        <v>730</v>
      </c>
      <c r="E2690" s="46" t="s">
        <v>876</v>
      </c>
      <c r="F2690" s="46" t="s">
        <v>2454</v>
      </c>
      <c r="G2690" s="46" t="s">
        <v>2447</v>
      </c>
      <c r="H2690" s="43"/>
      <c r="I2690" s="43"/>
      <c r="J2690" s="43"/>
      <c r="K2690" s="43"/>
      <c r="L2690" s="43"/>
      <c r="M2690" s="43"/>
      <c r="N2690" s="43"/>
      <c r="O2690" s="43"/>
      <c r="P2690" s="43"/>
      <c r="Q2690" s="43"/>
      <c r="R2690" s="43"/>
      <c r="S2690" s="43"/>
      <c r="T2690" s="43"/>
      <c r="U2690" s="43"/>
      <c r="V2690" s="43"/>
    </row>
    <row r="2691" spans="1:22" ht="15.75" customHeight="1" x14ac:dyDescent="0.2">
      <c r="A2691" s="40"/>
      <c r="B2691" s="45" t="s">
        <v>94</v>
      </c>
      <c r="C2691" s="46" t="s">
        <v>2457</v>
      </c>
      <c r="D2691" s="46" t="s">
        <v>730</v>
      </c>
      <c r="E2691" s="46" t="s">
        <v>876</v>
      </c>
      <c r="F2691" s="46" t="s">
        <v>2454</v>
      </c>
      <c r="G2691" s="46" t="s">
        <v>2447</v>
      </c>
      <c r="H2691" s="43"/>
      <c r="I2691" s="43"/>
      <c r="J2691" s="43"/>
      <c r="K2691" s="43"/>
      <c r="L2691" s="43"/>
      <c r="M2691" s="43"/>
      <c r="N2691" s="43"/>
      <c r="O2691" s="43"/>
      <c r="P2691" s="43"/>
      <c r="Q2691" s="43"/>
      <c r="R2691" s="43"/>
      <c r="S2691" s="43"/>
      <c r="T2691" s="43"/>
      <c r="U2691" s="43"/>
      <c r="V2691" s="43"/>
    </row>
    <row r="2692" spans="1:22" ht="15.75" customHeight="1" x14ac:dyDescent="0.2">
      <c r="A2692" s="40"/>
      <c r="B2692" s="45" t="s">
        <v>122</v>
      </c>
      <c r="C2692" s="46" t="s">
        <v>57</v>
      </c>
      <c r="D2692" s="46" t="s">
        <v>124</v>
      </c>
      <c r="E2692" s="46" t="s">
        <v>79</v>
      </c>
      <c r="F2692" s="46" t="s">
        <v>2458</v>
      </c>
      <c r="G2692" s="46" t="s">
        <v>2447</v>
      </c>
      <c r="H2692" s="43"/>
      <c r="I2692" s="43"/>
      <c r="J2692" s="43"/>
      <c r="K2692" s="43"/>
      <c r="L2692" s="43"/>
      <c r="M2692" s="43"/>
      <c r="N2692" s="43"/>
      <c r="O2692" s="43"/>
      <c r="P2692" s="43"/>
      <c r="Q2692" s="43"/>
      <c r="R2692" s="43"/>
      <c r="S2692" s="43"/>
      <c r="T2692" s="43"/>
      <c r="U2692" s="43"/>
      <c r="V2692" s="43"/>
    </row>
    <row r="2693" spans="1:22" ht="15.75" customHeight="1" x14ac:dyDescent="0.2">
      <c r="A2693" s="40"/>
      <c r="B2693" s="45" t="s">
        <v>126</v>
      </c>
      <c r="C2693" s="46" t="s">
        <v>57</v>
      </c>
      <c r="D2693" s="46" t="s">
        <v>124</v>
      </c>
      <c r="E2693" s="46" t="s">
        <v>79</v>
      </c>
      <c r="F2693" s="46" t="s">
        <v>2458</v>
      </c>
      <c r="G2693" s="46" t="s">
        <v>2447</v>
      </c>
      <c r="H2693" s="43"/>
      <c r="I2693" s="43"/>
      <c r="J2693" s="43"/>
      <c r="K2693" s="43"/>
      <c r="L2693" s="43"/>
      <c r="M2693" s="43"/>
      <c r="N2693" s="43"/>
      <c r="O2693" s="43"/>
      <c r="P2693" s="43"/>
      <c r="Q2693" s="43"/>
      <c r="R2693" s="43"/>
      <c r="S2693" s="43"/>
      <c r="T2693" s="43"/>
      <c r="U2693" s="43"/>
      <c r="V2693" s="43"/>
    </row>
    <row r="2694" spans="1:22" ht="15.75" customHeight="1" x14ac:dyDescent="0.2">
      <c r="A2694" s="40"/>
      <c r="B2694" s="45" t="s">
        <v>94</v>
      </c>
      <c r="C2694" s="46" t="s">
        <v>57</v>
      </c>
      <c r="D2694" s="46" t="s">
        <v>124</v>
      </c>
      <c r="E2694" s="46" t="s">
        <v>79</v>
      </c>
      <c r="F2694" s="46" t="s">
        <v>2458</v>
      </c>
      <c r="G2694" s="46" t="s">
        <v>2447</v>
      </c>
      <c r="H2694" s="43"/>
      <c r="I2694" s="43"/>
      <c r="J2694" s="43"/>
      <c r="K2694" s="43"/>
      <c r="L2694" s="43"/>
      <c r="M2694" s="43"/>
      <c r="N2694" s="43"/>
      <c r="O2694" s="43"/>
      <c r="P2694" s="43"/>
      <c r="Q2694" s="43"/>
      <c r="R2694" s="43"/>
      <c r="S2694" s="43"/>
      <c r="T2694" s="43"/>
      <c r="U2694" s="43"/>
      <c r="V2694" s="43"/>
    </row>
    <row r="2695" spans="1:22" ht="15.75" customHeight="1" x14ac:dyDescent="0.2">
      <c r="A2695" s="40">
        <v>621</v>
      </c>
      <c r="B2695" s="41" t="s">
        <v>428</v>
      </c>
      <c r="C2695" s="42" t="s">
        <v>2459</v>
      </c>
      <c r="D2695" s="42" t="s">
        <v>526</v>
      </c>
      <c r="E2695" s="42" t="s">
        <v>259</v>
      </c>
      <c r="F2695" s="42" t="s">
        <v>2458</v>
      </c>
      <c r="G2695" s="42" t="s">
        <v>2447</v>
      </c>
      <c r="H2695" s="43"/>
      <c r="I2695" s="43"/>
      <c r="J2695" s="43"/>
      <c r="K2695" s="43"/>
      <c r="L2695" s="43"/>
      <c r="M2695" s="43"/>
      <c r="N2695" s="43"/>
      <c r="O2695" s="43"/>
      <c r="P2695" s="43"/>
      <c r="Q2695" s="43"/>
      <c r="R2695" s="43"/>
      <c r="S2695" s="43"/>
      <c r="T2695" s="43"/>
      <c r="U2695" s="43"/>
      <c r="V2695" s="43"/>
    </row>
    <row r="2696" spans="1:22" ht="15.75" customHeight="1" x14ac:dyDescent="0.2">
      <c r="A2696" s="40">
        <v>1517</v>
      </c>
      <c r="B2696" s="41" t="s">
        <v>262</v>
      </c>
      <c r="C2696" s="42" t="s">
        <v>2459</v>
      </c>
      <c r="D2696" s="42" t="s">
        <v>526</v>
      </c>
      <c r="E2696" s="42" t="s">
        <v>259</v>
      </c>
      <c r="F2696" s="42" t="s">
        <v>2458</v>
      </c>
      <c r="G2696" s="42" t="s">
        <v>2447</v>
      </c>
      <c r="H2696" s="43"/>
      <c r="I2696" s="43"/>
      <c r="J2696" s="43"/>
      <c r="K2696" s="43"/>
      <c r="L2696" s="43"/>
      <c r="M2696" s="43"/>
      <c r="N2696" s="43"/>
      <c r="O2696" s="43"/>
      <c r="P2696" s="43"/>
      <c r="Q2696" s="43"/>
      <c r="R2696" s="43"/>
      <c r="S2696" s="43"/>
      <c r="T2696" s="43"/>
      <c r="U2696" s="43"/>
      <c r="V2696" s="43"/>
    </row>
    <row r="2697" spans="1:22" ht="15.75" customHeight="1" x14ac:dyDescent="0.2">
      <c r="A2697" s="40">
        <v>1983</v>
      </c>
      <c r="B2697" s="41" t="s">
        <v>279</v>
      </c>
      <c r="C2697" s="42" t="s">
        <v>2459</v>
      </c>
      <c r="D2697" s="42" t="s">
        <v>526</v>
      </c>
      <c r="E2697" s="42" t="s">
        <v>259</v>
      </c>
      <c r="F2697" s="42" t="s">
        <v>2458</v>
      </c>
      <c r="G2697" s="42" t="s">
        <v>2447</v>
      </c>
      <c r="H2697" s="43"/>
      <c r="I2697" s="43"/>
      <c r="J2697" s="43"/>
      <c r="K2697" s="43"/>
      <c r="L2697" s="43"/>
      <c r="M2697" s="43"/>
      <c r="N2697" s="43"/>
      <c r="O2697" s="43"/>
      <c r="P2697" s="43"/>
      <c r="Q2697" s="43"/>
      <c r="R2697" s="43"/>
      <c r="S2697" s="43"/>
      <c r="T2697" s="43"/>
      <c r="U2697" s="43"/>
      <c r="V2697" s="43"/>
    </row>
    <row r="2698" spans="1:22" ht="15.75" customHeight="1" x14ac:dyDescent="0.2">
      <c r="A2698" s="40">
        <v>267</v>
      </c>
      <c r="B2698" s="41" t="s">
        <v>243</v>
      </c>
      <c r="C2698" s="42" t="s">
        <v>2119</v>
      </c>
      <c r="D2698" s="42" t="s">
        <v>1041</v>
      </c>
      <c r="E2698" s="42" t="s">
        <v>125</v>
      </c>
      <c r="F2698" s="42" t="s">
        <v>2458</v>
      </c>
      <c r="G2698" s="42" t="s">
        <v>2447</v>
      </c>
      <c r="H2698" s="43"/>
      <c r="I2698" s="43"/>
      <c r="J2698" s="43"/>
      <c r="K2698" s="43"/>
      <c r="L2698" s="43"/>
      <c r="M2698" s="43"/>
      <c r="N2698" s="43"/>
      <c r="O2698" s="43"/>
      <c r="P2698" s="43"/>
      <c r="Q2698" s="43"/>
      <c r="R2698" s="43"/>
      <c r="S2698" s="43"/>
      <c r="T2698" s="43"/>
      <c r="U2698" s="43"/>
      <c r="V2698" s="43"/>
    </row>
    <row r="2699" spans="1:22" ht="15.75" customHeight="1" x14ac:dyDescent="0.2">
      <c r="A2699" s="40">
        <v>1257</v>
      </c>
      <c r="B2699" s="41" t="s">
        <v>699</v>
      </c>
      <c r="C2699" s="42" t="s">
        <v>2119</v>
      </c>
      <c r="D2699" s="42" t="s">
        <v>1041</v>
      </c>
      <c r="E2699" s="42" t="s">
        <v>125</v>
      </c>
      <c r="F2699" s="42" t="s">
        <v>2458</v>
      </c>
      <c r="G2699" s="42" t="s">
        <v>2447</v>
      </c>
      <c r="H2699" s="43"/>
      <c r="I2699" s="43"/>
      <c r="J2699" s="43"/>
      <c r="K2699" s="43"/>
      <c r="L2699" s="43"/>
      <c r="M2699" s="43"/>
      <c r="N2699" s="43"/>
      <c r="O2699" s="43"/>
      <c r="P2699" s="43"/>
      <c r="Q2699" s="43"/>
      <c r="R2699" s="43"/>
      <c r="S2699" s="43"/>
      <c r="T2699" s="43"/>
      <c r="U2699" s="43"/>
      <c r="V2699" s="43"/>
    </row>
    <row r="2700" spans="1:22" ht="15.75" customHeight="1" x14ac:dyDescent="0.2">
      <c r="A2700" s="40">
        <v>2637</v>
      </c>
      <c r="B2700" s="41" t="s">
        <v>702</v>
      </c>
      <c r="C2700" s="42" t="s">
        <v>2119</v>
      </c>
      <c r="D2700" s="42" t="s">
        <v>2461</v>
      </c>
      <c r="E2700" s="42" t="s">
        <v>125</v>
      </c>
      <c r="F2700" s="42" t="s">
        <v>2458</v>
      </c>
      <c r="G2700" s="42" t="s">
        <v>2447</v>
      </c>
      <c r="H2700" s="43"/>
      <c r="I2700" s="43"/>
      <c r="J2700" s="43"/>
      <c r="K2700" s="43"/>
      <c r="L2700" s="43"/>
      <c r="M2700" s="43"/>
      <c r="N2700" s="43"/>
      <c r="O2700" s="43"/>
      <c r="P2700" s="43"/>
      <c r="Q2700" s="43"/>
      <c r="R2700" s="43"/>
      <c r="S2700" s="43"/>
      <c r="T2700" s="43"/>
      <c r="U2700" s="43"/>
      <c r="V2700" s="43"/>
    </row>
    <row r="2701" spans="1:22" ht="15.75" customHeight="1" x14ac:dyDescent="0.2">
      <c r="A2701" s="40">
        <v>2755</v>
      </c>
      <c r="B2701" s="41" t="s">
        <v>944</v>
      </c>
      <c r="C2701" s="42" t="s">
        <v>2119</v>
      </c>
      <c r="D2701" s="42" t="s">
        <v>2461</v>
      </c>
      <c r="E2701" s="42" t="s">
        <v>125</v>
      </c>
      <c r="F2701" s="42" t="s">
        <v>2458</v>
      </c>
      <c r="G2701" s="42" t="s">
        <v>2447</v>
      </c>
      <c r="H2701" s="43"/>
      <c r="I2701" s="43"/>
      <c r="J2701" s="43"/>
      <c r="K2701" s="43"/>
      <c r="L2701" s="43"/>
      <c r="M2701" s="43"/>
      <c r="N2701" s="43"/>
      <c r="O2701" s="43"/>
      <c r="P2701" s="43"/>
      <c r="Q2701" s="43"/>
      <c r="R2701" s="43"/>
      <c r="S2701" s="43"/>
      <c r="T2701" s="43"/>
      <c r="U2701" s="43"/>
      <c r="V2701" s="43"/>
    </row>
    <row r="2702" spans="1:22" ht="15.75" customHeight="1" x14ac:dyDescent="0.2">
      <c r="A2702" s="40">
        <v>2933</v>
      </c>
      <c r="B2702" s="41" t="s">
        <v>722</v>
      </c>
      <c r="C2702" s="42" t="s">
        <v>2119</v>
      </c>
      <c r="D2702" s="42" t="s">
        <v>1041</v>
      </c>
      <c r="E2702" s="42" t="s">
        <v>125</v>
      </c>
      <c r="F2702" s="42" t="s">
        <v>2458</v>
      </c>
      <c r="G2702" s="42" t="s">
        <v>2447</v>
      </c>
      <c r="H2702" s="43"/>
      <c r="I2702" s="43"/>
      <c r="J2702" s="43"/>
      <c r="K2702" s="43"/>
      <c r="L2702" s="43"/>
      <c r="M2702" s="43"/>
      <c r="N2702" s="43"/>
      <c r="O2702" s="43"/>
      <c r="P2702" s="43"/>
      <c r="Q2702" s="43"/>
      <c r="R2702" s="43"/>
      <c r="S2702" s="43"/>
      <c r="T2702" s="43"/>
      <c r="U2702" s="43"/>
      <c r="V2702" s="43"/>
    </row>
    <row r="2703" spans="1:22" ht="15.75" customHeight="1" x14ac:dyDescent="0.2">
      <c r="A2703" s="40">
        <v>407</v>
      </c>
      <c r="B2703" s="41" t="s">
        <v>1299</v>
      </c>
      <c r="C2703" s="42" t="s">
        <v>2462</v>
      </c>
      <c r="D2703" s="42" t="s">
        <v>183</v>
      </c>
      <c r="E2703" s="42" t="s">
        <v>87</v>
      </c>
      <c r="F2703" s="42" t="s">
        <v>2463</v>
      </c>
      <c r="G2703" s="42" t="s">
        <v>2447</v>
      </c>
      <c r="H2703" s="43"/>
      <c r="I2703" s="43"/>
      <c r="J2703" s="43"/>
      <c r="K2703" s="43"/>
      <c r="L2703" s="43"/>
      <c r="M2703" s="43"/>
      <c r="N2703" s="43"/>
      <c r="O2703" s="43"/>
      <c r="P2703" s="43"/>
      <c r="Q2703" s="43"/>
      <c r="R2703" s="43"/>
      <c r="S2703" s="43"/>
      <c r="T2703" s="43"/>
      <c r="U2703" s="43"/>
      <c r="V2703" s="43"/>
    </row>
    <row r="2704" spans="1:22" ht="15.75" customHeight="1" x14ac:dyDescent="0.2">
      <c r="A2704" s="40">
        <v>1601</v>
      </c>
      <c r="B2704" s="41" t="s">
        <v>264</v>
      </c>
      <c r="C2704" s="42" t="s">
        <v>2462</v>
      </c>
      <c r="D2704" s="42" t="s">
        <v>183</v>
      </c>
      <c r="E2704" s="42" t="s">
        <v>87</v>
      </c>
      <c r="F2704" s="42" t="s">
        <v>2463</v>
      </c>
      <c r="G2704" s="42" t="s">
        <v>2447</v>
      </c>
      <c r="H2704" s="43"/>
      <c r="I2704" s="43"/>
      <c r="J2704" s="43"/>
      <c r="K2704" s="43"/>
      <c r="L2704" s="43"/>
      <c r="M2704" s="43"/>
      <c r="N2704" s="43"/>
      <c r="O2704" s="43"/>
      <c r="P2704" s="43"/>
      <c r="Q2704" s="43"/>
      <c r="R2704" s="43"/>
      <c r="S2704" s="43"/>
      <c r="T2704" s="43"/>
      <c r="U2704" s="43"/>
      <c r="V2704" s="43"/>
    </row>
    <row r="2705" spans="1:22" ht="15.75" customHeight="1" x14ac:dyDescent="0.2">
      <c r="A2705" s="40">
        <v>2773</v>
      </c>
      <c r="B2705" s="41" t="s">
        <v>623</v>
      </c>
      <c r="C2705" s="42" t="s">
        <v>2462</v>
      </c>
      <c r="D2705" s="42" t="s">
        <v>183</v>
      </c>
      <c r="E2705" s="42" t="s">
        <v>87</v>
      </c>
      <c r="F2705" s="42" t="s">
        <v>2463</v>
      </c>
      <c r="G2705" s="42" t="s">
        <v>2447</v>
      </c>
      <c r="H2705" s="43"/>
      <c r="I2705" s="43"/>
      <c r="J2705" s="43"/>
      <c r="K2705" s="43"/>
      <c r="L2705" s="43"/>
      <c r="M2705" s="43"/>
      <c r="N2705" s="43"/>
      <c r="O2705" s="43"/>
      <c r="P2705" s="43"/>
      <c r="Q2705" s="43"/>
      <c r="R2705" s="43"/>
      <c r="S2705" s="43"/>
      <c r="T2705" s="43"/>
      <c r="U2705" s="43"/>
      <c r="V2705" s="43"/>
    </row>
    <row r="2706" spans="1:22" ht="15.75" customHeight="1" x14ac:dyDescent="0.2">
      <c r="A2706" s="40">
        <v>1389</v>
      </c>
      <c r="B2706" s="41" t="s">
        <v>601</v>
      </c>
      <c r="C2706" s="42" t="s">
        <v>2464</v>
      </c>
      <c r="D2706" s="42" t="s">
        <v>128</v>
      </c>
      <c r="E2706" s="42" t="s">
        <v>40</v>
      </c>
      <c r="F2706" s="42" t="s">
        <v>2463</v>
      </c>
      <c r="G2706" s="42" t="s">
        <v>2447</v>
      </c>
      <c r="H2706" s="43"/>
      <c r="I2706" s="43"/>
      <c r="J2706" s="43"/>
      <c r="K2706" s="43"/>
      <c r="L2706" s="43"/>
      <c r="M2706" s="43"/>
      <c r="N2706" s="43"/>
      <c r="O2706" s="43"/>
      <c r="P2706" s="43"/>
      <c r="Q2706" s="43"/>
      <c r="R2706" s="43"/>
      <c r="S2706" s="43"/>
      <c r="T2706" s="43"/>
      <c r="U2706" s="43"/>
      <c r="V2706" s="43"/>
    </row>
    <row r="2707" spans="1:22" ht="15.75" customHeight="1" x14ac:dyDescent="0.2">
      <c r="A2707" s="40">
        <v>1887</v>
      </c>
      <c r="B2707" s="41" t="s">
        <v>711</v>
      </c>
      <c r="C2707" s="42" t="s">
        <v>2464</v>
      </c>
      <c r="D2707" s="42" t="s">
        <v>128</v>
      </c>
      <c r="E2707" s="42" t="s">
        <v>40</v>
      </c>
      <c r="F2707" s="42" t="s">
        <v>2463</v>
      </c>
      <c r="G2707" s="42" t="s">
        <v>2447</v>
      </c>
      <c r="H2707" s="43"/>
      <c r="I2707" s="43"/>
      <c r="J2707" s="43"/>
      <c r="K2707" s="43"/>
      <c r="L2707" s="43"/>
      <c r="M2707" s="43"/>
      <c r="N2707" s="43"/>
      <c r="O2707" s="43"/>
      <c r="P2707" s="43"/>
      <c r="Q2707" s="43"/>
      <c r="R2707" s="43"/>
      <c r="S2707" s="43"/>
      <c r="T2707" s="43"/>
      <c r="U2707" s="43"/>
      <c r="V2707" s="43"/>
    </row>
    <row r="2708" spans="1:22" ht="15.75" customHeight="1" x14ac:dyDescent="0.2">
      <c r="A2708" s="40">
        <v>277</v>
      </c>
      <c r="B2708" s="41" t="s">
        <v>628</v>
      </c>
      <c r="C2708" s="42" t="s">
        <v>811</v>
      </c>
      <c r="D2708" s="42" t="s">
        <v>1858</v>
      </c>
      <c r="E2708" s="42" t="s">
        <v>40</v>
      </c>
      <c r="F2708" s="42" t="s">
        <v>2463</v>
      </c>
      <c r="G2708" s="42" t="s">
        <v>2447</v>
      </c>
      <c r="H2708" s="43"/>
      <c r="I2708" s="43"/>
      <c r="J2708" s="43"/>
      <c r="K2708" s="43"/>
      <c r="L2708" s="43"/>
      <c r="M2708" s="43"/>
      <c r="N2708" s="43"/>
      <c r="O2708" s="43"/>
      <c r="P2708" s="43"/>
      <c r="Q2708" s="43"/>
      <c r="R2708" s="43"/>
      <c r="S2708" s="43"/>
      <c r="T2708" s="43"/>
      <c r="U2708" s="43"/>
      <c r="V2708" s="43"/>
    </row>
    <row r="2709" spans="1:22" ht="15.75" customHeight="1" x14ac:dyDescent="0.2">
      <c r="A2709" s="40">
        <v>1315</v>
      </c>
      <c r="B2709" s="41" t="s">
        <v>936</v>
      </c>
      <c r="C2709" s="42" t="s">
        <v>811</v>
      </c>
      <c r="D2709" s="42" t="s">
        <v>1858</v>
      </c>
      <c r="E2709" s="42" t="s">
        <v>40</v>
      </c>
      <c r="F2709" s="42" t="s">
        <v>2463</v>
      </c>
      <c r="G2709" s="42" t="s">
        <v>2447</v>
      </c>
      <c r="H2709" s="43"/>
      <c r="I2709" s="43"/>
      <c r="J2709" s="43"/>
      <c r="K2709" s="43"/>
      <c r="L2709" s="43"/>
      <c r="M2709" s="43"/>
      <c r="N2709" s="43"/>
      <c r="O2709" s="43"/>
      <c r="P2709" s="43"/>
      <c r="Q2709" s="43"/>
      <c r="R2709" s="43"/>
      <c r="S2709" s="43"/>
      <c r="T2709" s="43"/>
      <c r="U2709" s="43"/>
      <c r="V2709" s="43"/>
    </row>
    <row r="2710" spans="1:22" ht="15.75" customHeight="1" x14ac:dyDescent="0.2">
      <c r="A2710" s="40">
        <v>1803</v>
      </c>
      <c r="B2710" s="41" t="s">
        <v>276</v>
      </c>
      <c r="C2710" s="42" t="s">
        <v>811</v>
      </c>
      <c r="D2710" s="42" t="s">
        <v>1858</v>
      </c>
      <c r="E2710" s="42" t="s">
        <v>40</v>
      </c>
      <c r="F2710" s="42" t="s">
        <v>2463</v>
      </c>
      <c r="G2710" s="42" t="s">
        <v>2447</v>
      </c>
      <c r="H2710" s="43"/>
      <c r="I2710" s="43"/>
      <c r="J2710" s="43"/>
      <c r="K2710" s="43"/>
      <c r="L2710" s="43"/>
      <c r="M2710" s="43"/>
      <c r="N2710" s="43"/>
      <c r="O2710" s="43"/>
      <c r="P2710" s="43"/>
      <c r="Q2710" s="43"/>
      <c r="R2710" s="43"/>
      <c r="S2710" s="43"/>
      <c r="T2710" s="43"/>
      <c r="U2710" s="43"/>
      <c r="V2710" s="43"/>
    </row>
    <row r="2711" spans="1:22" ht="15.75" customHeight="1" x14ac:dyDescent="0.2">
      <c r="A2711" s="40">
        <v>1273</v>
      </c>
      <c r="B2711" s="41" t="s">
        <v>453</v>
      </c>
      <c r="C2711" s="42" t="s">
        <v>2465</v>
      </c>
      <c r="D2711" s="42" t="s">
        <v>339</v>
      </c>
      <c r="E2711" s="42" t="s">
        <v>32</v>
      </c>
      <c r="F2711" s="42" t="s">
        <v>2463</v>
      </c>
      <c r="G2711" s="42" t="s">
        <v>2447</v>
      </c>
      <c r="H2711" s="43"/>
      <c r="I2711" s="43"/>
      <c r="J2711" s="43"/>
      <c r="K2711" s="43"/>
      <c r="L2711" s="43"/>
      <c r="M2711" s="43"/>
      <c r="N2711" s="43"/>
      <c r="O2711" s="43"/>
      <c r="P2711" s="43"/>
      <c r="Q2711" s="43"/>
      <c r="R2711" s="43"/>
      <c r="S2711" s="43"/>
      <c r="T2711" s="43"/>
      <c r="U2711" s="43"/>
      <c r="V2711" s="43"/>
    </row>
    <row r="2712" spans="1:22" ht="15.75" customHeight="1" x14ac:dyDescent="0.2">
      <c r="A2712" s="40">
        <v>1781</v>
      </c>
      <c r="B2712" s="41" t="s">
        <v>442</v>
      </c>
      <c r="C2712" s="42" t="s">
        <v>2465</v>
      </c>
      <c r="D2712" s="42" t="s">
        <v>339</v>
      </c>
      <c r="E2712" s="42" t="s">
        <v>32</v>
      </c>
      <c r="F2712" s="42" t="s">
        <v>2463</v>
      </c>
      <c r="G2712" s="42" t="s">
        <v>2447</v>
      </c>
      <c r="H2712" s="43"/>
      <c r="I2712" s="43"/>
      <c r="J2712" s="43"/>
      <c r="K2712" s="43"/>
      <c r="L2712" s="43"/>
      <c r="M2712" s="43"/>
      <c r="N2712" s="43"/>
      <c r="O2712" s="43"/>
      <c r="P2712" s="43"/>
      <c r="Q2712" s="43"/>
      <c r="R2712" s="43"/>
      <c r="S2712" s="43"/>
      <c r="T2712" s="43"/>
      <c r="U2712" s="43"/>
      <c r="V2712" s="43"/>
    </row>
    <row r="2713" spans="1:22" ht="15.75" customHeight="1" x14ac:dyDescent="0.2">
      <c r="A2713" s="40">
        <v>2113</v>
      </c>
      <c r="B2713" s="41" t="s">
        <v>280</v>
      </c>
      <c r="C2713" s="42" t="s">
        <v>2465</v>
      </c>
      <c r="D2713" s="42" t="s">
        <v>339</v>
      </c>
      <c r="E2713" s="42" t="s">
        <v>32</v>
      </c>
      <c r="F2713" s="42" t="s">
        <v>2463</v>
      </c>
      <c r="G2713" s="42" t="s">
        <v>2447</v>
      </c>
      <c r="H2713" s="43"/>
      <c r="I2713" s="43"/>
      <c r="J2713" s="43"/>
      <c r="K2713" s="43"/>
      <c r="L2713" s="43"/>
      <c r="M2713" s="43"/>
      <c r="N2713" s="43"/>
      <c r="O2713" s="43"/>
      <c r="P2713" s="43"/>
      <c r="Q2713" s="43"/>
      <c r="R2713" s="43"/>
      <c r="S2713" s="43"/>
      <c r="T2713" s="43"/>
      <c r="U2713" s="43"/>
      <c r="V2713" s="43"/>
    </row>
    <row r="2714" spans="1:22" ht="15.75" customHeight="1" x14ac:dyDescent="0.2">
      <c r="A2714" s="40">
        <v>381</v>
      </c>
      <c r="B2714" s="41" t="s">
        <v>246</v>
      </c>
      <c r="C2714" s="42" t="s">
        <v>57</v>
      </c>
      <c r="D2714" s="42" t="s">
        <v>1369</v>
      </c>
      <c r="E2714" s="42" t="s">
        <v>40</v>
      </c>
      <c r="F2714" s="42" t="s">
        <v>2463</v>
      </c>
      <c r="G2714" s="42" t="s">
        <v>2447</v>
      </c>
      <c r="H2714" s="43"/>
      <c r="I2714" s="43"/>
      <c r="J2714" s="43"/>
      <c r="K2714" s="43"/>
      <c r="L2714" s="43"/>
      <c r="M2714" s="43"/>
      <c r="N2714" s="43"/>
      <c r="O2714" s="43"/>
      <c r="P2714" s="43"/>
      <c r="Q2714" s="43"/>
      <c r="R2714" s="43"/>
      <c r="S2714" s="43"/>
      <c r="T2714" s="43"/>
      <c r="U2714" s="43"/>
      <c r="V2714" s="43"/>
    </row>
    <row r="2715" spans="1:22" ht="15.75" customHeight="1" x14ac:dyDescent="0.2">
      <c r="A2715" s="40">
        <v>1369</v>
      </c>
      <c r="B2715" s="41" t="s">
        <v>601</v>
      </c>
      <c r="C2715" s="42" t="s">
        <v>57</v>
      </c>
      <c r="D2715" s="42" t="s">
        <v>1369</v>
      </c>
      <c r="E2715" s="42" t="s">
        <v>40</v>
      </c>
      <c r="F2715" s="42" t="s">
        <v>2463</v>
      </c>
      <c r="G2715" s="42" t="s">
        <v>2447</v>
      </c>
      <c r="H2715" s="43"/>
      <c r="I2715" s="43"/>
      <c r="J2715" s="43"/>
      <c r="K2715" s="43"/>
      <c r="L2715" s="43"/>
      <c r="M2715" s="43"/>
      <c r="N2715" s="43"/>
      <c r="O2715" s="43"/>
      <c r="P2715" s="43"/>
      <c r="Q2715" s="43"/>
      <c r="R2715" s="43"/>
      <c r="S2715" s="43"/>
      <c r="T2715" s="43"/>
      <c r="U2715" s="43"/>
      <c r="V2715" s="43"/>
    </row>
    <row r="2716" spans="1:22" ht="15.75" customHeight="1" x14ac:dyDescent="0.2">
      <c r="A2716" s="40">
        <v>1857</v>
      </c>
      <c r="B2716" s="41" t="s">
        <v>604</v>
      </c>
      <c r="C2716" s="42" t="s">
        <v>57</v>
      </c>
      <c r="D2716" s="42" t="s">
        <v>1369</v>
      </c>
      <c r="E2716" s="42" t="s">
        <v>40</v>
      </c>
      <c r="F2716" s="42" t="s">
        <v>2463</v>
      </c>
      <c r="G2716" s="42" t="s">
        <v>2447</v>
      </c>
      <c r="H2716" s="43"/>
      <c r="I2716" s="43"/>
      <c r="J2716" s="43"/>
      <c r="K2716" s="43"/>
      <c r="L2716" s="43"/>
      <c r="M2716" s="43"/>
      <c r="N2716" s="43"/>
      <c r="O2716" s="43"/>
      <c r="P2716" s="43"/>
      <c r="Q2716" s="43"/>
      <c r="R2716" s="43"/>
      <c r="S2716" s="43"/>
      <c r="T2716" s="43"/>
      <c r="U2716" s="43"/>
      <c r="V2716" s="43"/>
    </row>
    <row r="2717" spans="1:22" ht="15.75" customHeight="1" x14ac:dyDescent="0.2">
      <c r="A2717" s="40">
        <v>537</v>
      </c>
      <c r="B2717" s="41" t="s">
        <v>678</v>
      </c>
      <c r="C2717" s="42" t="s">
        <v>1444</v>
      </c>
      <c r="D2717" s="42" t="s">
        <v>171</v>
      </c>
      <c r="E2717" s="42" t="s">
        <v>357</v>
      </c>
      <c r="F2717" s="42" t="s">
        <v>2463</v>
      </c>
      <c r="G2717" s="42" t="s">
        <v>2447</v>
      </c>
      <c r="H2717" s="43"/>
      <c r="I2717" s="43"/>
      <c r="J2717" s="43"/>
      <c r="K2717" s="43"/>
      <c r="L2717" s="43"/>
      <c r="M2717" s="43"/>
      <c r="N2717" s="43"/>
      <c r="O2717" s="43"/>
      <c r="P2717" s="43"/>
      <c r="Q2717" s="43"/>
      <c r="R2717" s="43"/>
      <c r="S2717" s="43"/>
      <c r="T2717" s="43"/>
      <c r="U2717" s="43"/>
      <c r="V2717" s="43"/>
    </row>
    <row r="2718" spans="1:22" ht="15.75" customHeight="1" x14ac:dyDescent="0.2">
      <c r="A2718" s="40">
        <v>1117</v>
      </c>
      <c r="B2718" s="41" t="s">
        <v>1344</v>
      </c>
      <c r="C2718" s="42" t="s">
        <v>1444</v>
      </c>
      <c r="D2718" s="42" t="s">
        <v>171</v>
      </c>
      <c r="E2718" s="42" t="s">
        <v>357</v>
      </c>
      <c r="F2718" s="42" t="s">
        <v>2463</v>
      </c>
      <c r="G2718" s="42" t="s">
        <v>2447</v>
      </c>
      <c r="H2718" s="43"/>
      <c r="I2718" s="43"/>
      <c r="J2718" s="43"/>
      <c r="K2718" s="43"/>
      <c r="L2718" s="43"/>
      <c r="M2718" s="43"/>
      <c r="N2718" s="43"/>
      <c r="O2718" s="43"/>
      <c r="P2718" s="43"/>
      <c r="Q2718" s="43"/>
      <c r="R2718" s="43"/>
      <c r="S2718" s="43"/>
      <c r="T2718" s="43"/>
      <c r="U2718" s="43"/>
      <c r="V2718" s="43"/>
    </row>
    <row r="2719" spans="1:22" ht="15.75" customHeight="1" x14ac:dyDescent="0.2">
      <c r="A2719" s="40">
        <v>1551</v>
      </c>
      <c r="B2719" s="41" t="s">
        <v>377</v>
      </c>
      <c r="C2719" s="42" t="s">
        <v>1444</v>
      </c>
      <c r="D2719" s="42" t="s">
        <v>513</v>
      </c>
      <c r="E2719" s="42" t="s">
        <v>18</v>
      </c>
      <c r="F2719" s="42" t="s">
        <v>2463</v>
      </c>
      <c r="G2719" s="42" t="s">
        <v>2447</v>
      </c>
      <c r="H2719" s="43"/>
      <c r="I2719" s="43"/>
      <c r="J2719" s="43"/>
      <c r="K2719" s="43"/>
      <c r="L2719" s="43"/>
      <c r="M2719" s="43"/>
      <c r="N2719" s="43"/>
      <c r="O2719" s="43"/>
      <c r="P2719" s="43"/>
      <c r="Q2719" s="43"/>
      <c r="R2719" s="43"/>
      <c r="S2719" s="43"/>
      <c r="T2719" s="43"/>
      <c r="U2719" s="43"/>
      <c r="V2719" s="43"/>
    </row>
    <row r="2720" spans="1:22" ht="15.75" customHeight="1" x14ac:dyDescent="0.2">
      <c r="A2720" s="40">
        <v>1831</v>
      </c>
      <c r="B2720" s="41" t="s">
        <v>439</v>
      </c>
      <c r="C2720" s="42" t="s">
        <v>1444</v>
      </c>
      <c r="D2720" s="42" t="s">
        <v>171</v>
      </c>
      <c r="E2720" s="42" t="s">
        <v>357</v>
      </c>
      <c r="F2720" s="42" t="s">
        <v>2463</v>
      </c>
      <c r="G2720" s="42" t="s">
        <v>2447</v>
      </c>
      <c r="H2720" s="43"/>
      <c r="I2720" s="43"/>
      <c r="J2720" s="43"/>
      <c r="K2720" s="43"/>
      <c r="L2720" s="43"/>
      <c r="M2720" s="43"/>
      <c r="N2720" s="43"/>
      <c r="O2720" s="43"/>
      <c r="P2720" s="43"/>
      <c r="Q2720" s="43"/>
      <c r="R2720" s="43"/>
      <c r="S2720" s="43"/>
      <c r="T2720" s="43"/>
      <c r="U2720" s="43"/>
      <c r="V2720" s="43"/>
    </row>
    <row r="2721" spans="1:22" ht="15.75" customHeight="1" x14ac:dyDescent="0.2">
      <c r="A2721" s="40">
        <v>2335</v>
      </c>
      <c r="B2721" s="41" t="s">
        <v>285</v>
      </c>
      <c r="C2721" s="42" t="s">
        <v>1444</v>
      </c>
      <c r="D2721" s="42" t="s">
        <v>513</v>
      </c>
      <c r="E2721" s="42" t="s">
        <v>18</v>
      </c>
      <c r="F2721" s="42" t="s">
        <v>2463</v>
      </c>
      <c r="G2721" s="42" t="s">
        <v>2447</v>
      </c>
      <c r="H2721" s="43"/>
      <c r="I2721" s="43"/>
      <c r="J2721" s="43"/>
      <c r="K2721" s="43"/>
      <c r="L2721" s="43"/>
      <c r="M2721" s="43"/>
      <c r="N2721" s="43"/>
      <c r="O2721" s="43"/>
      <c r="P2721" s="43"/>
      <c r="Q2721" s="43"/>
      <c r="R2721" s="43"/>
      <c r="S2721" s="43"/>
      <c r="T2721" s="43"/>
      <c r="U2721" s="43"/>
      <c r="V2721" s="43"/>
    </row>
    <row r="2722" spans="1:22" ht="15.75" customHeight="1" x14ac:dyDescent="0.2">
      <c r="A2722" s="40">
        <v>2585</v>
      </c>
      <c r="B2722" s="41" t="s">
        <v>287</v>
      </c>
      <c r="C2722" s="42" t="s">
        <v>1444</v>
      </c>
      <c r="D2722" s="42" t="s">
        <v>513</v>
      </c>
      <c r="E2722" s="42" t="s">
        <v>18</v>
      </c>
      <c r="F2722" s="42" t="s">
        <v>2463</v>
      </c>
      <c r="G2722" s="42" t="s">
        <v>2447</v>
      </c>
      <c r="H2722" s="43"/>
      <c r="I2722" s="43"/>
      <c r="J2722" s="43"/>
      <c r="K2722" s="43"/>
      <c r="L2722" s="43"/>
      <c r="M2722" s="43"/>
      <c r="N2722" s="43"/>
      <c r="O2722" s="43"/>
      <c r="P2722" s="43"/>
      <c r="Q2722" s="43"/>
      <c r="R2722" s="43"/>
      <c r="S2722" s="43"/>
      <c r="T2722" s="43"/>
      <c r="U2722" s="43"/>
      <c r="V2722" s="43"/>
    </row>
    <row r="2723" spans="1:22" ht="15.75" customHeight="1" x14ac:dyDescent="0.2">
      <c r="A2723" s="40"/>
      <c r="B2723" s="45" t="s">
        <v>323</v>
      </c>
      <c r="C2723" s="46" t="s">
        <v>2466</v>
      </c>
      <c r="D2723" s="46" t="s">
        <v>491</v>
      </c>
      <c r="E2723" s="46" t="s">
        <v>322</v>
      </c>
      <c r="F2723" s="46" t="s">
        <v>2463</v>
      </c>
      <c r="G2723" s="46" t="s">
        <v>2447</v>
      </c>
      <c r="H2723" s="43"/>
      <c r="I2723" s="43"/>
      <c r="J2723" s="43"/>
      <c r="K2723" s="43"/>
      <c r="L2723" s="43"/>
      <c r="M2723" s="43"/>
      <c r="N2723" s="43"/>
      <c r="O2723" s="43"/>
      <c r="P2723" s="43"/>
      <c r="Q2723" s="43"/>
      <c r="R2723" s="43"/>
      <c r="S2723" s="43"/>
      <c r="T2723" s="43"/>
      <c r="U2723" s="43"/>
      <c r="V2723" s="43"/>
    </row>
    <row r="2724" spans="1:22" ht="15.75" customHeight="1" x14ac:dyDescent="0.2">
      <c r="A2724" s="40"/>
      <c r="B2724" s="45" t="s">
        <v>297</v>
      </c>
      <c r="C2724" s="46" t="s">
        <v>2466</v>
      </c>
      <c r="D2724" s="46" t="s">
        <v>491</v>
      </c>
      <c r="E2724" s="46" t="s">
        <v>322</v>
      </c>
      <c r="F2724" s="46" t="s">
        <v>2463</v>
      </c>
      <c r="G2724" s="46" t="s">
        <v>2447</v>
      </c>
      <c r="H2724" s="43"/>
      <c r="I2724" s="43"/>
      <c r="J2724" s="43"/>
      <c r="K2724" s="43"/>
      <c r="L2724" s="43"/>
      <c r="M2724" s="43"/>
      <c r="N2724" s="43"/>
      <c r="O2724" s="43"/>
      <c r="P2724" s="43"/>
      <c r="Q2724" s="43"/>
      <c r="R2724" s="43"/>
      <c r="S2724" s="43"/>
      <c r="T2724" s="43"/>
      <c r="U2724" s="43"/>
      <c r="V2724" s="43"/>
    </row>
    <row r="2725" spans="1:22" ht="15.75" customHeight="1" x14ac:dyDescent="0.2">
      <c r="A2725" s="40"/>
      <c r="B2725" s="45" t="s">
        <v>122</v>
      </c>
      <c r="C2725" s="46" t="s">
        <v>1347</v>
      </c>
      <c r="D2725" s="46" t="s">
        <v>557</v>
      </c>
      <c r="E2725" s="46" t="s">
        <v>79</v>
      </c>
      <c r="F2725" s="46" t="s">
        <v>2463</v>
      </c>
      <c r="G2725" s="46" t="s">
        <v>2447</v>
      </c>
      <c r="H2725" s="43"/>
      <c r="I2725" s="43"/>
      <c r="J2725" s="43"/>
      <c r="K2725" s="43"/>
      <c r="L2725" s="43"/>
      <c r="M2725" s="43"/>
      <c r="N2725" s="43"/>
      <c r="O2725" s="43"/>
      <c r="P2725" s="43"/>
      <c r="Q2725" s="43"/>
      <c r="R2725" s="43"/>
      <c r="S2725" s="43"/>
      <c r="T2725" s="43"/>
      <c r="U2725" s="43"/>
      <c r="V2725" s="43"/>
    </row>
    <row r="2726" spans="1:22" ht="15.75" customHeight="1" x14ac:dyDescent="0.2">
      <c r="A2726" s="40"/>
      <c r="B2726" s="45" t="s">
        <v>126</v>
      </c>
      <c r="C2726" s="46" t="s">
        <v>1347</v>
      </c>
      <c r="D2726" s="46" t="s">
        <v>557</v>
      </c>
      <c r="E2726" s="46" t="s">
        <v>79</v>
      </c>
      <c r="F2726" s="46" t="s">
        <v>2463</v>
      </c>
      <c r="G2726" s="46" t="s">
        <v>2447</v>
      </c>
      <c r="H2726" s="43"/>
      <c r="I2726" s="43"/>
      <c r="J2726" s="43"/>
      <c r="K2726" s="43"/>
      <c r="L2726" s="43"/>
      <c r="M2726" s="43"/>
      <c r="N2726" s="43"/>
      <c r="O2726" s="43"/>
      <c r="P2726" s="43"/>
      <c r="Q2726" s="43"/>
      <c r="R2726" s="43"/>
      <c r="S2726" s="43"/>
      <c r="T2726" s="43"/>
      <c r="U2726" s="43"/>
      <c r="V2726" s="43"/>
    </row>
    <row r="2727" spans="1:22" ht="15.75" customHeight="1" x14ac:dyDescent="0.2">
      <c r="A2727" s="40">
        <v>535</v>
      </c>
      <c r="B2727" s="41" t="s">
        <v>678</v>
      </c>
      <c r="C2727" s="42" t="s">
        <v>2035</v>
      </c>
      <c r="D2727" s="42" t="s">
        <v>295</v>
      </c>
      <c r="E2727" s="42" t="s">
        <v>255</v>
      </c>
      <c r="F2727" s="42" t="s">
        <v>2463</v>
      </c>
      <c r="G2727" s="42" t="s">
        <v>2447</v>
      </c>
      <c r="H2727" s="43"/>
      <c r="I2727" s="43"/>
      <c r="J2727" s="43"/>
      <c r="K2727" s="43"/>
      <c r="L2727" s="43"/>
      <c r="M2727" s="43"/>
      <c r="N2727" s="43"/>
      <c r="O2727" s="43"/>
      <c r="P2727" s="43"/>
      <c r="Q2727" s="43"/>
      <c r="R2727" s="43"/>
      <c r="S2727" s="43"/>
      <c r="T2727" s="43"/>
      <c r="U2727" s="43"/>
      <c r="V2727" s="43"/>
    </row>
    <row r="2728" spans="1:22" ht="15.75" customHeight="1" x14ac:dyDescent="0.2">
      <c r="A2728" s="40">
        <v>1153</v>
      </c>
      <c r="B2728" s="41" t="s">
        <v>433</v>
      </c>
      <c r="C2728" s="42" t="s">
        <v>2035</v>
      </c>
      <c r="D2728" s="42" t="s">
        <v>295</v>
      </c>
      <c r="E2728" s="42" t="s">
        <v>255</v>
      </c>
      <c r="F2728" s="42" t="s">
        <v>2463</v>
      </c>
      <c r="G2728" s="42" t="s">
        <v>2447</v>
      </c>
      <c r="H2728" s="43"/>
      <c r="I2728" s="43"/>
      <c r="J2728" s="43"/>
      <c r="K2728" s="43"/>
      <c r="L2728" s="43"/>
      <c r="M2728" s="43"/>
      <c r="N2728" s="43"/>
      <c r="O2728" s="43"/>
      <c r="P2728" s="43"/>
      <c r="Q2728" s="43"/>
      <c r="R2728" s="43"/>
      <c r="S2728" s="43"/>
      <c r="T2728" s="43"/>
      <c r="U2728" s="43"/>
      <c r="V2728" s="43"/>
    </row>
    <row r="2729" spans="1:22" ht="15.75" customHeight="1" x14ac:dyDescent="0.2">
      <c r="A2729" s="40">
        <v>1829</v>
      </c>
      <c r="B2729" s="41" t="s">
        <v>439</v>
      </c>
      <c r="C2729" s="42" t="s">
        <v>2035</v>
      </c>
      <c r="D2729" s="42" t="s">
        <v>295</v>
      </c>
      <c r="E2729" s="42" t="s">
        <v>255</v>
      </c>
      <c r="F2729" s="42" t="s">
        <v>2463</v>
      </c>
      <c r="G2729" s="42" t="s">
        <v>2447</v>
      </c>
      <c r="H2729" s="43"/>
      <c r="I2729" s="43"/>
      <c r="J2729" s="43"/>
      <c r="K2729" s="43"/>
      <c r="L2729" s="43"/>
      <c r="M2729" s="43"/>
      <c r="N2729" s="43"/>
      <c r="O2729" s="43"/>
      <c r="P2729" s="43"/>
      <c r="Q2729" s="43"/>
      <c r="R2729" s="43"/>
      <c r="S2729" s="43"/>
      <c r="T2729" s="43"/>
      <c r="U2729" s="43"/>
      <c r="V2729" s="43"/>
    </row>
    <row r="2730" spans="1:22" ht="15.75" customHeight="1" x14ac:dyDescent="0.2">
      <c r="A2730" s="40"/>
      <c r="B2730" s="45" t="s">
        <v>94</v>
      </c>
      <c r="C2730" s="46" t="s">
        <v>2467</v>
      </c>
      <c r="D2730" s="46" t="s">
        <v>468</v>
      </c>
      <c r="E2730" s="46" t="s">
        <v>259</v>
      </c>
      <c r="F2730" s="46" t="s">
        <v>2463</v>
      </c>
      <c r="G2730" s="46" t="s">
        <v>2447</v>
      </c>
      <c r="H2730" s="43"/>
      <c r="I2730" s="43"/>
      <c r="J2730" s="43"/>
      <c r="K2730" s="43"/>
      <c r="L2730" s="43"/>
      <c r="M2730" s="43"/>
      <c r="N2730" s="43"/>
      <c r="O2730" s="43"/>
      <c r="P2730" s="43"/>
      <c r="Q2730" s="43"/>
      <c r="R2730" s="43"/>
      <c r="S2730" s="43"/>
      <c r="T2730" s="43"/>
      <c r="U2730" s="43"/>
      <c r="V2730" s="43"/>
    </row>
    <row r="2731" spans="1:22" ht="15.75" customHeight="1" x14ac:dyDescent="0.2">
      <c r="A2731" s="40"/>
      <c r="B2731" s="45" t="s">
        <v>108</v>
      </c>
      <c r="C2731" s="46" t="s">
        <v>74</v>
      </c>
      <c r="D2731" s="46" t="s">
        <v>1385</v>
      </c>
      <c r="E2731" s="46" t="s">
        <v>32</v>
      </c>
      <c r="F2731" s="46" t="s">
        <v>2463</v>
      </c>
      <c r="G2731" s="46" t="s">
        <v>2447</v>
      </c>
      <c r="H2731" s="43"/>
      <c r="I2731" s="43"/>
      <c r="J2731" s="43"/>
      <c r="K2731" s="43"/>
      <c r="L2731" s="43"/>
      <c r="M2731" s="43"/>
      <c r="N2731" s="43"/>
      <c r="O2731" s="43"/>
      <c r="P2731" s="43"/>
      <c r="Q2731" s="43"/>
      <c r="R2731" s="43"/>
      <c r="S2731" s="43"/>
      <c r="T2731" s="43"/>
      <c r="U2731" s="43"/>
      <c r="V2731" s="43"/>
    </row>
    <row r="2732" spans="1:22" ht="15.75" customHeight="1" x14ac:dyDescent="0.2">
      <c r="A2732" s="40"/>
      <c r="B2732" s="45" t="s">
        <v>303</v>
      </c>
      <c r="C2732" s="46" t="s">
        <v>74</v>
      </c>
      <c r="D2732" s="46" t="s">
        <v>1385</v>
      </c>
      <c r="E2732" s="46" t="s">
        <v>32</v>
      </c>
      <c r="F2732" s="46" t="s">
        <v>2463</v>
      </c>
      <c r="G2732" s="46" t="s">
        <v>2447</v>
      </c>
      <c r="H2732" s="43"/>
      <c r="I2732" s="43"/>
      <c r="J2732" s="43"/>
      <c r="K2732" s="43"/>
      <c r="L2732" s="43"/>
      <c r="M2732" s="43"/>
      <c r="N2732" s="43"/>
      <c r="O2732" s="43"/>
      <c r="P2732" s="43"/>
      <c r="Q2732" s="43"/>
      <c r="R2732" s="43"/>
      <c r="S2732" s="43"/>
      <c r="T2732" s="43"/>
      <c r="U2732" s="43"/>
      <c r="V2732" s="43"/>
    </row>
    <row r="2733" spans="1:22" ht="15.75" customHeight="1" x14ac:dyDescent="0.2">
      <c r="A2733" s="40">
        <v>325</v>
      </c>
      <c r="B2733" s="41" t="s">
        <v>365</v>
      </c>
      <c r="C2733" s="42" t="s">
        <v>2468</v>
      </c>
      <c r="D2733" s="42" t="s">
        <v>2469</v>
      </c>
      <c r="E2733" s="42" t="s">
        <v>571</v>
      </c>
      <c r="F2733" s="42" t="s">
        <v>2463</v>
      </c>
      <c r="G2733" s="42" t="s">
        <v>2447</v>
      </c>
      <c r="H2733" s="43"/>
      <c r="I2733" s="43"/>
      <c r="J2733" s="43"/>
      <c r="K2733" s="43"/>
      <c r="L2733" s="43"/>
      <c r="M2733" s="43"/>
      <c r="N2733" s="43"/>
      <c r="O2733" s="43"/>
      <c r="P2733" s="43"/>
      <c r="Q2733" s="43"/>
      <c r="R2733" s="43"/>
      <c r="S2733" s="43"/>
      <c r="T2733" s="43"/>
      <c r="U2733" s="43"/>
      <c r="V2733" s="43"/>
    </row>
    <row r="2734" spans="1:22" ht="15.75" customHeight="1" x14ac:dyDescent="0.2">
      <c r="A2734" s="40">
        <v>1603</v>
      </c>
      <c r="B2734" s="41" t="s">
        <v>264</v>
      </c>
      <c r="C2734" s="42" t="s">
        <v>2468</v>
      </c>
      <c r="D2734" s="42" t="s">
        <v>2469</v>
      </c>
      <c r="E2734" s="42" t="s">
        <v>571</v>
      </c>
      <c r="F2734" s="42" t="s">
        <v>2463</v>
      </c>
      <c r="G2734" s="42" t="s">
        <v>2447</v>
      </c>
      <c r="H2734" s="43"/>
      <c r="I2734" s="43"/>
      <c r="J2734" s="43"/>
      <c r="K2734" s="43"/>
      <c r="L2734" s="43"/>
      <c r="M2734" s="43"/>
      <c r="N2734" s="43"/>
      <c r="O2734" s="43"/>
      <c r="P2734" s="43"/>
      <c r="Q2734" s="43"/>
      <c r="R2734" s="43"/>
      <c r="S2734" s="43"/>
      <c r="T2734" s="43"/>
      <c r="U2734" s="43"/>
      <c r="V2734" s="43"/>
    </row>
    <row r="2735" spans="1:22" ht="15.75" customHeight="1" x14ac:dyDescent="0.2">
      <c r="A2735" s="40">
        <v>2791</v>
      </c>
      <c r="B2735" s="41" t="s">
        <v>288</v>
      </c>
      <c r="C2735" s="42" t="s">
        <v>2468</v>
      </c>
      <c r="D2735" s="42" t="s">
        <v>2469</v>
      </c>
      <c r="E2735" s="42" t="s">
        <v>571</v>
      </c>
      <c r="F2735" s="42" t="s">
        <v>2463</v>
      </c>
      <c r="G2735" s="42" t="s">
        <v>2447</v>
      </c>
      <c r="H2735" s="43"/>
      <c r="I2735" s="43"/>
      <c r="J2735" s="43"/>
      <c r="K2735" s="43"/>
      <c r="L2735" s="43"/>
      <c r="M2735" s="43"/>
      <c r="N2735" s="43"/>
      <c r="O2735" s="43"/>
      <c r="P2735" s="43"/>
      <c r="Q2735" s="43"/>
      <c r="R2735" s="43"/>
      <c r="S2735" s="43"/>
      <c r="T2735" s="43"/>
      <c r="U2735" s="43"/>
      <c r="V2735" s="43"/>
    </row>
    <row r="2736" spans="1:22" ht="15.75" customHeight="1" x14ac:dyDescent="0.2">
      <c r="A2736" s="40"/>
      <c r="B2736" s="45" t="s">
        <v>296</v>
      </c>
      <c r="C2736" s="46" t="s">
        <v>483</v>
      </c>
      <c r="D2736" s="46" t="s">
        <v>529</v>
      </c>
      <c r="E2736" s="46" t="s">
        <v>259</v>
      </c>
      <c r="F2736" s="46" t="s">
        <v>2105</v>
      </c>
      <c r="G2736" s="46" t="s">
        <v>2447</v>
      </c>
      <c r="H2736" s="43"/>
      <c r="I2736" s="43"/>
      <c r="J2736" s="43"/>
      <c r="K2736" s="43"/>
      <c r="L2736" s="43"/>
      <c r="M2736" s="43"/>
      <c r="N2736" s="43"/>
      <c r="O2736" s="43"/>
      <c r="P2736" s="43"/>
      <c r="Q2736" s="43"/>
      <c r="R2736" s="43"/>
      <c r="S2736" s="43"/>
      <c r="T2736" s="43"/>
      <c r="U2736" s="43"/>
      <c r="V2736" s="43"/>
    </row>
    <row r="2737" spans="1:22" ht="15.75" customHeight="1" x14ac:dyDescent="0.2">
      <c r="A2737" s="40"/>
      <c r="B2737" s="45" t="s">
        <v>108</v>
      </c>
      <c r="C2737" s="46" t="s">
        <v>483</v>
      </c>
      <c r="D2737" s="46" t="s">
        <v>529</v>
      </c>
      <c r="E2737" s="46" t="s">
        <v>259</v>
      </c>
      <c r="F2737" s="46" t="s">
        <v>2105</v>
      </c>
      <c r="G2737" s="46" t="s">
        <v>2447</v>
      </c>
      <c r="H2737" s="43"/>
      <c r="I2737" s="43"/>
      <c r="J2737" s="43"/>
      <c r="K2737" s="43"/>
      <c r="L2737" s="43"/>
      <c r="M2737" s="43"/>
      <c r="N2737" s="43"/>
      <c r="O2737" s="43"/>
      <c r="P2737" s="43"/>
      <c r="Q2737" s="43"/>
      <c r="R2737" s="43"/>
      <c r="S2737" s="43"/>
      <c r="T2737" s="43"/>
      <c r="U2737" s="43"/>
      <c r="V2737" s="43"/>
    </row>
    <row r="2738" spans="1:22" ht="15.75" customHeight="1" x14ac:dyDescent="0.2">
      <c r="A2738" s="40"/>
      <c r="B2738" s="45" t="s">
        <v>548</v>
      </c>
      <c r="C2738" s="46" t="s">
        <v>483</v>
      </c>
      <c r="D2738" s="46" t="s">
        <v>529</v>
      </c>
      <c r="E2738" s="46" t="s">
        <v>259</v>
      </c>
      <c r="F2738" s="46" t="s">
        <v>2105</v>
      </c>
      <c r="G2738" s="46" t="s">
        <v>2447</v>
      </c>
      <c r="H2738" s="43"/>
      <c r="I2738" s="43"/>
      <c r="J2738" s="43"/>
      <c r="K2738" s="43"/>
      <c r="L2738" s="43"/>
      <c r="M2738" s="43"/>
      <c r="N2738" s="43"/>
      <c r="O2738" s="43"/>
      <c r="P2738" s="43"/>
      <c r="Q2738" s="43"/>
      <c r="R2738" s="43"/>
      <c r="S2738" s="43"/>
      <c r="T2738" s="43"/>
      <c r="U2738" s="43"/>
      <c r="V2738" s="43"/>
    </row>
    <row r="2739" spans="1:22" ht="15.75" customHeight="1" x14ac:dyDescent="0.2">
      <c r="A2739" s="40"/>
      <c r="B2739" s="45" t="s">
        <v>121</v>
      </c>
      <c r="C2739" s="46" t="s">
        <v>1939</v>
      </c>
      <c r="D2739" s="46" t="s">
        <v>292</v>
      </c>
      <c r="E2739" s="46" t="s">
        <v>2470</v>
      </c>
      <c r="F2739" s="46" t="s">
        <v>2105</v>
      </c>
      <c r="G2739" s="46" t="s">
        <v>2447</v>
      </c>
      <c r="H2739" s="43"/>
      <c r="I2739" s="43"/>
      <c r="J2739" s="43"/>
      <c r="K2739" s="43"/>
      <c r="L2739" s="43"/>
      <c r="M2739" s="43"/>
      <c r="N2739" s="43"/>
      <c r="O2739" s="43"/>
      <c r="P2739" s="43"/>
      <c r="Q2739" s="43"/>
      <c r="R2739" s="43"/>
      <c r="S2739" s="43"/>
      <c r="T2739" s="43"/>
      <c r="U2739" s="43"/>
      <c r="V2739" s="43"/>
    </row>
    <row r="2740" spans="1:22" ht="15.75" customHeight="1" x14ac:dyDescent="0.2">
      <c r="A2740" s="40"/>
      <c r="B2740" s="45" t="s">
        <v>315</v>
      </c>
      <c r="C2740" s="46" t="s">
        <v>1939</v>
      </c>
      <c r="D2740" s="46" t="s">
        <v>292</v>
      </c>
      <c r="E2740" s="46" t="s">
        <v>2470</v>
      </c>
      <c r="F2740" s="46" t="s">
        <v>2105</v>
      </c>
      <c r="G2740" s="46" t="s">
        <v>2447</v>
      </c>
      <c r="H2740" s="43"/>
      <c r="I2740" s="43"/>
      <c r="J2740" s="43"/>
      <c r="K2740" s="43"/>
      <c r="L2740" s="43"/>
      <c r="M2740" s="43"/>
      <c r="N2740" s="43"/>
      <c r="O2740" s="43"/>
      <c r="P2740" s="43"/>
      <c r="Q2740" s="43"/>
      <c r="R2740" s="43"/>
      <c r="S2740" s="43"/>
      <c r="T2740" s="43"/>
      <c r="U2740" s="43"/>
      <c r="V2740" s="43"/>
    </row>
    <row r="2741" spans="1:22" ht="15.75" customHeight="1" x14ac:dyDescent="0.2">
      <c r="A2741" s="40"/>
      <c r="B2741" s="45" t="s">
        <v>421</v>
      </c>
      <c r="C2741" s="46" t="s">
        <v>2471</v>
      </c>
      <c r="D2741" s="46" t="s">
        <v>58</v>
      </c>
      <c r="E2741" s="46" t="s">
        <v>630</v>
      </c>
      <c r="F2741" s="46" t="s">
        <v>2105</v>
      </c>
      <c r="G2741" s="46" t="s">
        <v>2447</v>
      </c>
      <c r="H2741" s="43"/>
      <c r="I2741" s="43"/>
      <c r="J2741" s="43"/>
      <c r="K2741" s="43"/>
      <c r="L2741" s="43"/>
      <c r="M2741" s="43"/>
      <c r="N2741" s="43"/>
      <c r="O2741" s="43"/>
      <c r="P2741" s="43"/>
      <c r="Q2741" s="43"/>
      <c r="R2741" s="43"/>
      <c r="S2741" s="43"/>
      <c r="T2741" s="43"/>
      <c r="U2741" s="43"/>
      <c r="V2741" s="43"/>
    </row>
    <row r="2742" spans="1:22" ht="15.75" customHeight="1" x14ac:dyDescent="0.2">
      <c r="A2742" s="40"/>
      <c r="B2742" s="45" t="s">
        <v>307</v>
      </c>
      <c r="C2742" s="46" t="s">
        <v>2471</v>
      </c>
      <c r="D2742" s="46" t="s">
        <v>58</v>
      </c>
      <c r="E2742" s="46" t="s">
        <v>630</v>
      </c>
      <c r="F2742" s="46" t="s">
        <v>2105</v>
      </c>
      <c r="G2742" s="46" t="s">
        <v>2447</v>
      </c>
      <c r="H2742" s="43"/>
      <c r="I2742" s="43"/>
      <c r="J2742" s="43"/>
      <c r="K2742" s="43"/>
      <c r="L2742" s="43"/>
      <c r="M2742" s="43"/>
      <c r="N2742" s="43"/>
      <c r="O2742" s="43"/>
      <c r="P2742" s="43"/>
      <c r="Q2742" s="43"/>
      <c r="R2742" s="43"/>
      <c r="S2742" s="43"/>
      <c r="T2742" s="43"/>
      <c r="U2742" s="43"/>
      <c r="V2742" s="43"/>
    </row>
    <row r="2743" spans="1:22" ht="15.75" customHeight="1" x14ac:dyDescent="0.2">
      <c r="A2743" s="40"/>
      <c r="B2743" s="45" t="s">
        <v>316</v>
      </c>
      <c r="C2743" s="46" t="s">
        <v>657</v>
      </c>
      <c r="D2743" s="46" t="s">
        <v>680</v>
      </c>
      <c r="E2743" s="46" t="s">
        <v>1619</v>
      </c>
      <c r="F2743" s="46" t="s">
        <v>2105</v>
      </c>
      <c r="G2743" s="46" t="s">
        <v>2447</v>
      </c>
      <c r="H2743" s="43"/>
      <c r="I2743" s="43"/>
      <c r="J2743" s="43"/>
      <c r="K2743" s="43"/>
      <c r="L2743" s="43"/>
      <c r="M2743" s="43"/>
      <c r="N2743" s="43"/>
      <c r="O2743" s="43"/>
      <c r="P2743" s="43"/>
      <c r="Q2743" s="43"/>
      <c r="R2743" s="43"/>
      <c r="S2743" s="43"/>
      <c r="T2743" s="43"/>
      <c r="U2743" s="43"/>
      <c r="V2743" s="43"/>
    </row>
    <row r="2744" spans="1:22" ht="15.75" customHeight="1" x14ac:dyDescent="0.2">
      <c r="A2744" s="40"/>
      <c r="B2744" s="45" t="s">
        <v>548</v>
      </c>
      <c r="C2744" s="46" t="s">
        <v>657</v>
      </c>
      <c r="D2744" s="46" t="s">
        <v>680</v>
      </c>
      <c r="E2744" s="46" t="s">
        <v>1619</v>
      </c>
      <c r="F2744" s="46" t="s">
        <v>2105</v>
      </c>
      <c r="G2744" s="46" t="s">
        <v>2447</v>
      </c>
      <c r="H2744" s="43"/>
      <c r="I2744" s="43"/>
      <c r="J2744" s="43"/>
      <c r="K2744" s="43"/>
      <c r="L2744" s="43"/>
      <c r="M2744" s="43"/>
      <c r="N2744" s="43"/>
      <c r="O2744" s="43"/>
      <c r="P2744" s="43"/>
      <c r="Q2744" s="43"/>
      <c r="R2744" s="43"/>
      <c r="S2744" s="43"/>
      <c r="T2744" s="43"/>
      <c r="U2744" s="43"/>
      <c r="V2744" s="43"/>
    </row>
    <row r="2745" spans="1:22" ht="15.75" customHeight="1" x14ac:dyDescent="0.2">
      <c r="A2745" s="40"/>
      <c r="B2745" s="45" t="s">
        <v>548</v>
      </c>
      <c r="C2745" s="46" t="s">
        <v>2455</v>
      </c>
      <c r="D2745" s="46" t="s">
        <v>388</v>
      </c>
      <c r="E2745" s="46" t="s">
        <v>348</v>
      </c>
      <c r="F2745" s="46" t="s">
        <v>2105</v>
      </c>
      <c r="G2745" s="46" t="s">
        <v>2447</v>
      </c>
      <c r="H2745" s="43"/>
      <c r="I2745" s="43"/>
      <c r="J2745" s="43"/>
      <c r="K2745" s="43"/>
      <c r="L2745" s="43"/>
      <c r="M2745" s="43"/>
      <c r="N2745" s="43"/>
      <c r="O2745" s="43"/>
      <c r="P2745" s="43"/>
      <c r="Q2745" s="43"/>
      <c r="R2745" s="43"/>
      <c r="S2745" s="43"/>
      <c r="T2745" s="43"/>
      <c r="U2745" s="43"/>
      <c r="V2745" s="43"/>
    </row>
    <row r="2746" spans="1:22" ht="15.75" customHeight="1" x14ac:dyDescent="0.2">
      <c r="A2746" s="40"/>
      <c r="B2746" s="45" t="s">
        <v>94</v>
      </c>
      <c r="C2746" s="46" t="s">
        <v>2455</v>
      </c>
      <c r="D2746" s="46" t="s">
        <v>388</v>
      </c>
      <c r="E2746" s="46" t="s">
        <v>348</v>
      </c>
      <c r="F2746" s="46" t="s">
        <v>2105</v>
      </c>
      <c r="G2746" s="46" t="s">
        <v>2447</v>
      </c>
      <c r="H2746" s="43"/>
      <c r="I2746" s="43"/>
      <c r="J2746" s="43"/>
      <c r="K2746" s="43"/>
      <c r="L2746" s="43"/>
      <c r="M2746" s="43"/>
      <c r="N2746" s="43"/>
      <c r="O2746" s="43"/>
      <c r="P2746" s="43"/>
      <c r="Q2746" s="43"/>
      <c r="R2746" s="43"/>
      <c r="S2746" s="43"/>
      <c r="T2746" s="43"/>
      <c r="U2746" s="43"/>
      <c r="V2746" s="43"/>
    </row>
    <row r="2747" spans="1:22" ht="15.75" customHeight="1" x14ac:dyDescent="0.2">
      <c r="A2747" s="40">
        <v>391</v>
      </c>
      <c r="B2747" s="41" t="s">
        <v>246</v>
      </c>
      <c r="C2747" s="42" t="s">
        <v>885</v>
      </c>
      <c r="D2747" s="42" t="s">
        <v>2222</v>
      </c>
      <c r="E2747" s="42" t="s">
        <v>32</v>
      </c>
      <c r="F2747" s="42" t="s">
        <v>2105</v>
      </c>
      <c r="G2747" s="42" t="s">
        <v>2447</v>
      </c>
      <c r="H2747" s="43"/>
      <c r="I2747" s="43"/>
      <c r="J2747" s="43"/>
      <c r="K2747" s="43"/>
      <c r="L2747" s="43"/>
      <c r="M2747" s="43"/>
      <c r="N2747" s="43"/>
      <c r="O2747" s="43"/>
      <c r="P2747" s="43"/>
      <c r="Q2747" s="43"/>
      <c r="R2747" s="43"/>
      <c r="S2747" s="43"/>
      <c r="T2747" s="43"/>
      <c r="U2747" s="43"/>
      <c r="V2747" s="43"/>
    </row>
    <row r="2748" spans="1:22" ht="15.75" customHeight="1" x14ac:dyDescent="0.2">
      <c r="A2748" s="40">
        <v>1425</v>
      </c>
      <c r="B2748" s="41" t="s">
        <v>386</v>
      </c>
      <c r="C2748" s="42" t="s">
        <v>885</v>
      </c>
      <c r="D2748" s="42" t="s">
        <v>2222</v>
      </c>
      <c r="E2748" s="42" t="s">
        <v>32</v>
      </c>
      <c r="F2748" s="42" t="s">
        <v>2105</v>
      </c>
      <c r="G2748" s="42" t="s">
        <v>2447</v>
      </c>
      <c r="H2748" s="43"/>
      <c r="I2748" s="43"/>
      <c r="J2748" s="43"/>
      <c r="K2748" s="43"/>
      <c r="L2748" s="43"/>
      <c r="M2748" s="43"/>
      <c r="N2748" s="43"/>
      <c r="O2748" s="43"/>
      <c r="P2748" s="43"/>
      <c r="Q2748" s="43"/>
      <c r="R2748" s="43"/>
      <c r="S2748" s="43"/>
      <c r="T2748" s="43"/>
      <c r="U2748" s="43"/>
      <c r="V2748" s="43"/>
    </row>
    <row r="2749" spans="1:22" ht="15.75" customHeight="1" x14ac:dyDescent="0.2">
      <c r="A2749" s="40"/>
      <c r="B2749" s="45" t="s">
        <v>421</v>
      </c>
      <c r="C2749" s="46" t="s">
        <v>2472</v>
      </c>
      <c r="D2749" s="46" t="s">
        <v>1598</v>
      </c>
      <c r="E2749" s="46" t="s">
        <v>306</v>
      </c>
      <c r="F2749" s="46" t="s">
        <v>2105</v>
      </c>
      <c r="G2749" s="46" t="s">
        <v>2447</v>
      </c>
      <c r="H2749" s="43"/>
      <c r="I2749" s="43"/>
      <c r="J2749" s="43"/>
      <c r="K2749" s="43"/>
      <c r="L2749" s="43"/>
      <c r="M2749" s="43"/>
      <c r="N2749" s="43"/>
      <c r="O2749" s="43"/>
      <c r="P2749" s="43"/>
      <c r="Q2749" s="43"/>
      <c r="R2749" s="43"/>
      <c r="S2749" s="43"/>
      <c r="T2749" s="43"/>
      <c r="U2749" s="43"/>
      <c r="V2749" s="43"/>
    </row>
    <row r="2750" spans="1:22" ht="15.75" customHeight="1" x14ac:dyDescent="0.2">
      <c r="A2750" s="40"/>
      <c r="B2750" s="45" t="s">
        <v>307</v>
      </c>
      <c r="C2750" s="46" t="s">
        <v>2472</v>
      </c>
      <c r="D2750" s="46" t="s">
        <v>1598</v>
      </c>
      <c r="E2750" s="46" t="s">
        <v>306</v>
      </c>
      <c r="F2750" s="46" t="s">
        <v>2105</v>
      </c>
      <c r="G2750" s="46" t="s">
        <v>2447</v>
      </c>
      <c r="H2750" s="43"/>
      <c r="I2750" s="43"/>
      <c r="J2750" s="43"/>
      <c r="K2750" s="43"/>
      <c r="L2750" s="43"/>
      <c r="M2750" s="43"/>
      <c r="N2750" s="43"/>
      <c r="O2750" s="43"/>
      <c r="P2750" s="43"/>
      <c r="Q2750" s="43"/>
      <c r="R2750" s="43"/>
      <c r="S2750" s="43"/>
      <c r="T2750" s="43"/>
      <c r="U2750" s="43"/>
      <c r="V2750" s="43"/>
    </row>
    <row r="2751" spans="1:22" ht="15.75" customHeight="1" x14ac:dyDescent="0.2">
      <c r="A2751" s="40"/>
      <c r="B2751" s="45" t="s">
        <v>94</v>
      </c>
      <c r="C2751" s="46" t="s">
        <v>2472</v>
      </c>
      <c r="D2751" s="46" t="s">
        <v>1598</v>
      </c>
      <c r="E2751" s="46" t="s">
        <v>306</v>
      </c>
      <c r="F2751" s="46" t="s">
        <v>2105</v>
      </c>
      <c r="G2751" s="46" t="s">
        <v>2447</v>
      </c>
      <c r="H2751" s="43"/>
      <c r="I2751" s="43"/>
      <c r="J2751" s="43"/>
      <c r="K2751" s="43"/>
      <c r="L2751" s="43"/>
      <c r="M2751" s="43"/>
      <c r="N2751" s="43"/>
      <c r="O2751" s="43"/>
      <c r="P2751" s="43"/>
      <c r="Q2751" s="43"/>
      <c r="R2751" s="43"/>
      <c r="S2751" s="43"/>
      <c r="T2751" s="43"/>
      <c r="U2751" s="43"/>
      <c r="V2751" s="43"/>
    </row>
    <row r="2752" spans="1:22" ht="15.75" customHeight="1" x14ac:dyDescent="0.2">
      <c r="A2752" s="40"/>
      <c r="B2752" s="45" t="s">
        <v>94</v>
      </c>
      <c r="C2752" s="46" t="s">
        <v>2473</v>
      </c>
      <c r="D2752" s="46" t="s">
        <v>554</v>
      </c>
      <c r="E2752" s="46" t="s">
        <v>571</v>
      </c>
      <c r="F2752" s="46" t="s">
        <v>2105</v>
      </c>
      <c r="G2752" s="46" t="s">
        <v>2447</v>
      </c>
      <c r="H2752" s="43"/>
      <c r="I2752" s="43"/>
      <c r="J2752" s="43"/>
      <c r="K2752" s="43"/>
      <c r="L2752" s="43"/>
      <c r="M2752" s="43"/>
      <c r="N2752" s="43"/>
      <c r="O2752" s="43"/>
      <c r="P2752" s="43"/>
      <c r="Q2752" s="43"/>
      <c r="R2752" s="43"/>
      <c r="S2752" s="43"/>
      <c r="T2752" s="43"/>
      <c r="U2752" s="43"/>
      <c r="V2752" s="43"/>
    </row>
    <row r="2753" spans="1:22" ht="15.75" customHeight="1" x14ac:dyDescent="0.2">
      <c r="A2753" s="40">
        <v>1617</v>
      </c>
      <c r="B2753" s="41" t="s">
        <v>264</v>
      </c>
      <c r="C2753" s="42" t="s">
        <v>2474</v>
      </c>
      <c r="D2753" s="42" t="s">
        <v>989</v>
      </c>
      <c r="E2753" s="42" t="s">
        <v>2475</v>
      </c>
      <c r="F2753" s="42" t="s">
        <v>2105</v>
      </c>
      <c r="G2753" s="42" t="s">
        <v>2447</v>
      </c>
      <c r="H2753" s="43"/>
      <c r="I2753" s="43"/>
      <c r="J2753" s="43"/>
      <c r="K2753" s="43"/>
      <c r="L2753" s="43"/>
      <c r="M2753" s="43"/>
      <c r="N2753" s="43"/>
      <c r="O2753" s="43"/>
      <c r="P2753" s="43"/>
      <c r="Q2753" s="43"/>
      <c r="R2753" s="43"/>
      <c r="S2753" s="43"/>
      <c r="T2753" s="43"/>
      <c r="U2753" s="43"/>
      <c r="V2753" s="43"/>
    </row>
    <row r="2754" spans="1:22" ht="15.75" customHeight="1" x14ac:dyDescent="0.2">
      <c r="A2754" s="40">
        <v>2777</v>
      </c>
      <c r="B2754" s="41" t="s">
        <v>623</v>
      </c>
      <c r="C2754" s="42" t="s">
        <v>2474</v>
      </c>
      <c r="D2754" s="42" t="s">
        <v>989</v>
      </c>
      <c r="E2754" s="42" t="s">
        <v>2475</v>
      </c>
      <c r="F2754" s="42" t="s">
        <v>2105</v>
      </c>
      <c r="G2754" s="42" t="s">
        <v>2447</v>
      </c>
      <c r="H2754" s="43"/>
      <c r="I2754" s="43"/>
      <c r="J2754" s="43"/>
      <c r="K2754" s="43"/>
      <c r="L2754" s="43"/>
      <c r="M2754" s="43"/>
      <c r="N2754" s="43"/>
      <c r="O2754" s="43"/>
      <c r="P2754" s="43"/>
      <c r="Q2754" s="43"/>
      <c r="R2754" s="43"/>
      <c r="S2754" s="43"/>
      <c r="T2754" s="43"/>
      <c r="U2754" s="43"/>
      <c r="V2754" s="43"/>
    </row>
    <row r="2755" spans="1:22" ht="15.75" customHeight="1" x14ac:dyDescent="0.2">
      <c r="A2755" s="40">
        <v>683</v>
      </c>
      <c r="B2755" s="41" t="s">
        <v>252</v>
      </c>
      <c r="C2755" s="42" t="s">
        <v>1271</v>
      </c>
      <c r="D2755" s="42" t="s">
        <v>526</v>
      </c>
      <c r="E2755" s="42" t="s">
        <v>319</v>
      </c>
      <c r="F2755" s="42" t="s">
        <v>2105</v>
      </c>
      <c r="G2755" s="42" t="s">
        <v>2447</v>
      </c>
      <c r="H2755" s="43"/>
      <c r="I2755" s="43"/>
      <c r="J2755" s="43"/>
      <c r="K2755" s="43"/>
      <c r="L2755" s="43"/>
      <c r="M2755" s="43"/>
      <c r="N2755" s="43"/>
      <c r="O2755" s="43"/>
      <c r="P2755" s="43"/>
      <c r="Q2755" s="43"/>
      <c r="R2755" s="43"/>
      <c r="S2755" s="43"/>
      <c r="T2755" s="43"/>
      <c r="U2755" s="43"/>
      <c r="V2755" s="43"/>
    </row>
    <row r="2756" spans="1:22" ht="15.75" customHeight="1" x14ac:dyDescent="0.2">
      <c r="A2756" s="40">
        <v>1537</v>
      </c>
      <c r="B2756" s="41" t="s">
        <v>263</v>
      </c>
      <c r="C2756" s="42" t="s">
        <v>1271</v>
      </c>
      <c r="D2756" s="42" t="s">
        <v>526</v>
      </c>
      <c r="E2756" s="42" t="s">
        <v>319</v>
      </c>
      <c r="F2756" s="42" t="s">
        <v>2105</v>
      </c>
      <c r="G2756" s="42" t="s">
        <v>2447</v>
      </c>
      <c r="H2756" s="43"/>
      <c r="I2756" s="43"/>
      <c r="J2756" s="43"/>
      <c r="K2756" s="43"/>
      <c r="L2756" s="43"/>
      <c r="M2756" s="43"/>
      <c r="N2756" s="43"/>
      <c r="O2756" s="43"/>
      <c r="P2756" s="43"/>
      <c r="Q2756" s="43"/>
      <c r="R2756" s="43"/>
      <c r="S2756" s="43"/>
      <c r="T2756" s="43"/>
      <c r="U2756" s="43"/>
      <c r="V2756" s="43"/>
    </row>
    <row r="2757" spans="1:22" ht="15.75" customHeight="1" x14ac:dyDescent="0.2">
      <c r="A2757" s="40">
        <v>543</v>
      </c>
      <c r="B2757" s="41" t="s">
        <v>678</v>
      </c>
      <c r="C2757" s="42" t="s">
        <v>2476</v>
      </c>
      <c r="D2757" s="42" t="s">
        <v>534</v>
      </c>
      <c r="E2757" s="42" t="s">
        <v>1083</v>
      </c>
      <c r="F2757" s="42" t="s">
        <v>2105</v>
      </c>
      <c r="G2757" s="42" t="s">
        <v>2447</v>
      </c>
      <c r="H2757" s="43"/>
      <c r="I2757" s="43"/>
      <c r="J2757" s="43"/>
      <c r="K2757" s="43"/>
      <c r="L2757" s="43"/>
      <c r="M2757" s="43"/>
      <c r="N2757" s="43"/>
      <c r="O2757" s="43"/>
      <c r="P2757" s="43"/>
      <c r="Q2757" s="43"/>
      <c r="R2757" s="43"/>
      <c r="S2757" s="43"/>
      <c r="T2757" s="43"/>
      <c r="U2757" s="43"/>
      <c r="V2757" s="43"/>
    </row>
    <row r="2758" spans="1:22" ht="15.75" customHeight="1" x14ac:dyDescent="0.2">
      <c r="A2758" s="40">
        <v>1187</v>
      </c>
      <c r="B2758" s="41" t="s">
        <v>256</v>
      </c>
      <c r="C2758" s="42" t="s">
        <v>2476</v>
      </c>
      <c r="D2758" s="42" t="s">
        <v>534</v>
      </c>
      <c r="E2758" s="42" t="s">
        <v>1083</v>
      </c>
      <c r="F2758" s="42" t="s">
        <v>2105</v>
      </c>
      <c r="G2758" s="42" t="s">
        <v>2447</v>
      </c>
      <c r="H2758" s="43"/>
      <c r="I2758" s="43"/>
      <c r="J2758" s="43"/>
      <c r="K2758" s="43"/>
      <c r="L2758" s="43"/>
      <c r="M2758" s="43"/>
      <c r="N2758" s="43"/>
      <c r="O2758" s="43"/>
      <c r="P2758" s="43"/>
      <c r="Q2758" s="43"/>
      <c r="R2758" s="43"/>
      <c r="S2758" s="43"/>
      <c r="T2758" s="43"/>
      <c r="U2758" s="43"/>
      <c r="V2758" s="43"/>
    </row>
    <row r="2759" spans="1:22" ht="15.75" customHeight="1" x14ac:dyDescent="0.2">
      <c r="A2759" s="40">
        <v>1539</v>
      </c>
      <c r="B2759" s="41" t="s">
        <v>263</v>
      </c>
      <c r="C2759" s="42" t="s">
        <v>2477</v>
      </c>
      <c r="D2759" s="42" t="s">
        <v>2478</v>
      </c>
      <c r="E2759" s="42" t="s">
        <v>18</v>
      </c>
      <c r="F2759" s="42" t="s">
        <v>2105</v>
      </c>
      <c r="G2759" s="42" t="s">
        <v>2447</v>
      </c>
      <c r="H2759" s="43"/>
      <c r="I2759" s="43"/>
      <c r="J2759" s="43"/>
      <c r="K2759" s="43"/>
      <c r="L2759" s="43"/>
      <c r="M2759" s="43"/>
      <c r="N2759" s="43"/>
      <c r="O2759" s="43"/>
      <c r="P2759" s="43"/>
      <c r="Q2759" s="43"/>
      <c r="R2759" s="43"/>
      <c r="S2759" s="43"/>
      <c r="T2759" s="43"/>
      <c r="U2759" s="43"/>
      <c r="V2759" s="43"/>
    </row>
    <row r="2760" spans="1:22" ht="15.75" customHeight="1" x14ac:dyDescent="0.2">
      <c r="A2760" s="40">
        <v>2599</v>
      </c>
      <c r="B2760" s="41" t="s">
        <v>287</v>
      </c>
      <c r="C2760" s="42" t="s">
        <v>2477</v>
      </c>
      <c r="D2760" s="42" t="s">
        <v>2478</v>
      </c>
      <c r="E2760" s="42" t="s">
        <v>18</v>
      </c>
      <c r="F2760" s="42" t="s">
        <v>2105</v>
      </c>
      <c r="G2760" s="42" t="s">
        <v>2447</v>
      </c>
      <c r="H2760" s="43"/>
      <c r="I2760" s="43"/>
      <c r="J2760" s="43"/>
      <c r="K2760" s="43"/>
      <c r="L2760" s="43"/>
      <c r="M2760" s="43"/>
      <c r="N2760" s="43"/>
      <c r="O2760" s="43"/>
      <c r="P2760" s="43"/>
      <c r="Q2760" s="43"/>
      <c r="R2760" s="43"/>
      <c r="S2760" s="43"/>
      <c r="T2760" s="43"/>
      <c r="U2760" s="43"/>
      <c r="V2760" s="43"/>
    </row>
    <row r="2761" spans="1:22" ht="15.75" customHeight="1" x14ac:dyDescent="0.2">
      <c r="A2761" s="40">
        <v>411</v>
      </c>
      <c r="B2761" s="41" t="s">
        <v>1299</v>
      </c>
      <c r="C2761" s="42" t="s">
        <v>2479</v>
      </c>
      <c r="D2761" s="42" t="s">
        <v>124</v>
      </c>
      <c r="E2761" s="42" t="s">
        <v>129</v>
      </c>
      <c r="F2761" s="42" t="s">
        <v>2105</v>
      </c>
      <c r="G2761" s="42" t="s">
        <v>2447</v>
      </c>
      <c r="H2761" s="43"/>
      <c r="I2761" s="43"/>
      <c r="J2761" s="43"/>
      <c r="K2761" s="43"/>
      <c r="L2761" s="43"/>
      <c r="M2761" s="43"/>
      <c r="N2761" s="43"/>
      <c r="O2761" s="43"/>
      <c r="P2761" s="43"/>
      <c r="Q2761" s="43"/>
      <c r="R2761" s="43"/>
      <c r="S2761" s="43"/>
      <c r="T2761" s="43"/>
      <c r="U2761" s="43"/>
      <c r="V2761" s="43"/>
    </row>
    <row r="2762" spans="1:22" ht="15.75" customHeight="1" x14ac:dyDescent="0.2">
      <c r="A2762" s="40"/>
      <c r="B2762" s="45" t="s">
        <v>118</v>
      </c>
      <c r="C2762" s="46" t="s">
        <v>2480</v>
      </c>
      <c r="D2762" s="46" t="s">
        <v>64</v>
      </c>
      <c r="E2762" s="46" t="s">
        <v>273</v>
      </c>
      <c r="F2762" s="46" t="s">
        <v>2105</v>
      </c>
      <c r="G2762" s="46" t="s">
        <v>2447</v>
      </c>
      <c r="H2762" s="43"/>
      <c r="I2762" s="43"/>
      <c r="J2762" s="43"/>
      <c r="K2762" s="43"/>
      <c r="L2762" s="43"/>
      <c r="M2762" s="43"/>
      <c r="N2762" s="43"/>
      <c r="O2762" s="43"/>
      <c r="P2762" s="43"/>
      <c r="Q2762" s="43"/>
      <c r="R2762" s="43"/>
      <c r="S2762" s="43"/>
      <c r="T2762" s="43"/>
      <c r="U2762" s="43"/>
      <c r="V2762" s="43"/>
    </row>
    <row r="2763" spans="1:22" ht="15.75" customHeight="1" x14ac:dyDescent="0.2">
      <c r="A2763" s="40"/>
      <c r="B2763" s="45" t="s">
        <v>548</v>
      </c>
      <c r="C2763" s="46" t="s">
        <v>2480</v>
      </c>
      <c r="D2763" s="46" t="s">
        <v>64</v>
      </c>
      <c r="E2763" s="46" t="s">
        <v>273</v>
      </c>
      <c r="F2763" s="46" t="s">
        <v>2105</v>
      </c>
      <c r="G2763" s="46" t="s">
        <v>2447</v>
      </c>
      <c r="H2763" s="43"/>
      <c r="I2763" s="43"/>
      <c r="J2763" s="43"/>
      <c r="K2763" s="43"/>
      <c r="L2763" s="43"/>
      <c r="M2763" s="43"/>
      <c r="N2763" s="43"/>
      <c r="O2763" s="43"/>
      <c r="P2763" s="43"/>
      <c r="Q2763" s="43"/>
      <c r="R2763" s="43"/>
      <c r="S2763" s="43"/>
      <c r="T2763" s="43"/>
      <c r="U2763" s="43"/>
      <c r="V2763" s="43"/>
    </row>
    <row r="2764" spans="1:22" ht="15.75" customHeight="1" x14ac:dyDescent="0.2">
      <c r="A2764" s="40"/>
      <c r="B2764" s="45" t="s">
        <v>94</v>
      </c>
      <c r="C2764" s="46" t="s">
        <v>2480</v>
      </c>
      <c r="D2764" s="46" t="s">
        <v>64</v>
      </c>
      <c r="E2764" s="46" t="s">
        <v>273</v>
      </c>
      <c r="F2764" s="46" t="s">
        <v>2105</v>
      </c>
      <c r="G2764" s="46" t="s">
        <v>2447</v>
      </c>
      <c r="H2764" s="43"/>
      <c r="I2764" s="43"/>
      <c r="J2764" s="43"/>
      <c r="K2764" s="43"/>
      <c r="L2764" s="43"/>
      <c r="M2764" s="43"/>
      <c r="N2764" s="43"/>
      <c r="O2764" s="43"/>
      <c r="P2764" s="43"/>
      <c r="Q2764" s="43"/>
      <c r="R2764" s="43"/>
      <c r="S2764" s="43"/>
      <c r="T2764" s="43"/>
      <c r="U2764" s="43"/>
      <c r="V2764" s="43"/>
    </row>
    <row r="2765" spans="1:22" ht="15.75" customHeight="1" x14ac:dyDescent="0.2">
      <c r="A2765" s="40">
        <v>2873</v>
      </c>
      <c r="B2765" s="41" t="s">
        <v>519</v>
      </c>
      <c r="C2765" s="42" t="s">
        <v>2481</v>
      </c>
      <c r="D2765" s="42" t="s">
        <v>2482</v>
      </c>
      <c r="E2765" s="42" t="s">
        <v>259</v>
      </c>
      <c r="F2765" s="42" t="s">
        <v>2105</v>
      </c>
      <c r="G2765" s="42" t="s">
        <v>2447</v>
      </c>
      <c r="H2765" s="43"/>
      <c r="I2765" s="43"/>
      <c r="J2765" s="43"/>
      <c r="K2765" s="43"/>
      <c r="L2765" s="43"/>
      <c r="M2765" s="43"/>
      <c r="N2765" s="43"/>
      <c r="O2765" s="43"/>
      <c r="P2765" s="43"/>
      <c r="Q2765" s="43"/>
      <c r="R2765" s="43"/>
      <c r="S2765" s="43"/>
      <c r="T2765" s="43"/>
      <c r="U2765" s="43"/>
      <c r="V2765" s="43"/>
    </row>
    <row r="2766" spans="1:22" ht="15.75" customHeight="1" x14ac:dyDescent="0.2">
      <c r="A2766" s="40"/>
      <c r="B2766" s="45" t="s">
        <v>232</v>
      </c>
      <c r="C2766" s="46" t="s">
        <v>2483</v>
      </c>
      <c r="D2766" s="46" t="s">
        <v>116</v>
      </c>
      <c r="E2766" s="46" t="s">
        <v>87</v>
      </c>
      <c r="F2766" s="46" t="s">
        <v>2105</v>
      </c>
      <c r="G2766" s="46" t="s">
        <v>2447</v>
      </c>
      <c r="H2766" s="43"/>
      <c r="I2766" s="43"/>
      <c r="J2766" s="43"/>
      <c r="K2766" s="43"/>
      <c r="L2766" s="43"/>
      <c r="M2766" s="43"/>
      <c r="N2766" s="43"/>
      <c r="O2766" s="43"/>
      <c r="P2766" s="43"/>
      <c r="Q2766" s="43"/>
      <c r="R2766" s="43"/>
      <c r="S2766" s="43"/>
      <c r="T2766" s="43"/>
      <c r="U2766" s="43"/>
      <c r="V2766" s="43"/>
    </row>
    <row r="2767" spans="1:22" ht="15.75" customHeight="1" x14ac:dyDescent="0.2">
      <c r="A2767" s="40"/>
      <c r="B2767" s="45" t="s">
        <v>108</v>
      </c>
      <c r="C2767" s="46" t="s">
        <v>2483</v>
      </c>
      <c r="D2767" s="46" t="s">
        <v>116</v>
      </c>
      <c r="E2767" s="46" t="s">
        <v>87</v>
      </c>
      <c r="F2767" s="46" t="s">
        <v>2105</v>
      </c>
      <c r="G2767" s="46" t="s">
        <v>2447</v>
      </c>
      <c r="H2767" s="43"/>
      <c r="I2767" s="43"/>
      <c r="J2767" s="43"/>
      <c r="K2767" s="43"/>
      <c r="L2767" s="43"/>
      <c r="M2767" s="43"/>
      <c r="N2767" s="43"/>
      <c r="O2767" s="43"/>
      <c r="P2767" s="43"/>
      <c r="Q2767" s="43"/>
      <c r="R2767" s="43"/>
      <c r="S2767" s="43"/>
      <c r="T2767" s="43"/>
      <c r="U2767" s="43"/>
      <c r="V2767" s="43"/>
    </row>
    <row r="2768" spans="1:22" ht="15.75" customHeight="1" x14ac:dyDescent="0.2">
      <c r="A2768" s="40"/>
      <c r="B2768" s="45" t="s">
        <v>421</v>
      </c>
      <c r="C2768" s="46" t="s">
        <v>2483</v>
      </c>
      <c r="D2768" s="46" t="s">
        <v>139</v>
      </c>
      <c r="E2768" s="46" t="s">
        <v>87</v>
      </c>
      <c r="F2768" s="46" t="s">
        <v>2105</v>
      </c>
      <c r="G2768" s="46" t="s">
        <v>2447</v>
      </c>
      <c r="H2768" s="43"/>
      <c r="I2768" s="43"/>
      <c r="J2768" s="43"/>
      <c r="K2768" s="43"/>
      <c r="L2768" s="43"/>
      <c r="M2768" s="43"/>
      <c r="N2768" s="43"/>
      <c r="O2768" s="43"/>
      <c r="P2768" s="43"/>
      <c r="Q2768" s="43"/>
      <c r="R2768" s="43"/>
      <c r="S2768" s="43"/>
      <c r="T2768" s="43"/>
      <c r="U2768" s="43"/>
      <c r="V2768" s="43"/>
    </row>
    <row r="2769" spans="1:22" ht="15.75" customHeight="1" x14ac:dyDescent="0.2">
      <c r="A2769" s="40">
        <v>413</v>
      </c>
      <c r="B2769" s="41" t="s">
        <v>1299</v>
      </c>
      <c r="C2769" s="42" t="s">
        <v>1315</v>
      </c>
      <c r="D2769" s="42" t="s">
        <v>78</v>
      </c>
      <c r="E2769" s="42" t="s">
        <v>337</v>
      </c>
      <c r="F2769" s="42" t="s">
        <v>2105</v>
      </c>
      <c r="G2769" s="42" t="s">
        <v>2447</v>
      </c>
      <c r="H2769" s="43"/>
      <c r="I2769" s="43"/>
      <c r="J2769" s="43"/>
      <c r="K2769" s="43"/>
      <c r="L2769" s="43"/>
      <c r="M2769" s="43"/>
      <c r="N2769" s="43"/>
      <c r="O2769" s="43"/>
      <c r="P2769" s="43"/>
      <c r="Q2769" s="43"/>
      <c r="R2769" s="43"/>
      <c r="S2769" s="43"/>
      <c r="T2769" s="43"/>
      <c r="U2769" s="43"/>
      <c r="V2769" s="43"/>
    </row>
    <row r="2770" spans="1:22" ht="15.75" customHeight="1" x14ac:dyDescent="0.2">
      <c r="A2770" s="40">
        <v>1647</v>
      </c>
      <c r="B2770" s="41" t="s">
        <v>267</v>
      </c>
      <c r="C2770" s="42" t="s">
        <v>1315</v>
      </c>
      <c r="D2770" s="42" t="s">
        <v>78</v>
      </c>
      <c r="E2770" s="42" t="s">
        <v>337</v>
      </c>
      <c r="F2770" s="42" t="s">
        <v>2105</v>
      </c>
      <c r="G2770" s="42" t="s">
        <v>2447</v>
      </c>
      <c r="H2770" s="43"/>
      <c r="I2770" s="43"/>
      <c r="J2770" s="43"/>
      <c r="K2770" s="43"/>
      <c r="L2770" s="43"/>
      <c r="M2770" s="43"/>
      <c r="N2770" s="43"/>
      <c r="O2770" s="43"/>
      <c r="P2770" s="43"/>
      <c r="Q2770" s="43"/>
      <c r="R2770" s="43"/>
      <c r="S2770" s="43"/>
      <c r="T2770" s="43"/>
      <c r="U2770" s="43"/>
      <c r="V2770" s="43"/>
    </row>
    <row r="2771" spans="1:22" ht="15.75" customHeight="1" x14ac:dyDescent="0.2">
      <c r="A2771" s="40"/>
      <c r="B2771" s="45" t="s">
        <v>548</v>
      </c>
      <c r="C2771" s="46" t="s">
        <v>440</v>
      </c>
      <c r="D2771" s="46" t="s">
        <v>183</v>
      </c>
      <c r="E2771" s="46" t="s">
        <v>87</v>
      </c>
      <c r="F2771" s="46" t="s">
        <v>2105</v>
      </c>
      <c r="G2771" s="46" t="s">
        <v>2447</v>
      </c>
      <c r="H2771" s="43"/>
      <c r="I2771" s="43"/>
      <c r="J2771" s="43"/>
      <c r="K2771" s="43"/>
      <c r="L2771" s="43"/>
      <c r="M2771" s="43"/>
      <c r="N2771" s="43"/>
      <c r="O2771" s="43"/>
      <c r="P2771" s="43"/>
      <c r="Q2771" s="43"/>
      <c r="R2771" s="43"/>
      <c r="S2771" s="43"/>
      <c r="T2771" s="43"/>
      <c r="U2771" s="43"/>
      <c r="V2771" s="43"/>
    </row>
    <row r="2772" spans="1:22" ht="15.75" customHeight="1" x14ac:dyDescent="0.2">
      <c r="A2772" s="40"/>
      <c r="B2772" s="45" t="s">
        <v>94</v>
      </c>
      <c r="C2772" s="46" t="s">
        <v>440</v>
      </c>
      <c r="D2772" s="46" t="s">
        <v>183</v>
      </c>
      <c r="E2772" s="46" t="s">
        <v>87</v>
      </c>
      <c r="F2772" s="46" t="s">
        <v>2105</v>
      </c>
      <c r="G2772" s="46" t="s">
        <v>2447</v>
      </c>
      <c r="H2772" s="43"/>
      <c r="I2772" s="43"/>
      <c r="J2772" s="43"/>
      <c r="K2772" s="43"/>
      <c r="L2772" s="43"/>
      <c r="M2772" s="43"/>
      <c r="N2772" s="43"/>
      <c r="O2772" s="43"/>
      <c r="P2772" s="43"/>
      <c r="Q2772" s="43"/>
      <c r="R2772" s="43"/>
      <c r="S2772" s="43"/>
      <c r="T2772" s="43"/>
      <c r="U2772" s="43"/>
      <c r="V2772" s="43"/>
    </row>
    <row r="2773" spans="1:22" ht="15.75" customHeight="1" x14ac:dyDescent="0.2">
      <c r="A2773" s="40">
        <v>545</v>
      </c>
      <c r="B2773" s="41" t="s">
        <v>678</v>
      </c>
      <c r="C2773" s="42" t="s">
        <v>2484</v>
      </c>
      <c r="D2773" s="42" t="s">
        <v>353</v>
      </c>
      <c r="E2773" s="42" t="s">
        <v>18</v>
      </c>
      <c r="F2773" s="42" t="s">
        <v>2105</v>
      </c>
      <c r="G2773" s="42" t="s">
        <v>2447</v>
      </c>
      <c r="H2773" s="43"/>
      <c r="I2773" s="43"/>
      <c r="J2773" s="43"/>
      <c r="K2773" s="43"/>
      <c r="L2773" s="43"/>
      <c r="M2773" s="43"/>
      <c r="N2773" s="43"/>
      <c r="O2773" s="43"/>
      <c r="P2773" s="43"/>
      <c r="Q2773" s="43"/>
      <c r="R2773" s="43"/>
      <c r="S2773" s="43"/>
      <c r="T2773" s="43"/>
      <c r="U2773" s="43"/>
      <c r="V2773" s="43"/>
    </row>
    <row r="2774" spans="1:22" ht="15.75" customHeight="1" x14ac:dyDescent="0.2">
      <c r="A2774" s="40">
        <v>1165</v>
      </c>
      <c r="B2774" s="41" t="s">
        <v>433</v>
      </c>
      <c r="C2774" s="42" t="s">
        <v>2484</v>
      </c>
      <c r="D2774" s="42" t="s">
        <v>353</v>
      </c>
      <c r="E2774" s="42" t="s">
        <v>18</v>
      </c>
      <c r="F2774" s="42" t="s">
        <v>2105</v>
      </c>
      <c r="G2774" s="42" t="s">
        <v>2447</v>
      </c>
      <c r="H2774" s="43"/>
      <c r="I2774" s="43"/>
      <c r="J2774" s="43"/>
      <c r="K2774" s="43"/>
      <c r="L2774" s="43"/>
      <c r="M2774" s="43"/>
      <c r="N2774" s="43"/>
      <c r="O2774" s="43"/>
      <c r="P2774" s="43"/>
      <c r="Q2774" s="43"/>
      <c r="R2774" s="43"/>
      <c r="S2774" s="43"/>
      <c r="T2774" s="43"/>
      <c r="U2774" s="43"/>
      <c r="V2774" s="43"/>
    </row>
    <row r="2775" spans="1:22" ht="15.75" customHeight="1" x14ac:dyDescent="0.2">
      <c r="A2775" s="40"/>
      <c r="B2775" s="45" t="s">
        <v>296</v>
      </c>
      <c r="C2775" s="46" t="s">
        <v>2485</v>
      </c>
      <c r="D2775" s="46" t="s">
        <v>593</v>
      </c>
      <c r="E2775" s="46" t="s">
        <v>596</v>
      </c>
      <c r="F2775" s="46" t="s">
        <v>2105</v>
      </c>
      <c r="G2775" s="46" t="s">
        <v>2447</v>
      </c>
      <c r="H2775" s="43"/>
      <c r="I2775" s="43"/>
      <c r="J2775" s="43"/>
      <c r="K2775" s="43"/>
      <c r="L2775" s="43"/>
      <c r="M2775" s="43"/>
      <c r="N2775" s="43"/>
      <c r="O2775" s="43"/>
      <c r="P2775" s="43"/>
      <c r="Q2775" s="43"/>
      <c r="R2775" s="43"/>
      <c r="S2775" s="43"/>
      <c r="T2775" s="43"/>
      <c r="U2775" s="43"/>
      <c r="V2775" s="43"/>
    </row>
    <row r="2776" spans="1:22" ht="15.75" customHeight="1" x14ac:dyDescent="0.2">
      <c r="A2776" s="40"/>
      <c r="B2776" s="45" t="s">
        <v>108</v>
      </c>
      <c r="C2776" s="46" t="s">
        <v>2485</v>
      </c>
      <c r="D2776" s="46" t="s">
        <v>593</v>
      </c>
      <c r="E2776" s="46" t="s">
        <v>596</v>
      </c>
      <c r="F2776" s="46" t="s">
        <v>2105</v>
      </c>
      <c r="G2776" s="46" t="s">
        <v>2447</v>
      </c>
      <c r="H2776" s="43"/>
      <c r="I2776" s="43"/>
      <c r="J2776" s="43"/>
      <c r="K2776" s="43"/>
      <c r="L2776" s="43"/>
      <c r="M2776" s="43"/>
      <c r="N2776" s="43"/>
      <c r="O2776" s="43"/>
      <c r="P2776" s="43"/>
      <c r="Q2776" s="43"/>
      <c r="R2776" s="43"/>
      <c r="S2776" s="43"/>
      <c r="T2776" s="43"/>
      <c r="U2776" s="43"/>
      <c r="V2776" s="43"/>
    </row>
    <row r="2777" spans="1:22" ht="15.75" customHeight="1" x14ac:dyDescent="0.2">
      <c r="A2777" s="40"/>
      <c r="B2777" s="45" t="s">
        <v>548</v>
      </c>
      <c r="C2777" s="46" t="s">
        <v>2485</v>
      </c>
      <c r="D2777" s="46" t="s">
        <v>593</v>
      </c>
      <c r="E2777" s="46" t="s">
        <v>596</v>
      </c>
      <c r="F2777" s="46" t="s">
        <v>2105</v>
      </c>
      <c r="G2777" s="46" t="s">
        <v>2447</v>
      </c>
      <c r="H2777" s="43"/>
      <c r="I2777" s="43"/>
      <c r="J2777" s="43"/>
      <c r="K2777" s="43"/>
      <c r="L2777" s="43"/>
      <c r="M2777" s="43"/>
      <c r="N2777" s="43"/>
      <c r="O2777" s="43"/>
      <c r="P2777" s="43"/>
      <c r="Q2777" s="43"/>
      <c r="R2777" s="43"/>
      <c r="S2777" s="43"/>
      <c r="T2777" s="43"/>
      <c r="U2777" s="43"/>
      <c r="V2777" s="43"/>
    </row>
    <row r="2778" spans="1:22" ht="15.75" customHeight="1" x14ac:dyDescent="0.2">
      <c r="A2778" s="40"/>
      <c r="B2778" s="45" t="s">
        <v>94</v>
      </c>
      <c r="C2778" s="46" t="s">
        <v>2485</v>
      </c>
      <c r="D2778" s="46" t="s">
        <v>593</v>
      </c>
      <c r="E2778" s="46" t="s">
        <v>596</v>
      </c>
      <c r="F2778" s="46" t="s">
        <v>2105</v>
      </c>
      <c r="G2778" s="46" t="s">
        <v>2447</v>
      </c>
      <c r="H2778" s="43"/>
      <c r="I2778" s="43"/>
      <c r="J2778" s="43"/>
      <c r="K2778" s="43"/>
      <c r="L2778" s="43"/>
      <c r="M2778" s="43"/>
      <c r="N2778" s="43"/>
      <c r="O2778" s="43"/>
      <c r="P2778" s="43"/>
      <c r="Q2778" s="43"/>
      <c r="R2778" s="43"/>
      <c r="S2778" s="43"/>
      <c r="T2778" s="43"/>
      <c r="U2778" s="43"/>
      <c r="V2778" s="43"/>
    </row>
    <row r="2779" spans="1:22" ht="15.75" customHeight="1" x14ac:dyDescent="0.2">
      <c r="A2779" s="40">
        <v>415</v>
      </c>
      <c r="B2779" s="41" t="s">
        <v>1299</v>
      </c>
      <c r="C2779" s="42" t="s">
        <v>2486</v>
      </c>
      <c r="D2779" s="42" t="s">
        <v>124</v>
      </c>
      <c r="E2779" s="42" t="s">
        <v>273</v>
      </c>
      <c r="F2779" s="42" t="s">
        <v>2105</v>
      </c>
      <c r="G2779" s="42" t="s">
        <v>2447</v>
      </c>
      <c r="H2779" s="43"/>
      <c r="I2779" s="43"/>
      <c r="J2779" s="43"/>
      <c r="K2779" s="43"/>
      <c r="L2779" s="43"/>
      <c r="M2779" s="43"/>
      <c r="N2779" s="43"/>
      <c r="O2779" s="43"/>
      <c r="P2779" s="43"/>
      <c r="Q2779" s="43"/>
      <c r="R2779" s="43"/>
      <c r="S2779" s="43"/>
      <c r="T2779" s="43"/>
      <c r="U2779" s="43"/>
      <c r="V2779" s="43"/>
    </row>
    <row r="2780" spans="1:22" ht="15.75" customHeight="1" x14ac:dyDescent="0.2">
      <c r="A2780" s="40">
        <v>2905</v>
      </c>
      <c r="B2780" s="41" t="s">
        <v>1133</v>
      </c>
      <c r="C2780" s="42" t="s">
        <v>2486</v>
      </c>
      <c r="D2780" s="42" t="s">
        <v>124</v>
      </c>
      <c r="E2780" s="42" t="s">
        <v>273</v>
      </c>
      <c r="F2780" s="42" t="s">
        <v>2105</v>
      </c>
      <c r="G2780" s="42" t="s">
        <v>2447</v>
      </c>
      <c r="H2780" s="43"/>
      <c r="I2780" s="43"/>
      <c r="J2780" s="43"/>
      <c r="K2780" s="43"/>
      <c r="L2780" s="43"/>
      <c r="M2780" s="43"/>
      <c r="N2780" s="43"/>
      <c r="O2780" s="43"/>
      <c r="P2780" s="43"/>
      <c r="Q2780" s="43"/>
      <c r="R2780" s="43"/>
      <c r="S2780" s="43"/>
      <c r="T2780" s="43"/>
      <c r="U2780" s="43"/>
      <c r="V2780" s="43"/>
    </row>
    <row r="2781" spans="1:22" ht="15.75" customHeight="1" x14ac:dyDescent="0.2">
      <c r="A2781" s="40">
        <v>547</v>
      </c>
      <c r="B2781" s="41" t="s">
        <v>678</v>
      </c>
      <c r="C2781" s="42" t="s">
        <v>2487</v>
      </c>
      <c r="D2781" s="42" t="s">
        <v>593</v>
      </c>
      <c r="E2781" s="42" t="s">
        <v>1065</v>
      </c>
      <c r="F2781" s="42" t="s">
        <v>2105</v>
      </c>
      <c r="G2781" s="42" t="s">
        <v>2447</v>
      </c>
      <c r="H2781" s="43"/>
      <c r="I2781" s="43"/>
      <c r="J2781" s="43"/>
      <c r="K2781" s="43"/>
      <c r="L2781" s="43"/>
      <c r="M2781" s="43"/>
      <c r="N2781" s="43"/>
      <c r="O2781" s="43"/>
      <c r="P2781" s="43"/>
      <c r="Q2781" s="43"/>
      <c r="R2781" s="43"/>
      <c r="S2781" s="43"/>
      <c r="T2781" s="43"/>
      <c r="U2781" s="43"/>
      <c r="V2781" s="43"/>
    </row>
    <row r="2782" spans="1:22" ht="15.75" customHeight="1" x14ac:dyDescent="0.2">
      <c r="A2782" s="40">
        <v>1119</v>
      </c>
      <c r="B2782" s="41" t="s">
        <v>1344</v>
      </c>
      <c r="C2782" s="42" t="s">
        <v>2487</v>
      </c>
      <c r="D2782" s="42" t="s">
        <v>593</v>
      </c>
      <c r="E2782" s="42" t="s">
        <v>1065</v>
      </c>
      <c r="F2782" s="42" t="s">
        <v>2105</v>
      </c>
      <c r="G2782" s="42" t="s">
        <v>2447</v>
      </c>
      <c r="H2782" s="43"/>
      <c r="I2782" s="43"/>
      <c r="J2782" s="43"/>
      <c r="K2782" s="43"/>
      <c r="L2782" s="43"/>
      <c r="M2782" s="43"/>
      <c r="N2782" s="43"/>
      <c r="O2782" s="43"/>
      <c r="P2782" s="43"/>
      <c r="Q2782" s="43"/>
      <c r="R2782" s="43"/>
      <c r="S2782" s="43"/>
      <c r="T2782" s="43"/>
      <c r="U2782" s="43"/>
      <c r="V2782" s="43"/>
    </row>
    <row r="2783" spans="1:22" ht="15.75" customHeight="1" x14ac:dyDescent="0.2">
      <c r="A2783" s="40">
        <v>77</v>
      </c>
      <c r="B2783" s="41" t="s">
        <v>1301</v>
      </c>
      <c r="C2783" s="42" t="s">
        <v>2488</v>
      </c>
      <c r="D2783" s="42" t="s">
        <v>871</v>
      </c>
      <c r="E2783" s="42" t="s">
        <v>129</v>
      </c>
      <c r="F2783" s="42" t="s">
        <v>2105</v>
      </c>
      <c r="G2783" s="42" t="s">
        <v>2447</v>
      </c>
      <c r="H2783" s="43"/>
      <c r="I2783" s="43"/>
      <c r="J2783" s="43"/>
      <c r="K2783" s="43"/>
      <c r="L2783" s="43"/>
      <c r="M2783" s="43"/>
      <c r="N2783" s="43"/>
      <c r="O2783" s="43"/>
      <c r="P2783" s="43"/>
      <c r="Q2783" s="43"/>
      <c r="R2783" s="43"/>
      <c r="S2783" s="43"/>
      <c r="T2783" s="43"/>
      <c r="U2783" s="43"/>
      <c r="V2783" s="43"/>
    </row>
    <row r="2784" spans="1:22" ht="15.75" customHeight="1" x14ac:dyDescent="0.2">
      <c r="A2784" s="40">
        <v>945</v>
      </c>
      <c r="B2784" s="41" t="s">
        <v>709</v>
      </c>
      <c r="C2784" s="42" t="s">
        <v>2488</v>
      </c>
      <c r="D2784" s="42" t="s">
        <v>871</v>
      </c>
      <c r="E2784" s="42" t="s">
        <v>129</v>
      </c>
      <c r="F2784" s="42" t="s">
        <v>2105</v>
      </c>
      <c r="G2784" s="42" t="s">
        <v>2447</v>
      </c>
      <c r="H2784" s="43"/>
      <c r="I2784" s="43"/>
      <c r="J2784" s="43"/>
      <c r="K2784" s="43"/>
      <c r="L2784" s="43"/>
      <c r="M2784" s="43"/>
      <c r="N2784" s="43"/>
      <c r="O2784" s="43"/>
      <c r="P2784" s="43"/>
      <c r="Q2784" s="43"/>
      <c r="R2784" s="43"/>
      <c r="S2784" s="43"/>
      <c r="T2784" s="43"/>
      <c r="U2784" s="43"/>
      <c r="V2784" s="43"/>
    </row>
    <row r="2785" spans="1:22" ht="15.75" customHeight="1" x14ac:dyDescent="0.2">
      <c r="A2785" s="40">
        <v>2047</v>
      </c>
      <c r="B2785" s="41" t="s">
        <v>701</v>
      </c>
      <c r="C2785" s="42" t="s">
        <v>2488</v>
      </c>
      <c r="D2785" s="42" t="s">
        <v>871</v>
      </c>
      <c r="E2785" s="42" t="s">
        <v>129</v>
      </c>
      <c r="F2785" s="42" t="s">
        <v>2105</v>
      </c>
      <c r="G2785" s="42" t="s">
        <v>2447</v>
      </c>
      <c r="H2785" s="43"/>
      <c r="I2785" s="43"/>
      <c r="J2785" s="43"/>
      <c r="K2785" s="43"/>
      <c r="L2785" s="43"/>
      <c r="M2785" s="43"/>
      <c r="N2785" s="43"/>
      <c r="O2785" s="43"/>
      <c r="P2785" s="43"/>
      <c r="Q2785" s="43"/>
      <c r="R2785" s="43"/>
      <c r="S2785" s="43"/>
      <c r="T2785" s="43"/>
      <c r="U2785" s="43"/>
      <c r="V2785" s="43"/>
    </row>
    <row r="2786" spans="1:22" ht="15.75" customHeight="1" x14ac:dyDescent="0.2">
      <c r="A2786" s="40"/>
      <c r="B2786" s="45" t="s">
        <v>94</v>
      </c>
      <c r="C2786" s="46" t="s">
        <v>2488</v>
      </c>
      <c r="D2786" s="46" t="s">
        <v>236</v>
      </c>
      <c r="E2786" s="46" t="s">
        <v>129</v>
      </c>
      <c r="F2786" s="46" t="s">
        <v>2105</v>
      </c>
      <c r="G2786" s="46" t="s">
        <v>2447</v>
      </c>
      <c r="H2786" s="43"/>
      <c r="I2786" s="43"/>
      <c r="J2786" s="43"/>
      <c r="K2786" s="43"/>
      <c r="L2786" s="43"/>
      <c r="M2786" s="43"/>
      <c r="N2786" s="43"/>
      <c r="O2786" s="43"/>
      <c r="P2786" s="43"/>
      <c r="Q2786" s="43"/>
      <c r="R2786" s="43"/>
      <c r="S2786" s="43"/>
      <c r="T2786" s="43"/>
      <c r="U2786" s="43"/>
      <c r="V2786" s="43"/>
    </row>
    <row r="2787" spans="1:22" ht="15.75" customHeight="1" x14ac:dyDescent="0.2">
      <c r="A2787" s="40"/>
      <c r="B2787" s="45" t="s">
        <v>303</v>
      </c>
      <c r="C2787" s="46" t="s">
        <v>1478</v>
      </c>
      <c r="D2787" s="46" t="s">
        <v>697</v>
      </c>
      <c r="E2787" s="46" t="s">
        <v>40</v>
      </c>
      <c r="F2787" s="46" t="s">
        <v>2105</v>
      </c>
      <c r="G2787" s="46" t="s">
        <v>2447</v>
      </c>
      <c r="H2787" s="43"/>
      <c r="I2787" s="43"/>
      <c r="J2787" s="43"/>
      <c r="K2787" s="43"/>
      <c r="L2787" s="43"/>
      <c r="M2787" s="43"/>
      <c r="N2787" s="43"/>
      <c r="O2787" s="43"/>
      <c r="P2787" s="43"/>
      <c r="Q2787" s="43"/>
      <c r="R2787" s="43"/>
      <c r="S2787" s="43"/>
      <c r="T2787" s="43"/>
      <c r="U2787" s="43"/>
      <c r="V2787" s="43"/>
    </row>
    <row r="2788" spans="1:22" ht="15.75" customHeight="1" x14ac:dyDescent="0.2">
      <c r="A2788" s="40"/>
      <c r="B2788" s="45" t="s">
        <v>94</v>
      </c>
      <c r="C2788" s="46" t="s">
        <v>1478</v>
      </c>
      <c r="D2788" s="46" t="s">
        <v>697</v>
      </c>
      <c r="E2788" s="46" t="s">
        <v>40</v>
      </c>
      <c r="F2788" s="46" t="s">
        <v>2105</v>
      </c>
      <c r="G2788" s="46" t="s">
        <v>2447</v>
      </c>
      <c r="H2788" s="43"/>
      <c r="I2788" s="43"/>
      <c r="J2788" s="43"/>
      <c r="K2788" s="43"/>
      <c r="L2788" s="43"/>
      <c r="M2788" s="43"/>
      <c r="N2788" s="43"/>
      <c r="O2788" s="43"/>
      <c r="P2788" s="43"/>
      <c r="Q2788" s="43"/>
      <c r="R2788" s="43"/>
      <c r="S2788" s="43"/>
      <c r="T2788" s="43"/>
      <c r="U2788" s="43"/>
      <c r="V2788" s="43"/>
    </row>
    <row r="2789" spans="1:22" ht="15.75" customHeight="1" x14ac:dyDescent="0.2">
      <c r="A2789" s="40"/>
      <c r="B2789" s="45" t="s">
        <v>316</v>
      </c>
      <c r="C2789" s="46" t="s">
        <v>1181</v>
      </c>
      <c r="D2789" s="46" t="s">
        <v>353</v>
      </c>
      <c r="E2789" s="46" t="s">
        <v>259</v>
      </c>
      <c r="F2789" s="46" t="s">
        <v>2105</v>
      </c>
      <c r="G2789" s="46" t="s">
        <v>2447</v>
      </c>
      <c r="H2789" s="43"/>
      <c r="I2789" s="43"/>
      <c r="J2789" s="43"/>
      <c r="K2789" s="43"/>
      <c r="L2789" s="43"/>
      <c r="M2789" s="43"/>
      <c r="N2789" s="43"/>
      <c r="O2789" s="43"/>
      <c r="P2789" s="43"/>
      <c r="Q2789" s="43"/>
      <c r="R2789" s="43"/>
      <c r="S2789" s="43"/>
      <c r="T2789" s="43"/>
      <c r="U2789" s="43"/>
      <c r="V2789" s="43"/>
    </row>
    <row r="2790" spans="1:22" ht="15.75" customHeight="1" x14ac:dyDescent="0.2">
      <c r="A2790" s="40"/>
      <c r="B2790" s="45" t="s">
        <v>303</v>
      </c>
      <c r="C2790" s="46" t="s">
        <v>1181</v>
      </c>
      <c r="D2790" s="46" t="s">
        <v>353</v>
      </c>
      <c r="E2790" s="46" t="s">
        <v>259</v>
      </c>
      <c r="F2790" s="46" t="s">
        <v>2105</v>
      </c>
      <c r="G2790" s="46" t="s">
        <v>2447</v>
      </c>
      <c r="H2790" s="43"/>
      <c r="I2790" s="43"/>
      <c r="J2790" s="43"/>
      <c r="K2790" s="43"/>
      <c r="L2790" s="43"/>
      <c r="M2790" s="43"/>
      <c r="N2790" s="43"/>
      <c r="O2790" s="43"/>
      <c r="P2790" s="43"/>
      <c r="Q2790" s="43"/>
      <c r="R2790" s="43"/>
      <c r="S2790" s="43"/>
      <c r="T2790" s="43"/>
      <c r="U2790" s="43"/>
      <c r="V2790" s="43"/>
    </row>
    <row r="2791" spans="1:22" ht="15.75" customHeight="1" x14ac:dyDescent="0.2">
      <c r="A2791" s="40"/>
      <c r="B2791" s="45" t="s">
        <v>94</v>
      </c>
      <c r="C2791" s="46" t="s">
        <v>1181</v>
      </c>
      <c r="D2791" s="46" t="s">
        <v>353</v>
      </c>
      <c r="E2791" s="46" t="s">
        <v>259</v>
      </c>
      <c r="F2791" s="46" t="s">
        <v>2105</v>
      </c>
      <c r="G2791" s="46" t="s">
        <v>2447</v>
      </c>
      <c r="H2791" s="43"/>
      <c r="I2791" s="43"/>
      <c r="J2791" s="43"/>
      <c r="K2791" s="43"/>
      <c r="L2791" s="43"/>
      <c r="M2791" s="43"/>
      <c r="N2791" s="43"/>
      <c r="O2791" s="43"/>
      <c r="P2791" s="43"/>
      <c r="Q2791" s="43"/>
      <c r="R2791" s="43"/>
      <c r="S2791" s="43"/>
      <c r="T2791" s="43"/>
      <c r="U2791" s="43"/>
      <c r="V2791" s="43"/>
    </row>
    <row r="2792" spans="1:22" ht="15.75" customHeight="1" x14ac:dyDescent="0.2">
      <c r="A2792" s="40"/>
      <c r="B2792" s="52" t="s">
        <v>2489</v>
      </c>
      <c r="C2792" s="45" t="s">
        <v>2490</v>
      </c>
      <c r="D2792" s="46" t="s">
        <v>526</v>
      </c>
      <c r="E2792" s="46"/>
      <c r="F2792" s="46" t="s">
        <v>2105</v>
      </c>
      <c r="G2792" s="46" t="s">
        <v>2447</v>
      </c>
      <c r="H2792" s="43"/>
      <c r="I2792" s="43"/>
      <c r="J2792" s="43"/>
      <c r="K2792" s="43"/>
      <c r="L2792" s="43"/>
      <c r="M2792" s="43"/>
      <c r="N2792" s="43"/>
      <c r="O2792" s="43"/>
      <c r="P2792" s="43"/>
      <c r="Q2792" s="43"/>
      <c r="R2792" s="43"/>
      <c r="S2792" s="43"/>
      <c r="T2792" s="43"/>
      <c r="U2792" s="43"/>
      <c r="V2792" s="43"/>
    </row>
    <row r="2793" spans="1:22" ht="15.75" customHeight="1" x14ac:dyDescent="0.2">
      <c r="A2793" s="40"/>
      <c r="B2793" s="45" t="s">
        <v>102</v>
      </c>
      <c r="C2793" s="46" t="s">
        <v>2127</v>
      </c>
      <c r="D2793" s="46" t="s">
        <v>73</v>
      </c>
      <c r="E2793" s="46" t="s">
        <v>2491</v>
      </c>
      <c r="F2793" s="46" t="s">
        <v>2492</v>
      </c>
      <c r="G2793" s="46" t="s">
        <v>2447</v>
      </c>
      <c r="H2793" s="43"/>
      <c r="I2793" s="43"/>
      <c r="J2793" s="43"/>
      <c r="K2793" s="43"/>
      <c r="L2793" s="43"/>
      <c r="M2793" s="43"/>
      <c r="N2793" s="43"/>
      <c r="O2793" s="43"/>
      <c r="P2793" s="43"/>
      <c r="Q2793" s="43"/>
      <c r="R2793" s="43"/>
      <c r="S2793" s="43"/>
      <c r="T2793" s="43"/>
      <c r="U2793" s="43"/>
      <c r="V2793" s="43"/>
    </row>
    <row r="2794" spans="1:22" ht="15.75" customHeight="1" x14ac:dyDescent="0.2">
      <c r="A2794" s="40"/>
      <c r="B2794" s="45" t="s">
        <v>108</v>
      </c>
      <c r="C2794" s="46" t="s">
        <v>2127</v>
      </c>
      <c r="D2794" s="46" t="s">
        <v>73</v>
      </c>
      <c r="E2794" s="46" t="s">
        <v>2491</v>
      </c>
      <c r="F2794" s="46" t="s">
        <v>2492</v>
      </c>
      <c r="G2794" s="46" t="s">
        <v>2447</v>
      </c>
      <c r="H2794" s="43"/>
      <c r="I2794" s="43"/>
      <c r="J2794" s="43"/>
      <c r="K2794" s="43"/>
      <c r="L2794" s="43"/>
      <c r="M2794" s="43"/>
      <c r="N2794" s="43"/>
      <c r="O2794" s="43"/>
      <c r="P2794" s="43"/>
      <c r="Q2794" s="43"/>
      <c r="R2794" s="43"/>
      <c r="S2794" s="43"/>
      <c r="T2794" s="43"/>
      <c r="U2794" s="43"/>
      <c r="V2794" s="43"/>
    </row>
    <row r="2795" spans="1:22" ht="15.75" customHeight="1" x14ac:dyDescent="0.2">
      <c r="A2795" s="40"/>
      <c r="B2795" s="45" t="s">
        <v>307</v>
      </c>
      <c r="C2795" s="46" t="s">
        <v>2493</v>
      </c>
      <c r="D2795" s="46" t="s">
        <v>554</v>
      </c>
      <c r="E2795" s="46" t="s">
        <v>306</v>
      </c>
      <c r="F2795" s="46" t="s">
        <v>2492</v>
      </c>
      <c r="G2795" s="46" t="s">
        <v>2447</v>
      </c>
      <c r="H2795" s="43"/>
      <c r="I2795" s="43"/>
      <c r="J2795" s="43"/>
      <c r="K2795" s="43"/>
      <c r="L2795" s="43"/>
      <c r="M2795" s="43"/>
      <c r="N2795" s="43"/>
      <c r="O2795" s="43"/>
      <c r="P2795" s="43"/>
      <c r="Q2795" s="43"/>
      <c r="R2795" s="43"/>
      <c r="S2795" s="43"/>
      <c r="T2795" s="43"/>
      <c r="U2795" s="43"/>
      <c r="V2795" s="43"/>
    </row>
    <row r="2796" spans="1:22" ht="15.75" customHeight="1" x14ac:dyDescent="0.2">
      <c r="A2796" s="40"/>
      <c r="B2796" s="45" t="s">
        <v>311</v>
      </c>
      <c r="C2796" s="46" t="s">
        <v>2493</v>
      </c>
      <c r="D2796" s="46" t="s">
        <v>554</v>
      </c>
      <c r="E2796" s="46" t="s">
        <v>306</v>
      </c>
      <c r="F2796" s="46" t="s">
        <v>2492</v>
      </c>
      <c r="G2796" s="46" t="s">
        <v>2447</v>
      </c>
      <c r="H2796" s="43"/>
      <c r="I2796" s="43"/>
      <c r="J2796" s="43"/>
      <c r="K2796" s="43"/>
      <c r="L2796" s="43"/>
      <c r="M2796" s="43"/>
      <c r="N2796" s="43"/>
      <c r="O2796" s="43"/>
      <c r="P2796" s="43"/>
      <c r="Q2796" s="43"/>
      <c r="R2796" s="43"/>
      <c r="S2796" s="43"/>
      <c r="T2796" s="43"/>
      <c r="U2796" s="43"/>
      <c r="V2796" s="43"/>
    </row>
    <row r="2797" spans="1:22" ht="15.75" customHeight="1" x14ac:dyDescent="0.2">
      <c r="A2797" s="40">
        <v>651</v>
      </c>
      <c r="B2797" s="41" t="s">
        <v>248</v>
      </c>
      <c r="C2797" s="42" t="s">
        <v>1564</v>
      </c>
      <c r="D2797" s="42" t="s">
        <v>1171</v>
      </c>
      <c r="E2797" s="42" t="s">
        <v>251</v>
      </c>
      <c r="F2797" s="42" t="s">
        <v>2492</v>
      </c>
      <c r="G2797" s="42" t="s">
        <v>2447</v>
      </c>
      <c r="H2797" s="43"/>
      <c r="I2797" s="43"/>
      <c r="J2797" s="43"/>
      <c r="K2797" s="43"/>
      <c r="L2797" s="43"/>
      <c r="M2797" s="43"/>
      <c r="N2797" s="43"/>
      <c r="O2797" s="43"/>
      <c r="P2797" s="43"/>
      <c r="Q2797" s="43"/>
      <c r="R2797" s="43"/>
      <c r="S2797" s="43"/>
      <c r="T2797" s="43"/>
      <c r="U2797" s="43"/>
      <c r="V2797" s="43"/>
    </row>
    <row r="2798" spans="1:22" ht="15.75" customHeight="1" x14ac:dyDescent="0.2">
      <c r="A2798" s="40"/>
      <c r="B2798" s="45" t="s">
        <v>126</v>
      </c>
      <c r="C2798" s="46" t="s">
        <v>1564</v>
      </c>
      <c r="D2798" s="46" t="s">
        <v>680</v>
      </c>
      <c r="E2798" s="46" t="s">
        <v>251</v>
      </c>
      <c r="F2798" s="46" t="s">
        <v>2492</v>
      </c>
      <c r="G2798" s="46" t="s">
        <v>2447</v>
      </c>
      <c r="H2798" s="43"/>
      <c r="I2798" s="43"/>
      <c r="J2798" s="43"/>
      <c r="K2798" s="43"/>
      <c r="L2798" s="43"/>
      <c r="M2798" s="43"/>
      <c r="N2798" s="43"/>
      <c r="O2798" s="43"/>
      <c r="P2798" s="43"/>
      <c r="Q2798" s="43"/>
      <c r="R2798" s="43"/>
      <c r="S2798" s="43"/>
      <c r="T2798" s="43"/>
      <c r="U2798" s="43"/>
      <c r="V2798" s="43"/>
    </row>
    <row r="2799" spans="1:22" ht="15.75" customHeight="1" x14ac:dyDescent="0.2">
      <c r="A2799" s="40"/>
      <c r="B2799" s="45" t="s">
        <v>94</v>
      </c>
      <c r="C2799" s="46" t="s">
        <v>1564</v>
      </c>
      <c r="D2799" s="46" t="s">
        <v>680</v>
      </c>
      <c r="E2799" s="46" t="s">
        <v>251</v>
      </c>
      <c r="F2799" s="46" t="s">
        <v>2492</v>
      </c>
      <c r="G2799" s="46" t="s">
        <v>2447</v>
      </c>
      <c r="H2799" s="43"/>
      <c r="I2799" s="43"/>
      <c r="J2799" s="43"/>
      <c r="K2799" s="43"/>
      <c r="L2799" s="43"/>
      <c r="M2799" s="43"/>
      <c r="N2799" s="43"/>
      <c r="O2799" s="43"/>
      <c r="P2799" s="43"/>
      <c r="Q2799" s="43"/>
      <c r="R2799" s="43"/>
      <c r="S2799" s="43"/>
      <c r="T2799" s="43"/>
      <c r="U2799" s="43"/>
      <c r="V2799" s="43"/>
    </row>
    <row r="2800" spans="1:22" ht="15.75" customHeight="1" x14ac:dyDescent="0.2">
      <c r="A2800" s="40"/>
      <c r="B2800" s="45" t="s">
        <v>297</v>
      </c>
      <c r="C2800" s="46" t="s">
        <v>2494</v>
      </c>
      <c r="D2800" s="46" t="s">
        <v>506</v>
      </c>
      <c r="E2800" s="46" t="s">
        <v>306</v>
      </c>
      <c r="F2800" s="46" t="s">
        <v>2492</v>
      </c>
      <c r="G2800" s="46" t="s">
        <v>2447</v>
      </c>
      <c r="H2800" s="43"/>
      <c r="I2800" s="43"/>
      <c r="J2800" s="43"/>
      <c r="K2800" s="43"/>
      <c r="L2800" s="43"/>
      <c r="M2800" s="43"/>
      <c r="N2800" s="43"/>
      <c r="O2800" s="43"/>
      <c r="P2800" s="43"/>
      <c r="Q2800" s="43"/>
      <c r="R2800" s="43"/>
      <c r="S2800" s="43"/>
      <c r="T2800" s="43"/>
      <c r="U2800" s="43"/>
      <c r="V2800" s="43"/>
    </row>
    <row r="2801" spans="1:22" ht="15.75" customHeight="1" x14ac:dyDescent="0.2">
      <c r="A2801" s="40"/>
      <c r="B2801" s="45" t="s">
        <v>300</v>
      </c>
      <c r="C2801" s="46" t="s">
        <v>2494</v>
      </c>
      <c r="D2801" s="46" t="s">
        <v>506</v>
      </c>
      <c r="E2801" s="46" t="s">
        <v>306</v>
      </c>
      <c r="F2801" s="46" t="s">
        <v>2492</v>
      </c>
      <c r="G2801" s="46" t="s">
        <v>2447</v>
      </c>
      <c r="H2801" s="43"/>
      <c r="I2801" s="43"/>
      <c r="J2801" s="43"/>
      <c r="K2801" s="43"/>
      <c r="L2801" s="43"/>
      <c r="M2801" s="43"/>
      <c r="N2801" s="43"/>
      <c r="O2801" s="43"/>
      <c r="P2801" s="43"/>
      <c r="Q2801" s="43"/>
      <c r="R2801" s="43"/>
      <c r="S2801" s="43"/>
      <c r="T2801" s="43"/>
      <c r="U2801" s="43"/>
      <c r="V2801" s="43"/>
    </row>
    <row r="2802" spans="1:22" ht="15.75" customHeight="1" x14ac:dyDescent="0.2">
      <c r="A2802" s="40"/>
      <c r="B2802" s="45" t="s">
        <v>297</v>
      </c>
      <c r="C2802" s="46" t="s">
        <v>2495</v>
      </c>
      <c r="D2802" s="46" t="s">
        <v>1037</v>
      </c>
      <c r="E2802" s="46" t="s">
        <v>348</v>
      </c>
      <c r="F2802" s="46" t="s">
        <v>2492</v>
      </c>
      <c r="G2802" s="46" t="s">
        <v>2447</v>
      </c>
      <c r="H2802" s="43"/>
      <c r="I2802" s="43"/>
      <c r="J2802" s="43"/>
      <c r="K2802" s="43"/>
      <c r="L2802" s="43"/>
      <c r="M2802" s="43"/>
      <c r="N2802" s="43"/>
      <c r="O2802" s="43"/>
      <c r="P2802" s="43"/>
      <c r="Q2802" s="43"/>
      <c r="R2802" s="43"/>
      <c r="S2802" s="43"/>
      <c r="T2802" s="43"/>
      <c r="U2802" s="43"/>
      <c r="V2802" s="43"/>
    </row>
    <row r="2803" spans="1:22" ht="15.75" customHeight="1" x14ac:dyDescent="0.2">
      <c r="A2803" s="40"/>
      <c r="B2803" s="45" t="s">
        <v>316</v>
      </c>
      <c r="C2803" s="46" t="s">
        <v>2495</v>
      </c>
      <c r="D2803" s="46" t="s">
        <v>1037</v>
      </c>
      <c r="E2803" s="46" t="s">
        <v>348</v>
      </c>
      <c r="F2803" s="46" t="s">
        <v>2492</v>
      </c>
      <c r="G2803" s="46" t="s">
        <v>2447</v>
      </c>
      <c r="H2803" s="43"/>
      <c r="I2803" s="43"/>
      <c r="J2803" s="43"/>
      <c r="K2803" s="43"/>
      <c r="L2803" s="43"/>
      <c r="M2803" s="43"/>
      <c r="N2803" s="43"/>
      <c r="O2803" s="43"/>
      <c r="P2803" s="43"/>
      <c r="Q2803" s="43"/>
      <c r="R2803" s="43"/>
      <c r="S2803" s="43"/>
      <c r="T2803" s="43"/>
      <c r="U2803" s="43"/>
      <c r="V2803" s="43"/>
    </row>
    <row r="2804" spans="1:22" ht="15.75" customHeight="1" x14ac:dyDescent="0.2">
      <c r="A2804" s="40">
        <v>281</v>
      </c>
      <c r="B2804" s="41" t="s">
        <v>628</v>
      </c>
      <c r="C2804" s="42" t="s">
        <v>2496</v>
      </c>
      <c r="D2804" s="42" t="s">
        <v>124</v>
      </c>
      <c r="E2804" s="42" t="s">
        <v>306</v>
      </c>
      <c r="F2804" s="42" t="s">
        <v>2497</v>
      </c>
      <c r="G2804" s="42" t="s">
        <v>2447</v>
      </c>
      <c r="H2804" s="43"/>
      <c r="I2804" s="43"/>
      <c r="J2804" s="43"/>
      <c r="K2804" s="43"/>
      <c r="L2804" s="43"/>
      <c r="M2804" s="43"/>
      <c r="N2804" s="43"/>
      <c r="O2804" s="43"/>
      <c r="P2804" s="43"/>
      <c r="Q2804" s="43"/>
      <c r="R2804" s="43"/>
      <c r="S2804" s="43"/>
      <c r="T2804" s="43"/>
      <c r="U2804" s="43"/>
      <c r="V2804" s="43"/>
    </row>
    <row r="2805" spans="1:22" ht="15.75" customHeight="1" x14ac:dyDescent="0.2">
      <c r="A2805" s="40">
        <v>451</v>
      </c>
      <c r="B2805" s="41" t="s">
        <v>674</v>
      </c>
      <c r="C2805" s="42" t="s">
        <v>2498</v>
      </c>
      <c r="D2805" s="42" t="s">
        <v>399</v>
      </c>
      <c r="E2805" s="42" t="s">
        <v>348</v>
      </c>
      <c r="F2805" s="42" t="s">
        <v>2497</v>
      </c>
      <c r="G2805" s="42" t="s">
        <v>2447</v>
      </c>
      <c r="H2805" s="43"/>
      <c r="I2805" s="43"/>
      <c r="J2805" s="43"/>
      <c r="K2805" s="43"/>
      <c r="L2805" s="43"/>
      <c r="M2805" s="43"/>
      <c r="N2805" s="43"/>
      <c r="O2805" s="43"/>
      <c r="P2805" s="43"/>
      <c r="Q2805" s="43"/>
      <c r="R2805" s="43"/>
      <c r="S2805" s="43"/>
      <c r="T2805" s="43"/>
      <c r="U2805" s="43"/>
      <c r="V2805" s="43"/>
    </row>
    <row r="2806" spans="1:22" ht="15.75" customHeight="1" x14ac:dyDescent="0.2">
      <c r="A2806" s="40">
        <v>487</v>
      </c>
      <c r="B2806" s="41" t="s">
        <v>445</v>
      </c>
      <c r="C2806" s="42" t="s">
        <v>2498</v>
      </c>
      <c r="D2806" s="42" t="s">
        <v>399</v>
      </c>
      <c r="E2806" s="42" t="s">
        <v>348</v>
      </c>
      <c r="F2806" s="42" t="s">
        <v>2497</v>
      </c>
      <c r="G2806" s="42" t="s">
        <v>2447</v>
      </c>
      <c r="H2806" s="43"/>
      <c r="I2806" s="43"/>
      <c r="J2806" s="43"/>
      <c r="K2806" s="43"/>
      <c r="L2806" s="43"/>
      <c r="M2806" s="43"/>
      <c r="N2806" s="43"/>
      <c r="O2806" s="43"/>
      <c r="P2806" s="43"/>
      <c r="Q2806" s="43"/>
      <c r="R2806" s="43"/>
      <c r="S2806" s="43"/>
      <c r="T2806" s="43"/>
      <c r="U2806" s="43"/>
      <c r="V2806" s="43"/>
    </row>
    <row r="2807" spans="1:22" ht="15.75" customHeight="1" x14ac:dyDescent="0.2">
      <c r="A2807" s="40">
        <v>529</v>
      </c>
      <c r="B2807" s="41" t="s">
        <v>678</v>
      </c>
      <c r="C2807" s="42" t="s">
        <v>2499</v>
      </c>
      <c r="D2807" s="42" t="s">
        <v>656</v>
      </c>
      <c r="E2807" s="42" t="s">
        <v>374</v>
      </c>
      <c r="F2807" s="42" t="s">
        <v>2497</v>
      </c>
      <c r="G2807" s="42" t="s">
        <v>2447</v>
      </c>
      <c r="H2807" s="43"/>
      <c r="I2807" s="43"/>
      <c r="J2807" s="43"/>
      <c r="K2807" s="43"/>
      <c r="L2807" s="43"/>
      <c r="M2807" s="43"/>
      <c r="N2807" s="43"/>
      <c r="O2807" s="43"/>
      <c r="P2807" s="43"/>
      <c r="Q2807" s="43"/>
      <c r="R2807" s="43"/>
      <c r="S2807" s="43"/>
      <c r="T2807" s="43"/>
      <c r="U2807" s="43"/>
      <c r="V2807" s="43"/>
    </row>
    <row r="2808" spans="1:22" ht="15.75" customHeight="1" x14ac:dyDescent="0.2">
      <c r="A2808" s="40">
        <v>653</v>
      </c>
      <c r="B2808" s="41" t="s">
        <v>248</v>
      </c>
      <c r="C2808" s="42" t="s">
        <v>2500</v>
      </c>
      <c r="D2808" s="42" t="s">
        <v>399</v>
      </c>
      <c r="E2808" s="42" t="s">
        <v>357</v>
      </c>
      <c r="F2808" s="42" t="s">
        <v>2497</v>
      </c>
      <c r="G2808" s="42" t="s">
        <v>2447</v>
      </c>
      <c r="H2808" s="43"/>
      <c r="I2808" s="43"/>
      <c r="J2808" s="43"/>
      <c r="K2808" s="43"/>
      <c r="L2808" s="43"/>
      <c r="M2808" s="43"/>
      <c r="N2808" s="43"/>
      <c r="O2808" s="43"/>
      <c r="P2808" s="43"/>
      <c r="Q2808" s="43"/>
      <c r="R2808" s="43"/>
      <c r="S2808" s="43"/>
      <c r="T2808" s="43"/>
      <c r="U2808" s="43"/>
      <c r="V2808" s="43"/>
    </row>
    <row r="2809" spans="1:22" ht="15.75" customHeight="1" x14ac:dyDescent="0.2">
      <c r="A2809" s="40">
        <v>655</v>
      </c>
      <c r="B2809" s="41" t="s">
        <v>248</v>
      </c>
      <c r="C2809" s="42" t="s">
        <v>2501</v>
      </c>
      <c r="D2809" s="42" t="s">
        <v>1937</v>
      </c>
      <c r="E2809" s="42" t="s">
        <v>357</v>
      </c>
      <c r="F2809" s="42" t="s">
        <v>2497</v>
      </c>
      <c r="G2809" s="42" t="s">
        <v>2447</v>
      </c>
      <c r="H2809" s="43"/>
      <c r="I2809" s="43"/>
      <c r="J2809" s="43"/>
      <c r="K2809" s="43"/>
      <c r="L2809" s="43"/>
      <c r="M2809" s="43"/>
      <c r="N2809" s="43"/>
      <c r="O2809" s="43"/>
      <c r="P2809" s="43"/>
      <c r="Q2809" s="43"/>
      <c r="R2809" s="43"/>
      <c r="S2809" s="43"/>
      <c r="T2809" s="43"/>
      <c r="U2809" s="43"/>
      <c r="V2809" s="43"/>
    </row>
    <row r="2810" spans="1:22" ht="15.75" customHeight="1" x14ac:dyDescent="0.2">
      <c r="A2810" s="40">
        <v>1147</v>
      </c>
      <c r="B2810" s="41" t="s">
        <v>433</v>
      </c>
      <c r="C2810" s="42" t="s">
        <v>2499</v>
      </c>
      <c r="D2810" s="42" t="s">
        <v>656</v>
      </c>
      <c r="E2810" s="42" t="s">
        <v>374</v>
      </c>
      <c r="F2810" s="42" t="s">
        <v>2497</v>
      </c>
      <c r="G2810" s="42" t="s">
        <v>2447</v>
      </c>
      <c r="H2810" s="43"/>
      <c r="I2810" s="43"/>
      <c r="J2810" s="43"/>
      <c r="K2810" s="43"/>
      <c r="L2810" s="43"/>
      <c r="M2810" s="43"/>
      <c r="N2810" s="43"/>
      <c r="O2810" s="43"/>
      <c r="P2810" s="43"/>
      <c r="Q2810" s="43"/>
      <c r="R2810" s="43"/>
      <c r="S2810" s="43"/>
      <c r="T2810" s="43"/>
      <c r="U2810" s="43"/>
      <c r="V2810" s="43"/>
    </row>
    <row r="2811" spans="1:22" ht="15.75" customHeight="1" x14ac:dyDescent="0.2">
      <c r="A2811" s="40">
        <v>1259</v>
      </c>
      <c r="B2811" s="41" t="s">
        <v>699</v>
      </c>
      <c r="C2811" s="42" t="s">
        <v>2502</v>
      </c>
      <c r="D2811" s="42" t="s">
        <v>124</v>
      </c>
      <c r="E2811" s="42" t="s">
        <v>306</v>
      </c>
      <c r="F2811" s="42" t="s">
        <v>2497</v>
      </c>
      <c r="G2811" s="42" t="s">
        <v>2447</v>
      </c>
      <c r="H2811" s="43"/>
      <c r="I2811" s="43"/>
      <c r="J2811" s="43"/>
      <c r="K2811" s="43"/>
      <c r="L2811" s="43"/>
      <c r="M2811" s="43"/>
      <c r="N2811" s="43"/>
      <c r="O2811" s="43"/>
      <c r="P2811" s="43"/>
      <c r="Q2811" s="43"/>
      <c r="R2811" s="43"/>
      <c r="S2811" s="43"/>
      <c r="T2811" s="43"/>
      <c r="U2811" s="43"/>
      <c r="V2811" s="43"/>
    </row>
    <row r="2812" spans="1:22" ht="15.75" customHeight="1" x14ac:dyDescent="0.2">
      <c r="A2812" s="40">
        <v>1319</v>
      </c>
      <c r="B2812" s="41" t="s">
        <v>936</v>
      </c>
      <c r="C2812" s="42" t="s">
        <v>2496</v>
      </c>
      <c r="D2812" s="42" t="s">
        <v>124</v>
      </c>
      <c r="E2812" s="42" t="s">
        <v>306</v>
      </c>
      <c r="F2812" s="42" t="s">
        <v>2497</v>
      </c>
      <c r="G2812" s="42" t="s">
        <v>2447</v>
      </c>
      <c r="H2812" s="43"/>
      <c r="I2812" s="43"/>
      <c r="J2812" s="43"/>
      <c r="K2812" s="43"/>
      <c r="L2812" s="43"/>
      <c r="M2812" s="43"/>
      <c r="N2812" s="43"/>
      <c r="O2812" s="43"/>
      <c r="P2812" s="43"/>
      <c r="Q2812" s="43"/>
      <c r="R2812" s="43"/>
      <c r="S2812" s="43"/>
      <c r="T2812" s="43"/>
      <c r="U2812" s="43"/>
      <c r="V2812" s="43"/>
    </row>
    <row r="2813" spans="1:22" ht="15.75" customHeight="1" x14ac:dyDescent="0.2">
      <c r="A2813" s="40">
        <v>1431</v>
      </c>
      <c r="B2813" s="41" t="s">
        <v>386</v>
      </c>
      <c r="C2813" s="42" t="s">
        <v>2502</v>
      </c>
      <c r="D2813" s="42" t="s">
        <v>58</v>
      </c>
      <c r="E2813" s="42" t="s">
        <v>306</v>
      </c>
      <c r="F2813" s="42" t="s">
        <v>2497</v>
      </c>
      <c r="G2813" s="42" t="s">
        <v>2447</v>
      </c>
      <c r="H2813" s="43"/>
      <c r="I2813" s="43"/>
      <c r="J2813" s="43"/>
      <c r="K2813" s="43"/>
      <c r="L2813" s="43"/>
      <c r="M2813" s="43"/>
      <c r="N2813" s="43"/>
      <c r="O2813" s="43"/>
      <c r="P2813" s="43"/>
      <c r="Q2813" s="43"/>
      <c r="R2813" s="43"/>
      <c r="S2813" s="43"/>
      <c r="T2813" s="43"/>
      <c r="U2813" s="43"/>
      <c r="V2813" s="43"/>
    </row>
    <row r="2814" spans="1:22" ht="15.75" customHeight="1" x14ac:dyDescent="0.2">
      <c r="A2814" s="40">
        <v>1913</v>
      </c>
      <c r="B2814" s="41" t="s">
        <v>277</v>
      </c>
      <c r="C2814" s="42" t="s">
        <v>2502</v>
      </c>
      <c r="D2814" s="42" t="s">
        <v>58</v>
      </c>
      <c r="E2814" s="42" t="s">
        <v>306</v>
      </c>
      <c r="F2814" s="42" t="s">
        <v>2497</v>
      </c>
      <c r="G2814" s="42" t="s">
        <v>2447</v>
      </c>
      <c r="H2814" s="43"/>
      <c r="I2814" s="43"/>
      <c r="J2814" s="43"/>
      <c r="K2814" s="43"/>
      <c r="L2814" s="43"/>
      <c r="M2814" s="43"/>
      <c r="N2814" s="43"/>
      <c r="O2814" s="43"/>
      <c r="P2814" s="43"/>
      <c r="Q2814" s="43"/>
      <c r="R2814" s="43"/>
      <c r="S2814" s="43"/>
      <c r="T2814" s="43"/>
      <c r="U2814" s="43"/>
      <c r="V2814" s="43"/>
    </row>
    <row r="2815" spans="1:22" ht="15.75" customHeight="1" x14ac:dyDescent="0.2">
      <c r="A2815" s="40">
        <v>2639</v>
      </c>
      <c r="B2815" s="41" t="s">
        <v>702</v>
      </c>
      <c r="C2815" s="42" t="s">
        <v>2503</v>
      </c>
      <c r="D2815" s="42" t="s">
        <v>124</v>
      </c>
      <c r="E2815" s="42" t="s">
        <v>310</v>
      </c>
      <c r="F2815" s="42" t="s">
        <v>2497</v>
      </c>
      <c r="G2815" s="42" t="s">
        <v>2447</v>
      </c>
      <c r="H2815" s="43"/>
      <c r="I2815" s="43"/>
      <c r="J2815" s="43"/>
      <c r="K2815" s="43"/>
      <c r="L2815" s="43"/>
      <c r="M2815" s="43"/>
      <c r="N2815" s="43"/>
      <c r="O2815" s="43"/>
      <c r="P2815" s="43"/>
      <c r="Q2815" s="43"/>
      <c r="R2815" s="43"/>
      <c r="S2815" s="43"/>
      <c r="T2815" s="43"/>
      <c r="U2815" s="43"/>
      <c r="V2815" s="43"/>
    </row>
    <row r="2816" spans="1:22" ht="15.75" customHeight="1" x14ac:dyDescent="0.2">
      <c r="A2816" s="40">
        <v>2757</v>
      </c>
      <c r="B2816" s="41" t="s">
        <v>944</v>
      </c>
      <c r="C2816" s="42" t="s">
        <v>2503</v>
      </c>
      <c r="D2816" s="42" t="s">
        <v>124</v>
      </c>
      <c r="E2816" s="42" t="s">
        <v>310</v>
      </c>
      <c r="F2816" s="42" t="s">
        <v>2497</v>
      </c>
      <c r="G2816" s="42" t="s">
        <v>2447</v>
      </c>
      <c r="H2816" s="43"/>
      <c r="I2816" s="43"/>
      <c r="J2816" s="43"/>
      <c r="K2816" s="43"/>
      <c r="L2816" s="43"/>
      <c r="M2816" s="43"/>
      <c r="N2816" s="43"/>
      <c r="O2816" s="43"/>
      <c r="P2816" s="43"/>
      <c r="Q2816" s="43"/>
      <c r="R2816" s="43"/>
      <c r="S2816" s="43"/>
      <c r="T2816" s="43"/>
      <c r="U2816" s="43"/>
      <c r="V2816" s="43"/>
    </row>
    <row r="2817" spans="1:22" ht="15.75" customHeight="1" x14ac:dyDescent="0.2">
      <c r="A2817" s="40">
        <v>2935</v>
      </c>
      <c r="B2817" s="41" t="s">
        <v>722</v>
      </c>
      <c r="C2817" s="42" t="s">
        <v>2502</v>
      </c>
      <c r="D2817" s="42" t="s">
        <v>124</v>
      </c>
      <c r="E2817" s="42" t="s">
        <v>306</v>
      </c>
      <c r="F2817" s="42" t="s">
        <v>2497</v>
      </c>
      <c r="G2817" s="42" t="s">
        <v>2447</v>
      </c>
      <c r="H2817" s="43"/>
      <c r="I2817" s="43"/>
      <c r="J2817" s="43"/>
      <c r="K2817" s="43"/>
      <c r="L2817" s="43"/>
      <c r="M2817" s="43"/>
      <c r="N2817" s="43"/>
      <c r="O2817" s="43"/>
      <c r="P2817" s="43"/>
      <c r="Q2817" s="43"/>
      <c r="R2817" s="43"/>
      <c r="S2817" s="43"/>
      <c r="T2817" s="43"/>
      <c r="U2817" s="43"/>
      <c r="V2817" s="43"/>
    </row>
    <row r="2818" spans="1:22" ht="15.75" customHeight="1" x14ac:dyDescent="0.2">
      <c r="A2818" s="40"/>
      <c r="B2818" s="45" t="s">
        <v>315</v>
      </c>
      <c r="C2818" s="46" t="s">
        <v>2504</v>
      </c>
      <c r="D2818" s="46" t="s">
        <v>1041</v>
      </c>
      <c r="E2818" s="46" t="s">
        <v>40</v>
      </c>
      <c r="F2818" s="46" t="s">
        <v>2505</v>
      </c>
      <c r="G2818" s="46" t="s">
        <v>2447</v>
      </c>
      <c r="H2818" s="43"/>
      <c r="I2818" s="43"/>
      <c r="J2818" s="43"/>
      <c r="K2818" s="43"/>
      <c r="L2818" s="43"/>
      <c r="M2818" s="43"/>
      <c r="N2818" s="43"/>
      <c r="O2818" s="43"/>
      <c r="P2818" s="43"/>
      <c r="Q2818" s="43"/>
      <c r="R2818" s="43"/>
      <c r="S2818" s="43"/>
      <c r="T2818" s="43"/>
      <c r="U2818" s="43"/>
      <c r="V2818" s="43"/>
    </row>
    <row r="2819" spans="1:22" ht="15.75" customHeight="1" x14ac:dyDescent="0.2">
      <c r="A2819" s="40"/>
      <c r="B2819" s="45" t="s">
        <v>323</v>
      </c>
      <c r="C2819" s="46" t="s">
        <v>2504</v>
      </c>
      <c r="D2819" s="46" t="s">
        <v>1041</v>
      </c>
      <c r="E2819" s="46" t="s">
        <v>40</v>
      </c>
      <c r="F2819" s="46" t="s">
        <v>2505</v>
      </c>
      <c r="G2819" s="46" t="s">
        <v>2447</v>
      </c>
      <c r="H2819" s="43"/>
      <c r="I2819" s="43"/>
      <c r="J2819" s="43"/>
      <c r="K2819" s="43"/>
      <c r="L2819" s="43"/>
      <c r="M2819" s="43"/>
      <c r="N2819" s="43"/>
      <c r="O2819" s="43"/>
      <c r="P2819" s="43"/>
      <c r="Q2819" s="43"/>
      <c r="R2819" s="43"/>
      <c r="S2819" s="43"/>
      <c r="T2819" s="43"/>
      <c r="U2819" s="43"/>
      <c r="V2819" s="43"/>
    </row>
    <row r="2820" spans="1:22" ht="15.75" customHeight="1" x14ac:dyDescent="0.2">
      <c r="A2820" s="40"/>
      <c r="B2820" s="45" t="s">
        <v>94</v>
      </c>
      <c r="C2820" s="46" t="s">
        <v>2506</v>
      </c>
      <c r="D2820" s="46" t="s">
        <v>86</v>
      </c>
      <c r="E2820" s="46" t="s">
        <v>129</v>
      </c>
      <c r="F2820" s="46" t="s">
        <v>2505</v>
      </c>
      <c r="G2820" s="46" t="s">
        <v>2447</v>
      </c>
      <c r="H2820" s="43"/>
      <c r="I2820" s="43"/>
      <c r="J2820" s="43"/>
      <c r="K2820" s="43"/>
      <c r="L2820" s="43"/>
      <c r="M2820" s="43"/>
      <c r="N2820" s="43"/>
      <c r="O2820" s="43"/>
      <c r="P2820" s="43"/>
      <c r="Q2820" s="43"/>
      <c r="R2820" s="43"/>
      <c r="S2820" s="43"/>
      <c r="T2820" s="43"/>
      <c r="U2820" s="43"/>
      <c r="V2820" s="43"/>
    </row>
    <row r="2821" spans="1:22" ht="15.75" customHeight="1" x14ac:dyDescent="0.2">
      <c r="A2821" s="40">
        <v>135</v>
      </c>
      <c r="B2821" s="41" t="s">
        <v>2507</v>
      </c>
      <c r="C2821" s="42" t="s">
        <v>2508</v>
      </c>
      <c r="D2821" s="42" t="s">
        <v>1031</v>
      </c>
      <c r="E2821" s="42" t="s">
        <v>720</v>
      </c>
      <c r="F2821" s="42" t="s">
        <v>2509</v>
      </c>
      <c r="G2821" s="42" t="s">
        <v>2447</v>
      </c>
      <c r="H2821" s="43"/>
      <c r="I2821" s="43"/>
      <c r="J2821" s="43"/>
      <c r="K2821" s="43"/>
      <c r="L2821" s="43"/>
      <c r="M2821" s="43"/>
      <c r="N2821" s="43"/>
      <c r="O2821" s="43"/>
      <c r="P2821" s="43"/>
      <c r="Q2821" s="43"/>
      <c r="R2821" s="43"/>
      <c r="S2821" s="43"/>
      <c r="T2821" s="43"/>
      <c r="U2821" s="43"/>
      <c r="V2821" s="43"/>
    </row>
    <row r="2822" spans="1:22" ht="15.75" customHeight="1" x14ac:dyDescent="0.2">
      <c r="A2822" s="40">
        <v>359</v>
      </c>
      <c r="B2822" s="41" t="s">
        <v>100</v>
      </c>
      <c r="C2822" s="42" t="s">
        <v>2508</v>
      </c>
      <c r="D2822" s="42" t="s">
        <v>1031</v>
      </c>
      <c r="E2822" s="42" t="s">
        <v>720</v>
      </c>
      <c r="F2822" s="42" t="s">
        <v>2509</v>
      </c>
      <c r="G2822" s="42" t="s">
        <v>2447</v>
      </c>
      <c r="H2822" s="43"/>
      <c r="I2822" s="43"/>
      <c r="J2822" s="43"/>
      <c r="K2822" s="43"/>
      <c r="L2822" s="43"/>
      <c r="M2822" s="43"/>
      <c r="N2822" s="43"/>
      <c r="O2822" s="43"/>
      <c r="P2822" s="43"/>
      <c r="Q2822" s="43"/>
      <c r="R2822" s="43"/>
      <c r="S2822" s="43"/>
      <c r="T2822" s="43"/>
      <c r="U2822" s="43"/>
      <c r="V2822" s="43"/>
    </row>
    <row r="2823" spans="1:22" ht="15.75" customHeight="1" x14ac:dyDescent="0.2">
      <c r="A2823" s="40"/>
      <c r="B2823" s="45" t="s">
        <v>94</v>
      </c>
      <c r="C2823" s="46" t="s">
        <v>2510</v>
      </c>
      <c r="D2823" s="46" t="s">
        <v>574</v>
      </c>
      <c r="E2823" s="46" t="s">
        <v>314</v>
      </c>
      <c r="F2823" s="46" t="s">
        <v>2509</v>
      </c>
      <c r="G2823" s="46" t="s">
        <v>2447</v>
      </c>
      <c r="H2823" s="43"/>
      <c r="I2823" s="43"/>
      <c r="J2823" s="43"/>
      <c r="K2823" s="43"/>
      <c r="L2823" s="43"/>
      <c r="M2823" s="43"/>
      <c r="N2823" s="43"/>
      <c r="O2823" s="43"/>
      <c r="P2823" s="43"/>
      <c r="Q2823" s="43"/>
      <c r="R2823" s="43"/>
      <c r="S2823" s="43"/>
      <c r="T2823" s="43"/>
      <c r="U2823" s="43"/>
      <c r="V2823" s="43"/>
    </row>
    <row r="2824" spans="1:22" ht="15.75" customHeight="1" x14ac:dyDescent="0.2">
      <c r="A2824" s="40"/>
      <c r="B2824" s="45" t="s">
        <v>297</v>
      </c>
      <c r="C2824" s="46" t="s">
        <v>2128</v>
      </c>
      <c r="D2824" s="46" t="s">
        <v>75</v>
      </c>
      <c r="E2824" s="46" t="s">
        <v>1169</v>
      </c>
      <c r="F2824" s="46" t="s">
        <v>2509</v>
      </c>
      <c r="G2824" s="46" t="s">
        <v>2447</v>
      </c>
      <c r="H2824" s="43"/>
      <c r="I2824" s="43"/>
      <c r="J2824" s="43"/>
      <c r="K2824" s="43"/>
      <c r="L2824" s="43"/>
      <c r="M2824" s="43"/>
      <c r="N2824" s="43"/>
      <c r="O2824" s="43"/>
      <c r="P2824" s="43"/>
      <c r="Q2824" s="43"/>
      <c r="R2824" s="43"/>
      <c r="S2824" s="43"/>
      <c r="T2824" s="43"/>
      <c r="U2824" s="43"/>
      <c r="V2824" s="43"/>
    </row>
    <row r="2825" spans="1:22" ht="15.75" customHeight="1" x14ac:dyDescent="0.2">
      <c r="A2825" s="40"/>
      <c r="B2825" s="45" t="s">
        <v>94</v>
      </c>
      <c r="C2825" s="46" t="s">
        <v>2128</v>
      </c>
      <c r="D2825" s="46" t="s">
        <v>75</v>
      </c>
      <c r="E2825" s="46" t="s">
        <v>1169</v>
      </c>
      <c r="F2825" s="46" t="s">
        <v>2509</v>
      </c>
      <c r="G2825" s="46" t="s">
        <v>2447</v>
      </c>
      <c r="H2825" s="43"/>
      <c r="I2825" s="43"/>
      <c r="J2825" s="43"/>
      <c r="K2825" s="43"/>
      <c r="L2825" s="43"/>
      <c r="M2825" s="43"/>
      <c r="N2825" s="43"/>
      <c r="O2825" s="43"/>
      <c r="P2825" s="43"/>
      <c r="Q2825" s="43"/>
      <c r="R2825" s="43"/>
      <c r="S2825" s="43"/>
      <c r="T2825" s="43"/>
      <c r="U2825" s="43"/>
      <c r="V2825" s="43"/>
    </row>
    <row r="2826" spans="1:22" ht="15.75" customHeight="1" x14ac:dyDescent="0.2">
      <c r="A2826" s="40"/>
      <c r="B2826" s="45" t="s">
        <v>94</v>
      </c>
      <c r="C2826" s="46" t="s">
        <v>2511</v>
      </c>
      <c r="D2826" s="46" t="s">
        <v>39</v>
      </c>
      <c r="E2826" s="46" t="s">
        <v>87</v>
      </c>
      <c r="F2826" s="46" t="s">
        <v>2509</v>
      </c>
      <c r="G2826" s="46" t="s">
        <v>2447</v>
      </c>
      <c r="H2826" s="43"/>
      <c r="I2826" s="43"/>
      <c r="J2826" s="43"/>
      <c r="K2826" s="43"/>
      <c r="L2826" s="43"/>
      <c r="M2826" s="43"/>
      <c r="N2826" s="43"/>
      <c r="O2826" s="43"/>
      <c r="P2826" s="43"/>
      <c r="Q2826" s="43"/>
      <c r="R2826" s="43"/>
      <c r="S2826" s="43"/>
      <c r="T2826" s="43"/>
      <c r="U2826" s="43"/>
      <c r="V2826" s="43"/>
    </row>
    <row r="2827" spans="1:22" ht="15.75" customHeight="1" x14ac:dyDescent="0.2">
      <c r="A2827" s="40"/>
      <c r="B2827" s="45" t="s">
        <v>108</v>
      </c>
      <c r="C2827" s="46" t="s">
        <v>2512</v>
      </c>
      <c r="D2827" s="46" t="s">
        <v>124</v>
      </c>
      <c r="E2827" s="46" t="s">
        <v>1097</v>
      </c>
      <c r="F2827" s="46" t="s">
        <v>2509</v>
      </c>
      <c r="G2827" s="46" t="s">
        <v>2447</v>
      </c>
      <c r="H2827" s="43"/>
      <c r="I2827" s="43"/>
      <c r="J2827" s="43"/>
      <c r="K2827" s="43"/>
      <c r="L2827" s="43"/>
      <c r="M2827" s="43"/>
      <c r="N2827" s="43"/>
      <c r="O2827" s="43"/>
      <c r="P2827" s="43"/>
      <c r="Q2827" s="43"/>
      <c r="R2827" s="43"/>
      <c r="S2827" s="43"/>
      <c r="T2827" s="43"/>
      <c r="U2827" s="43"/>
      <c r="V2827" s="43"/>
    </row>
    <row r="2828" spans="1:22" ht="15.75" customHeight="1" x14ac:dyDescent="0.2">
      <c r="A2828" s="40"/>
      <c r="B2828" s="45" t="s">
        <v>94</v>
      </c>
      <c r="C2828" s="46" t="s">
        <v>2512</v>
      </c>
      <c r="D2828" s="46" t="s">
        <v>124</v>
      </c>
      <c r="E2828" s="46" t="s">
        <v>1097</v>
      </c>
      <c r="F2828" s="46" t="s">
        <v>2509</v>
      </c>
      <c r="G2828" s="46" t="s">
        <v>2447</v>
      </c>
      <c r="H2828" s="43"/>
      <c r="I2828" s="43"/>
      <c r="J2828" s="43"/>
      <c r="K2828" s="43"/>
      <c r="L2828" s="43"/>
      <c r="M2828" s="43"/>
      <c r="N2828" s="43"/>
      <c r="O2828" s="43"/>
      <c r="P2828" s="43"/>
      <c r="Q2828" s="43"/>
      <c r="R2828" s="43"/>
      <c r="S2828" s="43"/>
      <c r="T2828" s="43"/>
      <c r="U2828" s="43"/>
      <c r="V2828" s="43"/>
    </row>
    <row r="2829" spans="1:22" ht="15.75" customHeight="1" x14ac:dyDescent="0.2">
      <c r="A2829" s="40"/>
      <c r="B2829" s="45" t="s">
        <v>94</v>
      </c>
      <c r="C2829" s="46" t="s">
        <v>729</v>
      </c>
      <c r="D2829" s="46" t="s">
        <v>120</v>
      </c>
      <c r="E2829" s="46" t="s">
        <v>87</v>
      </c>
      <c r="F2829" s="46" t="s">
        <v>2509</v>
      </c>
      <c r="G2829" s="46" t="s">
        <v>2447</v>
      </c>
      <c r="H2829" s="43"/>
      <c r="I2829" s="43"/>
      <c r="J2829" s="43"/>
      <c r="K2829" s="43"/>
      <c r="L2829" s="43"/>
      <c r="M2829" s="43"/>
      <c r="N2829" s="43"/>
      <c r="O2829" s="43"/>
      <c r="P2829" s="43"/>
      <c r="Q2829" s="43"/>
      <c r="R2829" s="43"/>
      <c r="S2829" s="43"/>
      <c r="T2829" s="43"/>
      <c r="U2829" s="43"/>
      <c r="V2829" s="43"/>
    </row>
    <row r="2830" spans="1:22" ht="15.75" customHeight="1" x14ac:dyDescent="0.2">
      <c r="A2830" s="40">
        <v>2347</v>
      </c>
      <c r="B2830" s="41" t="s">
        <v>1700</v>
      </c>
      <c r="C2830" s="42" t="s">
        <v>1347</v>
      </c>
      <c r="D2830" s="42" t="s">
        <v>333</v>
      </c>
      <c r="E2830" s="42" t="s">
        <v>1169</v>
      </c>
      <c r="F2830" s="42" t="s">
        <v>2513</v>
      </c>
      <c r="G2830" s="42" t="s">
        <v>2447</v>
      </c>
      <c r="H2830" s="43"/>
      <c r="I2830" s="43"/>
      <c r="J2830" s="43"/>
      <c r="K2830" s="43"/>
      <c r="L2830" s="43"/>
      <c r="M2830" s="43"/>
      <c r="N2830" s="43"/>
      <c r="O2830" s="43"/>
      <c r="P2830" s="43"/>
      <c r="Q2830" s="43"/>
      <c r="R2830" s="43"/>
      <c r="S2830" s="43"/>
      <c r="T2830" s="43"/>
      <c r="U2830" s="43"/>
      <c r="V2830" s="43"/>
    </row>
    <row r="2831" spans="1:22" ht="15.75" customHeight="1" x14ac:dyDescent="0.2">
      <c r="A2831" s="40">
        <v>49</v>
      </c>
      <c r="B2831" s="41" t="s">
        <v>226</v>
      </c>
      <c r="C2831" s="42" t="s">
        <v>2514</v>
      </c>
      <c r="D2831" s="42" t="s">
        <v>2515</v>
      </c>
      <c r="E2831" s="42" t="s">
        <v>2516</v>
      </c>
      <c r="F2831" s="42" t="s">
        <v>2517</v>
      </c>
      <c r="G2831" s="42" t="s">
        <v>2518</v>
      </c>
    </row>
    <row r="2832" spans="1:22" ht="15.75" customHeight="1" x14ac:dyDescent="0.2">
      <c r="A2832" s="40">
        <v>97</v>
      </c>
      <c r="B2832" s="41" t="s">
        <v>415</v>
      </c>
      <c r="C2832" s="42" t="s">
        <v>2514</v>
      </c>
      <c r="D2832" s="42" t="s">
        <v>2515</v>
      </c>
      <c r="E2832" s="42" t="s">
        <v>2516</v>
      </c>
      <c r="F2832" s="42" t="s">
        <v>2517</v>
      </c>
      <c r="G2832" s="42" t="s">
        <v>2518</v>
      </c>
    </row>
    <row r="2833" spans="1:7" ht="15.75" customHeight="1" x14ac:dyDescent="0.2">
      <c r="A2833" s="40">
        <v>173</v>
      </c>
      <c r="B2833" s="41" t="s">
        <v>1125</v>
      </c>
      <c r="C2833" s="42" t="s">
        <v>2514</v>
      </c>
      <c r="D2833" s="42" t="s">
        <v>2515</v>
      </c>
      <c r="E2833" s="42" t="s">
        <v>2516</v>
      </c>
      <c r="F2833" s="42" t="s">
        <v>2517</v>
      </c>
      <c r="G2833" s="42" t="s">
        <v>2518</v>
      </c>
    </row>
    <row r="2834" spans="1:7" ht="15.75" customHeight="1" x14ac:dyDescent="0.2">
      <c r="A2834" s="40">
        <v>197</v>
      </c>
      <c r="B2834" s="41" t="s">
        <v>1631</v>
      </c>
      <c r="C2834" s="42" t="s">
        <v>2514</v>
      </c>
      <c r="D2834" s="42" t="s">
        <v>2515</v>
      </c>
      <c r="E2834" s="42" t="s">
        <v>2516</v>
      </c>
      <c r="F2834" s="42" t="s">
        <v>2517</v>
      </c>
      <c r="G2834" s="42" t="s">
        <v>2518</v>
      </c>
    </row>
    <row r="2835" spans="1:7" ht="15.75" customHeight="1" x14ac:dyDescent="0.2">
      <c r="A2835" s="40">
        <v>771</v>
      </c>
      <c r="B2835" s="41" t="s">
        <v>1112</v>
      </c>
      <c r="C2835" s="42" t="s">
        <v>2519</v>
      </c>
      <c r="D2835" s="42" t="s">
        <v>2520</v>
      </c>
      <c r="E2835" s="42"/>
      <c r="F2835" s="42" t="s">
        <v>2521</v>
      </c>
      <c r="G2835" s="42" t="s">
        <v>2518</v>
      </c>
    </row>
    <row r="2836" spans="1:7" ht="15.75" customHeight="1" x14ac:dyDescent="0.2">
      <c r="A2836" s="40">
        <v>285</v>
      </c>
      <c r="B2836" s="41" t="s">
        <v>896</v>
      </c>
      <c r="C2836" s="42" t="s">
        <v>2519</v>
      </c>
      <c r="D2836" s="42" t="s">
        <v>2520</v>
      </c>
      <c r="E2836" s="42"/>
      <c r="F2836" s="42" t="s">
        <v>2521</v>
      </c>
      <c r="G2836" s="42" t="s">
        <v>2518</v>
      </c>
    </row>
    <row r="2837" spans="1:7" ht="15.75" customHeight="1" x14ac:dyDescent="0.2">
      <c r="A2837" s="40">
        <v>15</v>
      </c>
      <c r="B2837" s="41" t="s">
        <v>411</v>
      </c>
      <c r="C2837" s="42" t="s">
        <v>2522</v>
      </c>
      <c r="D2837" s="42" t="s">
        <v>2523</v>
      </c>
      <c r="E2837" s="42"/>
      <c r="F2837" s="42" t="s">
        <v>2524</v>
      </c>
      <c r="G2837" s="42" t="s">
        <v>2525</v>
      </c>
    </row>
    <row r="2838" spans="1:7" ht="15.75" customHeight="1" x14ac:dyDescent="0.2">
      <c r="A2838" s="40">
        <v>37</v>
      </c>
      <c r="B2838" s="41" t="s">
        <v>2156</v>
      </c>
      <c r="C2838" s="42" t="s">
        <v>2522</v>
      </c>
      <c r="D2838" s="42" t="s">
        <v>2523</v>
      </c>
      <c r="E2838" s="42"/>
      <c r="F2838" s="42" t="s">
        <v>2524</v>
      </c>
      <c r="G2838" s="42" t="s">
        <v>2525</v>
      </c>
    </row>
    <row r="2839" spans="1:7" ht="15.75" customHeight="1" x14ac:dyDescent="0.2">
      <c r="A2839" s="40">
        <v>67</v>
      </c>
      <c r="B2839" s="41" t="s">
        <v>226</v>
      </c>
      <c r="C2839" s="42" t="s">
        <v>2522</v>
      </c>
      <c r="D2839" s="42" t="s">
        <v>2523</v>
      </c>
      <c r="E2839" s="42"/>
      <c r="F2839" s="42" t="s">
        <v>2524</v>
      </c>
      <c r="G2839" s="42" t="s">
        <v>2525</v>
      </c>
    </row>
    <row r="2840" spans="1:7" ht="15.75" customHeight="1" x14ac:dyDescent="0.2">
      <c r="A2840" s="40">
        <v>115</v>
      </c>
      <c r="B2840" s="41" t="s">
        <v>360</v>
      </c>
      <c r="C2840" s="42" t="s">
        <v>2526</v>
      </c>
      <c r="D2840" s="42" t="s">
        <v>2527</v>
      </c>
      <c r="E2840" s="42"/>
      <c r="F2840" s="42" t="s">
        <v>2528</v>
      </c>
      <c r="G2840" s="42" t="s">
        <v>2529</v>
      </c>
    </row>
    <row r="2841" spans="1:7" ht="15.75" customHeight="1" x14ac:dyDescent="0.2">
      <c r="A2841" s="40">
        <v>117</v>
      </c>
      <c r="B2841" s="41" t="s">
        <v>360</v>
      </c>
      <c r="C2841" s="42" t="s">
        <v>2530</v>
      </c>
      <c r="D2841" s="42" t="s">
        <v>2531</v>
      </c>
      <c r="E2841" s="42"/>
      <c r="F2841" s="42" t="s">
        <v>2528</v>
      </c>
      <c r="G2841" s="42" t="s">
        <v>2529</v>
      </c>
    </row>
    <row r="2842" spans="1:7" ht="15.75" customHeight="1" x14ac:dyDescent="0.2">
      <c r="A2842" s="40">
        <v>143</v>
      </c>
      <c r="B2842" s="41" t="s">
        <v>2101</v>
      </c>
      <c r="C2842" s="42" t="s">
        <v>2532</v>
      </c>
      <c r="D2842" s="42" t="s">
        <v>2158</v>
      </c>
      <c r="E2842" s="42"/>
      <c r="F2842" s="42" t="s">
        <v>2528</v>
      </c>
      <c r="G2842" s="42" t="s">
        <v>2529</v>
      </c>
    </row>
    <row r="2843" spans="1:7" ht="15.75" customHeight="1" x14ac:dyDescent="0.2">
      <c r="A2843" s="40">
        <v>227</v>
      </c>
      <c r="B2843" s="41" t="s">
        <v>2533</v>
      </c>
      <c r="C2843" s="42" t="s">
        <v>2532</v>
      </c>
      <c r="D2843" s="42" t="s">
        <v>2158</v>
      </c>
      <c r="E2843" s="42"/>
      <c r="F2843" s="42" t="s">
        <v>2528</v>
      </c>
      <c r="G2843" s="42" t="s">
        <v>2529</v>
      </c>
    </row>
    <row r="2844" spans="1:7" ht="15.75" customHeight="1" x14ac:dyDescent="0.2">
      <c r="A2844" s="40">
        <v>343</v>
      </c>
      <c r="B2844" s="41" t="s">
        <v>100</v>
      </c>
      <c r="C2844" s="42" t="s">
        <v>2526</v>
      </c>
      <c r="D2844" s="42" t="s">
        <v>2527</v>
      </c>
      <c r="E2844" s="42"/>
      <c r="F2844" s="42" t="s">
        <v>2528</v>
      </c>
      <c r="G2844" s="42" t="s">
        <v>2529</v>
      </c>
    </row>
    <row r="2845" spans="1:7" ht="15.75" customHeight="1" x14ac:dyDescent="0.2">
      <c r="A2845" s="40">
        <v>365</v>
      </c>
      <c r="B2845" s="41" t="s">
        <v>2534</v>
      </c>
      <c r="C2845" s="42" t="s">
        <v>2526</v>
      </c>
      <c r="D2845" s="42" t="s">
        <v>2527</v>
      </c>
      <c r="E2845" s="42"/>
      <c r="F2845" s="42" t="s">
        <v>2528</v>
      </c>
      <c r="G2845" s="42" t="s">
        <v>2529</v>
      </c>
    </row>
    <row r="2846" spans="1:7" ht="15.75" customHeight="1" x14ac:dyDescent="0.2">
      <c r="A2846" s="40">
        <v>369</v>
      </c>
      <c r="B2846" s="41" t="s">
        <v>2534</v>
      </c>
      <c r="C2846" s="42" t="s">
        <v>2530</v>
      </c>
      <c r="D2846" s="42" t="s">
        <v>2531</v>
      </c>
      <c r="E2846" s="42"/>
      <c r="F2846" s="42" t="s">
        <v>2528</v>
      </c>
      <c r="G2846" s="42" t="s">
        <v>2529</v>
      </c>
    </row>
    <row r="2847" spans="1:7" ht="15.75" customHeight="1" x14ac:dyDescent="0.2">
      <c r="A2847" s="40">
        <v>65</v>
      </c>
      <c r="B2847" s="41" t="s">
        <v>226</v>
      </c>
      <c r="C2847" s="42" t="s">
        <v>2535</v>
      </c>
      <c r="D2847" s="42" t="s">
        <v>2536</v>
      </c>
      <c r="E2847" s="42" t="s">
        <v>2537</v>
      </c>
      <c r="F2847" s="42" t="s">
        <v>2538</v>
      </c>
      <c r="G2847" s="42" t="s">
        <v>2539</v>
      </c>
    </row>
    <row r="2848" spans="1:7" ht="15.75" customHeight="1" x14ac:dyDescent="0.2">
      <c r="A2848" s="40">
        <v>223</v>
      </c>
      <c r="B2848" s="41" t="s">
        <v>1744</v>
      </c>
      <c r="C2848" s="42" t="s">
        <v>2540</v>
      </c>
      <c r="D2848" s="42" t="s">
        <v>2541</v>
      </c>
      <c r="E2848" s="42" t="s">
        <v>2542</v>
      </c>
      <c r="F2848" s="42" t="s">
        <v>2543</v>
      </c>
      <c r="G2848" s="42" t="s">
        <v>2544</v>
      </c>
    </row>
    <row r="2849" spans="1:22" ht="15.75" customHeight="1" x14ac:dyDescent="0.2">
      <c r="A2849" s="40">
        <v>165</v>
      </c>
      <c r="B2849" s="41" t="s">
        <v>1121</v>
      </c>
      <c r="C2849" s="42" t="s">
        <v>2545</v>
      </c>
      <c r="D2849" s="42" t="s">
        <v>2546</v>
      </c>
      <c r="E2849" s="42"/>
      <c r="F2849" s="42" t="s">
        <v>2547</v>
      </c>
      <c r="G2849" s="42" t="s">
        <v>2548</v>
      </c>
    </row>
    <row r="2850" spans="1:22" ht="15.75" customHeight="1" x14ac:dyDescent="0.2">
      <c r="A2850" s="40">
        <v>187</v>
      </c>
      <c r="B2850" s="41" t="s">
        <v>1125</v>
      </c>
      <c r="C2850" s="42" t="s">
        <v>2545</v>
      </c>
      <c r="D2850" s="42" t="s">
        <v>2546</v>
      </c>
      <c r="E2850" s="42"/>
      <c r="F2850" s="42" t="s">
        <v>2547</v>
      </c>
      <c r="G2850" s="42" t="s">
        <v>2548</v>
      </c>
    </row>
    <row r="2851" spans="1:22" ht="15.75" customHeight="1" x14ac:dyDescent="0.2">
      <c r="A2851" s="40">
        <v>7</v>
      </c>
      <c r="B2851" s="41" t="s">
        <v>411</v>
      </c>
      <c r="C2851" s="42" t="s">
        <v>2549</v>
      </c>
      <c r="D2851" s="42" t="s">
        <v>2550</v>
      </c>
      <c r="E2851" s="42"/>
      <c r="F2851" s="42" t="s">
        <v>2551</v>
      </c>
      <c r="G2851" s="42" t="s">
        <v>2548</v>
      </c>
    </row>
    <row r="2852" spans="1:22" ht="15.75" customHeight="1" x14ac:dyDescent="0.2">
      <c r="A2852" s="40">
        <v>27</v>
      </c>
      <c r="B2852" s="41" t="s">
        <v>2156</v>
      </c>
      <c r="C2852" s="42" t="s">
        <v>2549</v>
      </c>
      <c r="D2852" s="42" t="s">
        <v>2550</v>
      </c>
      <c r="E2852" s="42"/>
      <c r="F2852" s="42" t="s">
        <v>2551</v>
      </c>
      <c r="G2852" s="42" t="s">
        <v>2548</v>
      </c>
    </row>
    <row r="2853" spans="1:22" ht="15.75" customHeight="1" x14ac:dyDescent="0.2">
      <c r="A2853" s="40">
        <v>57</v>
      </c>
      <c r="B2853" s="41" t="s">
        <v>226</v>
      </c>
      <c r="C2853" s="42" t="s">
        <v>2549</v>
      </c>
      <c r="D2853" s="42" t="s">
        <v>2550</v>
      </c>
      <c r="E2853" s="42"/>
      <c r="F2853" s="42" t="s">
        <v>2551</v>
      </c>
      <c r="G2853" s="42" t="s">
        <v>2548</v>
      </c>
    </row>
    <row r="2854" spans="1:22" ht="15.75" customHeight="1" x14ac:dyDescent="0.2">
      <c r="A2854" s="40">
        <v>103</v>
      </c>
      <c r="B2854" s="41" t="s">
        <v>415</v>
      </c>
      <c r="C2854" s="42" t="s">
        <v>2549</v>
      </c>
      <c r="D2854" s="42" t="s">
        <v>2550</v>
      </c>
      <c r="E2854" s="42"/>
      <c r="F2854" s="42" t="s">
        <v>2551</v>
      </c>
      <c r="G2854" s="42" t="s">
        <v>2548</v>
      </c>
    </row>
    <row r="2855" spans="1:22" ht="15.75" customHeight="1" x14ac:dyDescent="0.2">
      <c r="A2855" s="40">
        <v>235</v>
      </c>
      <c r="B2855" s="41" t="s">
        <v>19</v>
      </c>
      <c r="C2855" s="42" t="s">
        <v>2552</v>
      </c>
      <c r="D2855" s="42" t="s">
        <v>2553</v>
      </c>
      <c r="E2855" s="42"/>
      <c r="F2855" s="42" t="s">
        <v>2554</v>
      </c>
      <c r="G2855" s="42" t="s">
        <v>2555</v>
      </c>
    </row>
    <row r="2856" spans="1:22" ht="15.75" customHeight="1" x14ac:dyDescent="0.2">
      <c r="A2856" s="40">
        <v>387</v>
      </c>
      <c r="B2856" s="41" t="s">
        <v>2556</v>
      </c>
      <c r="C2856" s="42" t="s">
        <v>2557</v>
      </c>
      <c r="D2856" s="42" t="s">
        <v>2558</v>
      </c>
      <c r="E2856" s="42" t="s">
        <v>2559</v>
      </c>
      <c r="F2856" s="42" t="s">
        <v>14</v>
      </c>
      <c r="G2856" s="42" t="s">
        <v>2560</v>
      </c>
    </row>
    <row r="2857" spans="1:22" ht="15.75" customHeight="1" x14ac:dyDescent="0.2">
      <c r="A2857" s="40">
        <v>389</v>
      </c>
      <c r="B2857" s="41" t="s">
        <v>2556</v>
      </c>
      <c r="C2857" s="42" t="s">
        <v>2557</v>
      </c>
      <c r="D2857" s="42" t="s">
        <v>2561</v>
      </c>
      <c r="E2857" s="42" t="s">
        <v>2562</v>
      </c>
      <c r="F2857" s="42" t="s">
        <v>14</v>
      </c>
      <c r="G2857" s="42" t="s">
        <v>2560</v>
      </c>
    </row>
    <row r="2858" spans="1:22" ht="15.75" customHeight="1" x14ac:dyDescent="0.2">
      <c r="A2858" s="40">
        <v>55</v>
      </c>
      <c r="B2858" s="41" t="s">
        <v>226</v>
      </c>
      <c r="C2858" s="42" t="s">
        <v>2563</v>
      </c>
      <c r="D2858" s="42" t="s">
        <v>2297</v>
      </c>
      <c r="E2858" s="42" t="s">
        <v>403</v>
      </c>
      <c r="F2858" s="42" t="s">
        <v>2260</v>
      </c>
      <c r="G2858" s="42" t="s">
        <v>2560</v>
      </c>
      <c r="H2858" s="43"/>
      <c r="I2858" s="43"/>
      <c r="J2858" s="43"/>
      <c r="K2858" s="43"/>
      <c r="L2858" s="43"/>
      <c r="M2858" s="43"/>
      <c r="N2858" s="43"/>
      <c r="O2858" s="43"/>
      <c r="P2858" s="43"/>
      <c r="Q2858" s="43"/>
      <c r="R2858" s="43"/>
      <c r="S2858" s="43"/>
      <c r="T2858" s="43"/>
      <c r="U2858" s="43"/>
      <c r="V2858" s="43"/>
    </row>
    <row r="2859" spans="1:22" ht="15.75" customHeight="1" x14ac:dyDescent="0.2">
      <c r="A2859" s="40">
        <v>91</v>
      </c>
      <c r="B2859" s="41" t="s">
        <v>226</v>
      </c>
      <c r="C2859" s="42" t="s">
        <v>2563</v>
      </c>
      <c r="D2859" s="42" t="s">
        <v>2564</v>
      </c>
      <c r="E2859" s="42" t="s">
        <v>403</v>
      </c>
      <c r="F2859" s="42" t="s">
        <v>2260</v>
      </c>
      <c r="G2859" s="42" t="s">
        <v>2560</v>
      </c>
      <c r="H2859" s="43"/>
      <c r="I2859" s="43"/>
      <c r="J2859" s="43"/>
      <c r="K2859" s="43"/>
      <c r="L2859" s="43"/>
      <c r="M2859" s="43"/>
      <c r="N2859" s="43"/>
      <c r="O2859" s="43"/>
      <c r="P2859" s="43"/>
      <c r="Q2859" s="43"/>
      <c r="R2859" s="43"/>
      <c r="S2859" s="43"/>
      <c r="T2859" s="43"/>
      <c r="U2859" s="43"/>
      <c r="V2859" s="43"/>
    </row>
    <row r="2860" spans="1:22" ht="15.75" customHeight="1" x14ac:dyDescent="0.2">
      <c r="A2860" s="40">
        <v>291</v>
      </c>
      <c r="B2860" s="41" t="s">
        <v>726</v>
      </c>
      <c r="C2860" s="42" t="s">
        <v>2565</v>
      </c>
      <c r="D2860" s="42" t="s">
        <v>2301</v>
      </c>
      <c r="E2860" s="42" t="s">
        <v>2566</v>
      </c>
      <c r="F2860" s="42" t="s">
        <v>2567</v>
      </c>
      <c r="G2860" s="42" t="s">
        <v>2560</v>
      </c>
    </row>
    <row r="2861" spans="1:22" ht="15.75" customHeight="1" x14ac:dyDescent="0.2">
      <c r="A2861" s="40">
        <v>323</v>
      </c>
      <c r="B2861" s="41" t="s">
        <v>2568</v>
      </c>
      <c r="C2861" s="42" t="s">
        <v>2569</v>
      </c>
      <c r="D2861" s="42" t="s">
        <v>2570</v>
      </c>
      <c r="E2861" s="42" t="s">
        <v>2571</v>
      </c>
      <c r="F2861" s="42" t="s">
        <v>2572</v>
      </c>
      <c r="G2861" s="42" t="s">
        <v>2560</v>
      </c>
    </row>
    <row r="2862" spans="1:22" ht="15.75" customHeight="1" x14ac:dyDescent="0.2">
      <c r="A2862" s="48">
        <v>405</v>
      </c>
      <c r="B2862" s="49" t="s">
        <v>1126</v>
      </c>
      <c r="C2862" s="50" t="s">
        <v>2569</v>
      </c>
      <c r="D2862" s="50" t="s">
        <v>2570</v>
      </c>
      <c r="E2862" s="50" t="s">
        <v>2571</v>
      </c>
      <c r="F2862" s="42" t="s">
        <v>2572</v>
      </c>
      <c r="G2862" s="42" t="s">
        <v>2560</v>
      </c>
    </row>
    <row r="2863" spans="1:22" ht="15.75" customHeight="1" x14ac:dyDescent="0.2">
      <c r="A2863" s="40">
        <v>123</v>
      </c>
      <c r="B2863" s="41" t="s">
        <v>360</v>
      </c>
      <c r="C2863" s="42" t="s">
        <v>2573</v>
      </c>
      <c r="D2863" s="42" t="s">
        <v>2574</v>
      </c>
      <c r="E2863" s="42" t="s">
        <v>2575</v>
      </c>
      <c r="F2863" s="42" t="s">
        <v>2576</v>
      </c>
      <c r="G2863" s="42" t="s">
        <v>2560</v>
      </c>
    </row>
    <row r="2864" spans="1:22" ht="15.75" customHeight="1" x14ac:dyDescent="0.2">
      <c r="A2864" s="40">
        <v>125</v>
      </c>
      <c r="B2864" s="41" t="s">
        <v>360</v>
      </c>
      <c r="C2864" s="42" t="s">
        <v>2577</v>
      </c>
      <c r="D2864" s="42" t="s">
        <v>2578</v>
      </c>
      <c r="E2864" s="42" t="s">
        <v>2579</v>
      </c>
      <c r="F2864" s="42" t="s">
        <v>2576</v>
      </c>
      <c r="G2864" s="42" t="s">
        <v>2560</v>
      </c>
    </row>
    <row r="2865" spans="1:7" ht="15.75" customHeight="1" x14ac:dyDescent="0.2">
      <c r="A2865" s="40">
        <v>133</v>
      </c>
      <c r="B2865" s="41" t="s">
        <v>2507</v>
      </c>
      <c r="C2865" s="42" t="s">
        <v>2577</v>
      </c>
      <c r="D2865" s="42" t="s">
        <v>2578</v>
      </c>
      <c r="E2865" s="42" t="s">
        <v>2579</v>
      </c>
      <c r="F2865" s="42" t="s">
        <v>2576</v>
      </c>
      <c r="G2865" s="42" t="s">
        <v>2560</v>
      </c>
    </row>
    <row r="2866" spans="1:7" ht="15.75" customHeight="1" x14ac:dyDescent="0.2">
      <c r="A2866" s="40">
        <v>371</v>
      </c>
      <c r="B2866" s="41" t="s">
        <v>2534</v>
      </c>
      <c r="C2866" s="42" t="s">
        <v>2573</v>
      </c>
      <c r="D2866" s="42" t="s">
        <v>2574</v>
      </c>
      <c r="E2866" s="42" t="s">
        <v>2575</v>
      </c>
      <c r="F2866" s="42" t="s">
        <v>2576</v>
      </c>
      <c r="G2866" s="42" t="s">
        <v>2560</v>
      </c>
    </row>
    <row r="2867" spans="1:7" ht="15.75" customHeight="1" x14ac:dyDescent="0.2">
      <c r="A2867" s="40">
        <v>383</v>
      </c>
      <c r="B2867" s="41" t="s">
        <v>2556</v>
      </c>
      <c r="C2867" s="42" t="s">
        <v>2580</v>
      </c>
      <c r="D2867" s="42" t="s">
        <v>2581</v>
      </c>
      <c r="E2867" s="42" t="s">
        <v>363</v>
      </c>
      <c r="F2867" s="42" t="s">
        <v>2582</v>
      </c>
      <c r="G2867" s="42" t="s">
        <v>2560</v>
      </c>
    </row>
    <row r="2868" spans="1:7" ht="15.75" customHeight="1" x14ac:dyDescent="0.2">
      <c r="A2868" s="40">
        <v>245</v>
      </c>
      <c r="B2868" s="41" t="s">
        <v>178</v>
      </c>
      <c r="C2868" s="42" t="s">
        <v>2583</v>
      </c>
      <c r="D2868" s="42" t="s">
        <v>2584</v>
      </c>
      <c r="E2868" s="42" t="s">
        <v>2585</v>
      </c>
      <c r="F2868" s="42" t="s">
        <v>2586</v>
      </c>
      <c r="G2868" s="42" t="s">
        <v>2560</v>
      </c>
    </row>
    <row r="2869" spans="1:7" ht="15.75" customHeight="1" x14ac:dyDescent="0.2">
      <c r="A2869" s="40">
        <v>271</v>
      </c>
      <c r="B2869" s="41" t="s">
        <v>896</v>
      </c>
      <c r="C2869" s="42" t="s">
        <v>2583</v>
      </c>
      <c r="D2869" s="42" t="s">
        <v>2584</v>
      </c>
      <c r="E2869" s="42" t="s">
        <v>2585</v>
      </c>
      <c r="F2869" s="42" t="s">
        <v>2586</v>
      </c>
      <c r="G2869" s="42" t="s">
        <v>2560</v>
      </c>
    </row>
    <row r="2870" spans="1:7" ht="15.75" customHeight="1" x14ac:dyDescent="0.2">
      <c r="A2870" s="40">
        <v>13</v>
      </c>
      <c r="B2870" s="41" t="s">
        <v>411</v>
      </c>
      <c r="C2870" s="42" t="s">
        <v>2587</v>
      </c>
      <c r="D2870" s="42" t="s">
        <v>2588</v>
      </c>
      <c r="E2870" s="42" t="s">
        <v>2589</v>
      </c>
      <c r="F2870" s="42" t="s">
        <v>2590</v>
      </c>
      <c r="G2870" s="42" t="s">
        <v>2560</v>
      </c>
    </row>
    <row r="2871" spans="1:7" ht="15.75" customHeight="1" x14ac:dyDescent="0.2">
      <c r="A2871" s="40">
        <v>35</v>
      </c>
      <c r="B2871" s="41" t="s">
        <v>2156</v>
      </c>
      <c r="C2871" s="42" t="s">
        <v>2587</v>
      </c>
      <c r="D2871" s="42" t="s">
        <v>2588</v>
      </c>
      <c r="E2871" s="42" t="s">
        <v>2589</v>
      </c>
      <c r="F2871" s="42" t="s">
        <v>2590</v>
      </c>
      <c r="G2871" s="42" t="s">
        <v>2560</v>
      </c>
    </row>
    <row r="2872" spans="1:7" ht="15.75" customHeight="1" x14ac:dyDescent="0.2">
      <c r="A2872" s="40">
        <v>293</v>
      </c>
      <c r="B2872" s="41" t="s">
        <v>726</v>
      </c>
      <c r="C2872" s="42" t="s">
        <v>2587</v>
      </c>
      <c r="D2872" s="42" t="s">
        <v>2588</v>
      </c>
      <c r="E2872" s="42" t="s">
        <v>2589</v>
      </c>
      <c r="F2872" s="42" t="s">
        <v>2590</v>
      </c>
      <c r="G2872" s="42" t="s">
        <v>2560</v>
      </c>
    </row>
    <row r="2873" spans="1:7" ht="15.75" customHeight="1" x14ac:dyDescent="0.2">
      <c r="A2873" s="40">
        <v>5</v>
      </c>
      <c r="B2873" s="41" t="s">
        <v>411</v>
      </c>
      <c r="C2873" s="42" t="s">
        <v>2591</v>
      </c>
      <c r="D2873" s="42" t="s">
        <v>2523</v>
      </c>
      <c r="E2873" s="42" t="s">
        <v>996</v>
      </c>
      <c r="F2873" s="42" t="s">
        <v>2592</v>
      </c>
      <c r="G2873" s="42" t="s">
        <v>2560</v>
      </c>
    </row>
    <row r="2874" spans="1:7" ht="15.75" customHeight="1" x14ac:dyDescent="0.2">
      <c r="A2874" s="40">
        <v>93</v>
      </c>
      <c r="B2874" s="41" t="s">
        <v>226</v>
      </c>
      <c r="C2874" s="42" t="s">
        <v>2593</v>
      </c>
      <c r="D2874" s="42" t="s">
        <v>2588</v>
      </c>
      <c r="E2874" s="42" t="s">
        <v>2594</v>
      </c>
      <c r="F2874" s="42" t="s">
        <v>2592</v>
      </c>
      <c r="G2874" s="42" t="s">
        <v>2560</v>
      </c>
    </row>
    <row r="2875" spans="1:7" ht="15.75" customHeight="1" x14ac:dyDescent="0.2">
      <c r="A2875" s="40">
        <v>191</v>
      </c>
      <c r="B2875" s="41" t="s">
        <v>1125</v>
      </c>
      <c r="C2875" s="42" t="s">
        <v>2595</v>
      </c>
      <c r="D2875" s="42" t="s">
        <v>2564</v>
      </c>
      <c r="E2875" s="42" t="s">
        <v>229</v>
      </c>
      <c r="F2875" s="42" t="s">
        <v>2592</v>
      </c>
      <c r="G2875" s="42" t="s">
        <v>2560</v>
      </c>
    </row>
    <row r="2876" spans="1:7" ht="15.75" customHeight="1" x14ac:dyDescent="0.2">
      <c r="A2876" s="40">
        <v>203</v>
      </c>
      <c r="B2876" s="41" t="s">
        <v>1631</v>
      </c>
      <c r="C2876" s="42" t="s">
        <v>2595</v>
      </c>
      <c r="D2876" s="42" t="s">
        <v>2564</v>
      </c>
      <c r="E2876" s="42" t="s">
        <v>229</v>
      </c>
      <c r="F2876" s="42" t="s">
        <v>2592</v>
      </c>
      <c r="G2876" s="42" t="s">
        <v>2560</v>
      </c>
    </row>
    <row r="2877" spans="1:7" ht="15.75" customHeight="1" x14ac:dyDescent="0.2">
      <c r="A2877" s="40">
        <v>327</v>
      </c>
      <c r="B2877" s="41" t="s">
        <v>2568</v>
      </c>
      <c r="C2877" s="42" t="s">
        <v>2596</v>
      </c>
      <c r="D2877" s="42" t="s">
        <v>1128</v>
      </c>
      <c r="E2877" s="42" t="s">
        <v>2597</v>
      </c>
      <c r="F2877" s="42" t="s">
        <v>2592</v>
      </c>
      <c r="G2877" s="42" t="s">
        <v>2560</v>
      </c>
    </row>
    <row r="2878" spans="1:7" ht="15.75" customHeight="1" x14ac:dyDescent="0.2">
      <c r="A2878" s="40">
        <v>351</v>
      </c>
      <c r="B2878" s="41" t="s">
        <v>100</v>
      </c>
      <c r="C2878" s="42" t="s">
        <v>2598</v>
      </c>
      <c r="D2878" s="42" t="s">
        <v>1128</v>
      </c>
      <c r="E2878" s="42" t="s">
        <v>363</v>
      </c>
      <c r="F2878" s="42" t="s">
        <v>2592</v>
      </c>
      <c r="G2878" s="42" t="s">
        <v>2560</v>
      </c>
    </row>
    <row r="2879" spans="1:7" ht="15.75" customHeight="1" x14ac:dyDescent="0.2">
      <c r="A2879" s="40">
        <v>9</v>
      </c>
      <c r="B2879" s="41" t="s">
        <v>411</v>
      </c>
      <c r="C2879" s="42" t="s">
        <v>2599</v>
      </c>
      <c r="D2879" s="42" t="s">
        <v>2600</v>
      </c>
      <c r="E2879" s="42" t="s">
        <v>2601</v>
      </c>
      <c r="F2879" s="42" t="s">
        <v>1542</v>
      </c>
      <c r="G2879" s="42" t="s">
        <v>2560</v>
      </c>
    </row>
    <row r="2880" spans="1:7" ht="15.75" customHeight="1" x14ac:dyDescent="0.2">
      <c r="A2880" s="40">
        <v>29</v>
      </c>
      <c r="B2880" s="41" t="s">
        <v>2156</v>
      </c>
      <c r="C2880" s="42" t="s">
        <v>2599</v>
      </c>
      <c r="D2880" s="42" t="s">
        <v>2600</v>
      </c>
      <c r="E2880" s="42" t="s">
        <v>2601</v>
      </c>
      <c r="F2880" s="42" t="s">
        <v>1542</v>
      </c>
      <c r="G2880" s="42" t="s">
        <v>2560</v>
      </c>
    </row>
    <row r="2881" spans="1:7" ht="15.75" customHeight="1" x14ac:dyDescent="0.2">
      <c r="A2881" s="40">
        <v>39</v>
      </c>
      <c r="B2881" s="41" t="s">
        <v>2156</v>
      </c>
      <c r="C2881" s="42" t="s">
        <v>2602</v>
      </c>
      <c r="D2881" s="42" t="s">
        <v>2603</v>
      </c>
      <c r="E2881" s="42" t="s">
        <v>2566</v>
      </c>
      <c r="F2881" s="42" t="s">
        <v>1542</v>
      </c>
      <c r="G2881" s="42" t="s">
        <v>2560</v>
      </c>
    </row>
    <row r="2882" spans="1:7" ht="15.75" customHeight="1" x14ac:dyDescent="0.2">
      <c r="A2882" s="40">
        <v>105</v>
      </c>
      <c r="B2882" s="41" t="s">
        <v>415</v>
      </c>
      <c r="C2882" s="42" t="s">
        <v>2604</v>
      </c>
      <c r="D2882" s="42" t="s">
        <v>2603</v>
      </c>
      <c r="E2882" s="42" t="s">
        <v>2605</v>
      </c>
      <c r="F2882" s="42" t="s">
        <v>1542</v>
      </c>
      <c r="G2882" s="42" t="s">
        <v>2560</v>
      </c>
    </row>
    <row r="2883" spans="1:7" ht="15.75" customHeight="1" x14ac:dyDescent="0.2">
      <c r="A2883" s="40">
        <v>147</v>
      </c>
      <c r="B2883" s="41" t="s">
        <v>2101</v>
      </c>
      <c r="C2883" s="42" t="s">
        <v>2606</v>
      </c>
      <c r="D2883" s="42" t="s">
        <v>2607</v>
      </c>
      <c r="E2883" s="42" t="s">
        <v>2608</v>
      </c>
      <c r="F2883" s="42" t="s">
        <v>1542</v>
      </c>
      <c r="G2883" s="42" t="s">
        <v>2560</v>
      </c>
    </row>
    <row r="2884" spans="1:7" ht="15.75" customHeight="1" x14ac:dyDescent="0.2">
      <c r="A2884" s="40">
        <v>149</v>
      </c>
      <c r="B2884" s="41" t="s">
        <v>2101</v>
      </c>
      <c r="C2884" s="42" t="s">
        <v>2604</v>
      </c>
      <c r="D2884" s="42" t="s">
        <v>2603</v>
      </c>
      <c r="E2884" s="42" t="s">
        <v>2605</v>
      </c>
      <c r="F2884" s="42" t="s">
        <v>1542</v>
      </c>
      <c r="G2884" s="42" t="s">
        <v>2560</v>
      </c>
    </row>
    <row r="2885" spans="1:7" ht="15.75" customHeight="1" x14ac:dyDescent="0.2">
      <c r="A2885" s="40">
        <v>159</v>
      </c>
      <c r="B2885" s="41" t="s">
        <v>1121</v>
      </c>
      <c r="C2885" s="42" t="s">
        <v>2606</v>
      </c>
      <c r="D2885" s="42" t="s">
        <v>2607</v>
      </c>
      <c r="E2885" s="42" t="s">
        <v>2608</v>
      </c>
      <c r="F2885" s="42" t="s">
        <v>1542</v>
      </c>
      <c r="G2885" s="42" t="s">
        <v>2560</v>
      </c>
    </row>
    <row r="2886" spans="1:7" ht="15.75" customHeight="1" x14ac:dyDescent="0.2">
      <c r="A2886" s="40">
        <v>177</v>
      </c>
      <c r="B2886" s="41" t="s">
        <v>1125</v>
      </c>
      <c r="C2886" s="42" t="s">
        <v>2606</v>
      </c>
      <c r="D2886" s="42" t="s">
        <v>2607</v>
      </c>
      <c r="E2886" s="42" t="s">
        <v>2608</v>
      </c>
      <c r="F2886" s="42" t="s">
        <v>1542</v>
      </c>
      <c r="G2886" s="42" t="s">
        <v>2560</v>
      </c>
    </row>
    <row r="2887" spans="1:7" ht="15.75" customHeight="1" x14ac:dyDescent="0.2">
      <c r="A2887" s="40">
        <v>179</v>
      </c>
      <c r="B2887" s="41" t="s">
        <v>1125</v>
      </c>
      <c r="C2887" s="42" t="s">
        <v>2604</v>
      </c>
      <c r="D2887" s="42" t="s">
        <v>2603</v>
      </c>
      <c r="E2887" s="42" t="s">
        <v>2605</v>
      </c>
      <c r="F2887" s="42" t="s">
        <v>1542</v>
      </c>
      <c r="G2887" s="42" t="s">
        <v>2560</v>
      </c>
    </row>
    <row r="2888" spans="1:7" ht="15.75" customHeight="1" x14ac:dyDescent="0.2">
      <c r="A2888" s="40">
        <v>329</v>
      </c>
      <c r="B2888" s="41" t="s">
        <v>2568</v>
      </c>
      <c r="C2888" s="42" t="s">
        <v>2609</v>
      </c>
      <c r="D2888" s="42" t="s">
        <v>2610</v>
      </c>
      <c r="E2888" s="42" t="s">
        <v>2597</v>
      </c>
      <c r="F2888" s="42" t="s">
        <v>1542</v>
      </c>
      <c r="G2888" s="42" t="s">
        <v>2560</v>
      </c>
    </row>
    <row r="2889" spans="1:7" ht="15.75" customHeight="1" x14ac:dyDescent="0.2">
      <c r="A2889" s="40">
        <v>335</v>
      </c>
      <c r="B2889" s="41" t="s">
        <v>95</v>
      </c>
      <c r="C2889" s="42" t="s">
        <v>2611</v>
      </c>
      <c r="D2889" s="42" t="s">
        <v>2612</v>
      </c>
      <c r="E2889" s="42" t="s">
        <v>2613</v>
      </c>
      <c r="F2889" s="42" t="s">
        <v>1542</v>
      </c>
      <c r="G2889" s="42" t="s">
        <v>2560</v>
      </c>
    </row>
    <row r="2890" spans="1:7" ht="15.75" customHeight="1" x14ac:dyDescent="0.2">
      <c r="A2890" s="40">
        <v>337</v>
      </c>
      <c r="B2890" s="41" t="s">
        <v>95</v>
      </c>
      <c r="C2890" s="42" t="s">
        <v>2609</v>
      </c>
      <c r="D2890" s="42" t="s">
        <v>2610</v>
      </c>
      <c r="E2890" s="42" t="s">
        <v>2597</v>
      </c>
      <c r="F2890" s="42" t="s">
        <v>1542</v>
      </c>
      <c r="G2890" s="42" t="s">
        <v>2560</v>
      </c>
    </row>
    <row r="2891" spans="1:7" ht="15.75" customHeight="1" x14ac:dyDescent="0.2">
      <c r="A2891" s="40">
        <v>207</v>
      </c>
      <c r="B2891" s="41" t="s">
        <v>1008</v>
      </c>
      <c r="C2891" s="42" t="s">
        <v>2614</v>
      </c>
      <c r="D2891" s="42" t="s">
        <v>2600</v>
      </c>
      <c r="E2891" s="42" t="s">
        <v>181</v>
      </c>
      <c r="F2891" s="42" t="s">
        <v>130</v>
      </c>
      <c r="G2891" s="42" t="s">
        <v>2560</v>
      </c>
    </row>
    <row r="2892" spans="1:7" ht="15.75" customHeight="1" x14ac:dyDescent="0.2">
      <c r="A2892" s="40">
        <v>215</v>
      </c>
      <c r="B2892" s="41" t="s">
        <v>1636</v>
      </c>
      <c r="C2892" s="42" t="s">
        <v>2614</v>
      </c>
      <c r="D2892" s="42" t="s">
        <v>2600</v>
      </c>
      <c r="E2892" s="42" t="s">
        <v>181</v>
      </c>
      <c r="F2892" s="42" t="s">
        <v>130</v>
      </c>
      <c r="G2892" s="42" t="s">
        <v>2560</v>
      </c>
    </row>
    <row r="2893" spans="1:7" ht="15.75" customHeight="1" x14ac:dyDescent="0.2">
      <c r="A2893" s="40">
        <v>259</v>
      </c>
      <c r="B2893" s="41" t="s">
        <v>2615</v>
      </c>
      <c r="C2893" s="42" t="s">
        <v>2616</v>
      </c>
      <c r="D2893" s="42" t="s">
        <v>2564</v>
      </c>
      <c r="E2893" s="42" t="s">
        <v>2617</v>
      </c>
      <c r="F2893" s="42" t="s">
        <v>2618</v>
      </c>
      <c r="G2893" s="42" t="s">
        <v>2560</v>
      </c>
    </row>
    <row r="2894" spans="1:7" ht="15.75" customHeight="1" x14ac:dyDescent="0.2">
      <c r="A2894" s="40">
        <v>379</v>
      </c>
      <c r="B2894" s="41" t="s">
        <v>211</v>
      </c>
      <c r="C2894" s="42" t="s">
        <v>2619</v>
      </c>
      <c r="D2894" s="42" t="s">
        <v>2620</v>
      </c>
      <c r="E2894" s="42" t="s">
        <v>2621</v>
      </c>
      <c r="F2894" s="42" t="s">
        <v>2618</v>
      </c>
      <c r="G2894" s="42" t="s">
        <v>2560</v>
      </c>
    </row>
    <row r="2895" spans="1:7" ht="15.75" customHeight="1" x14ac:dyDescent="0.2">
      <c r="A2895" s="40">
        <v>385</v>
      </c>
      <c r="B2895" s="41" t="s">
        <v>2556</v>
      </c>
      <c r="C2895" s="42" t="s">
        <v>2622</v>
      </c>
      <c r="D2895" s="42" t="s">
        <v>2623</v>
      </c>
      <c r="E2895" s="42" t="s">
        <v>2624</v>
      </c>
      <c r="F2895" s="42" t="s">
        <v>2618</v>
      </c>
      <c r="G2895" s="42" t="s">
        <v>2560</v>
      </c>
    </row>
    <row r="2896" spans="1:7" ht="15.75" customHeight="1" x14ac:dyDescent="0.2">
      <c r="A2896" s="40">
        <v>113</v>
      </c>
      <c r="B2896" s="41" t="s">
        <v>415</v>
      </c>
      <c r="C2896" s="42" t="s">
        <v>2625</v>
      </c>
      <c r="D2896" s="42" t="s">
        <v>2626</v>
      </c>
      <c r="E2896" s="42" t="s">
        <v>2601</v>
      </c>
      <c r="F2896" s="42" t="s">
        <v>2627</v>
      </c>
      <c r="G2896" s="42" t="s">
        <v>2560</v>
      </c>
    </row>
    <row r="2897" spans="1:7" ht="15.75" customHeight="1" x14ac:dyDescent="0.2">
      <c r="A2897" s="40">
        <v>131</v>
      </c>
      <c r="B2897" s="41" t="s">
        <v>2507</v>
      </c>
      <c r="C2897" s="42" t="s">
        <v>2628</v>
      </c>
      <c r="D2897" s="42" t="s">
        <v>2629</v>
      </c>
      <c r="E2897" s="42" t="s">
        <v>2630</v>
      </c>
      <c r="F2897" s="42" t="s">
        <v>2627</v>
      </c>
      <c r="G2897" s="42" t="s">
        <v>2560</v>
      </c>
    </row>
    <row r="2898" spans="1:7" ht="15.75" customHeight="1" x14ac:dyDescent="0.2">
      <c r="A2898" s="40">
        <v>137</v>
      </c>
      <c r="B2898" s="41" t="s">
        <v>2631</v>
      </c>
      <c r="C2898" s="42" t="s">
        <v>2632</v>
      </c>
      <c r="D2898" s="42" t="s">
        <v>2633</v>
      </c>
      <c r="E2898" s="42" t="s">
        <v>2634</v>
      </c>
      <c r="F2898" s="42" t="s">
        <v>2627</v>
      </c>
      <c r="G2898" s="42" t="s">
        <v>2560</v>
      </c>
    </row>
    <row r="2899" spans="1:7" ht="15.75" customHeight="1" x14ac:dyDescent="0.2">
      <c r="A2899" s="40">
        <v>139</v>
      </c>
      <c r="B2899" s="41" t="s">
        <v>2631</v>
      </c>
      <c r="C2899" s="42" t="s">
        <v>2635</v>
      </c>
      <c r="D2899" s="42" t="s">
        <v>615</v>
      </c>
      <c r="E2899" s="42" t="s">
        <v>363</v>
      </c>
      <c r="F2899" s="42" t="s">
        <v>2627</v>
      </c>
      <c r="G2899" s="42" t="s">
        <v>2560</v>
      </c>
    </row>
    <row r="2900" spans="1:7" ht="15.75" customHeight="1" x14ac:dyDescent="0.2">
      <c r="A2900" s="40">
        <v>157</v>
      </c>
      <c r="B2900" s="41" t="s">
        <v>2101</v>
      </c>
      <c r="C2900" s="42" t="s">
        <v>2625</v>
      </c>
      <c r="D2900" s="42" t="s">
        <v>2626</v>
      </c>
      <c r="E2900" s="42" t="s">
        <v>2601</v>
      </c>
      <c r="F2900" s="42" t="s">
        <v>2627</v>
      </c>
      <c r="G2900" s="42" t="s">
        <v>2560</v>
      </c>
    </row>
    <row r="2901" spans="1:7" ht="15.75" customHeight="1" x14ac:dyDescent="0.2">
      <c r="A2901" s="40">
        <v>167</v>
      </c>
      <c r="B2901" s="41" t="s">
        <v>1121</v>
      </c>
      <c r="C2901" s="42" t="s">
        <v>2636</v>
      </c>
      <c r="D2901" s="42" t="s">
        <v>2637</v>
      </c>
      <c r="E2901" s="42" t="s">
        <v>2638</v>
      </c>
      <c r="F2901" s="42" t="s">
        <v>2627</v>
      </c>
      <c r="G2901" s="42" t="s">
        <v>2560</v>
      </c>
    </row>
    <row r="2902" spans="1:7" ht="15.75" customHeight="1" x14ac:dyDescent="0.2">
      <c r="A2902" s="40">
        <v>169</v>
      </c>
      <c r="B2902" s="41" t="s">
        <v>1121</v>
      </c>
      <c r="C2902" s="42" t="s">
        <v>2639</v>
      </c>
      <c r="D2902" s="42" t="s">
        <v>2603</v>
      </c>
      <c r="E2902" s="42" t="s">
        <v>329</v>
      </c>
      <c r="F2902" s="42" t="s">
        <v>2627</v>
      </c>
      <c r="G2902" s="42" t="s">
        <v>2560</v>
      </c>
    </row>
    <row r="2903" spans="1:7" ht="15.75" customHeight="1" x14ac:dyDescent="0.2">
      <c r="A2903" s="40">
        <v>171</v>
      </c>
      <c r="B2903" s="41" t="s">
        <v>1121</v>
      </c>
      <c r="C2903" s="42" t="s">
        <v>2640</v>
      </c>
      <c r="D2903" s="42" t="s">
        <v>1119</v>
      </c>
      <c r="E2903" s="42" t="s">
        <v>2641</v>
      </c>
      <c r="F2903" s="42" t="s">
        <v>2627</v>
      </c>
      <c r="G2903" s="42" t="s">
        <v>2560</v>
      </c>
    </row>
    <row r="2904" spans="1:7" ht="15.75" customHeight="1" x14ac:dyDescent="0.2">
      <c r="A2904" s="40">
        <v>189</v>
      </c>
      <c r="B2904" s="41" t="s">
        <v>1125</v>
      </c>
      <c r="C2904" s="42" t="s">
        <v>2625</v>
      </c>
      <c r="D2904" s="42" t="s">
        <v>2626</v>
      </c>
      <c r="E2904" s="42" t="s">
        <v>2601</v>
      </c>
      <c r="F2904" s="42" t="s">
        <v>2627</v>
      </c>
      <c r="G2904" s="42" t="s">
        <v>2560</v>
      </c>
    </row>
    <row r="2905" spans="1:7" ht="15.75" customHeight="1" x14ac:dyDescent="0.2">
      <c r="A2905" s="40">
        <v>193</v>
      </c>
      <c r="B2905" s="41" t="s">
        <v>1125</v>
      </c>
      <c r="C2905" s="42" t="s">
        <v>2639</v>
      </c>
      <c r="D2905" s="42" t="s">
        <v>2603</v>
      </c>
      <c r="E2905" s="42" t="s">
        <v>329</v>
      </c>
      <c r="F2905" s="42" t="s">
        <v>2627</v>
      </c>
      <c r="G2905" s="42" t="s">
        <v>2560</v>
      </c>
    </row>
    <row r="2906" spans="1:7" ht="15.75" customHeight="1" x14ac:dyDescent="0.2">
      <c r="A2906" s="40">
        <v>195</v>
      </c>
      <c r="B2906" s="41" t="s">
        <v>1125</v>
      </c>
      <c r="C2906" s="42" t="s">
        <v>2640</v>
      </c>
      <c r="D2906" s="42" t="s">
        <v>1119</v>
      </c>
      <c r="E2906" s="42" t="s">
        <v>2641</v>
      </c>
      <c r="F2906" s="42" t="s">
        <v>2627</v>
      </c>
      <c r="G2906" s="42" t="s">
        <v>2560</v>
      </c>
    </row>
    <row r="2907" spans="1:7" ht="15.75" customHeight="1" x14ac:dyDescent="0.2">
      <c r="A2907" s="40">
        <v>265</v>
      </c>
      <c r="B2907" s="41" t="s">
        <v>23</v>
      </c>
      <c r="C2907" s="42" t="s">
        <v>2642</v>
      </c>
      <c r="D2907" s="42" t="s">
        <v>1904</v>
      </c>
      <c r="E2907" s="42" t="s">
        <v>2643</v>
      </c>
      <c r="F2907" s="42" t="s">
        <v>2627</v>
      </c>
      <c r="G2907" s="42" t="s">
        <v>2560</v>
      </c>
    </row>
    <row r="2908" spans="1:7" ht="15.75" customHeight="1" x14ac:dyDescent="0.2">
      <c r="A2908" s="40">
        <v>325</v>
      </c>
      <c r="B2908" s="41" t="s">
        <v>2568</v>
      </c>
      <c r="C2908" s="42" t="s">
        <v>2644</v>
      </c>
      <c r="D2908" s="42" t="s">
        <v>2645</v>
      </c>
      <c r="E2908" s="42" t="s">
        <v>2621</v>
      </c>
      <c r="F2908" s="42" t="s">
        <v>2627</v>
      </c>
      <c r="G2908" s="42" t="s">
        <v>2560</v>
      </c>
    </row>
    <row r="2909" spans="1:7" ht="15.75" customHeight="1" x14ac:dyDescent="0.2">
      <c r="A2909" s="40">
        <v>353</v>
      </c>
      <c r="B2909" s="41" t="s">
        <v>100</v>
      </c>
      <c r="C2909" s="42" t="s">
        <v>2646</v>
      </c>
      <c r="D2909" s="42" t="s">
        <v>2647</v>
      </c>
      <c r="E2909" s="42" t="s">
        <v>2648</v>
      </c>
      <c r="F2909" s="42" t="s">
        <v>2627</v>
      </c>
      <c r="G2909" s="42" t="s">
        <v>2560</v>
      </c>
    </row>
    <row r="2910" spans="1:7" ht="15.75" customHeight="1" x14ac:dyDescent="0.2">
      <c r="A2910" s="40">
        <v>355</v>
      </c>
      <c r="B2910" s="41" t="s">
        <v>100</v>
      </c>
      <c r="C2910" s="42" t="s">
        <v>2649</v>
      </c>
      <c r="D2910" s="42" t="s">
        <v>2645</v>
      </c>
      <c r="E2910" s="42" t="s">
        <v>2597</v>
      </c>
      <c r="F2910" s="42" t="s">
        <v>2627</v>
      </c>
      <c r="G2910" s="42" t="s">
        <v>2560</v>
      </c>
    </row>
    <row r="2911" spans="1:7" ht="15.75" customHeight="1" x14ac:dyDescent="0.2">
      <c r="A2911" s="40">
        <v>373</v>
      </c>
      <c r="B2911" s="41" t="s">
        <v>2534</v>
      </c>
      <c r="C2911" s="42" t="s">
        <v>2632</v>
      </c>
      <c r="D2911" s="42" t="s">
        <v>2633</v>
      </c>
      <c r="E2911" s="42" t="s">
        <v>2634</v>
      </c>
      <c r="F2911" s="42" t="s">
        <v>2627</v>
      </c>
      <c r="G2911" s="42" t="s">
        <v>2560</v>
      </c>
    </row>
    <row r="2912" spans="1:7" ht="15.75" customHeight="1" x14ac:dyDescent="0.2">
      <c r="A2912" s="40">
        <v>375</v>
      </c>
      <c r="B2912" s="41" t="s">
        <v>2534</v>
      </c>
      <c r="C2912" s="42" t="s">
        <v>2635</v>
      </c>
      <c r="D2912" s="42" t="s">
        <v>615</v>
      </c>
      <c r="E2912" s="42" t="s">
        <v>363</v>
      </c>
      <c r="F2912" s="42" t="s">
        <v>2627</v>
      </c>
      <c r="G2912" s="42" t="s">
        <v>2560</v>
      </c>
    </row>
    <row r="2913" spans="1:7" ht="15.75" customHeight="1" x14ac:dyDescent="0.2">
      <c r="A2913" s="40">
        <v>395</v>
      </c>
      <c r="B2913" s="41" t="s">
        <v>613</v>
      </c>
      <c r="C2913" s="42" t="s">
        <v>2650</v>
      </c>
      <c r="D2913" s="42" t="s">
        <v>2612</v>
      </c>
      <c r="E2913" s="42" t="s">
        <v>2651</v>
      </c>
      <c r="F2913" s="42" t="s">
        <v>2627</v>
      </c>
      <c r="G2913" s="42" t="s">
        <v>2560</v>
      </c>
    </row>
    <row r="2914" spans="1:7" ht="15.75" customHeight="1" x14ac:dyDescent="0.2">
      <c r="A2914" s="40">
        <v>401</v>
      </c>
      <c r="B2914" s="41" t="s">
        <v>2652</v>
      </c>
      <c r="C2914" s="42" t="s">
        <v>2653</v>
      </c>
      <c r="D2914" s="42" t="s">
        <v>2654</v>
      </c>
      <c r="E2914" s="42" t="s">
        <v>2655</v>
      </c>
      <c r="F2914" s="42" t="s">
        <v>2627</v>
      </c>
      <c r="G2914" s="42" t="s">
        <v>2560</v>
      </c>
    </row>
    <row r="2915" spans="1:7" ht="15.75" customHeight="1" x14ac:dyDescent="0.2">
      <c r="A2915" s="48">
        <v>407</v>
      </c>
      <c r="B2915" s="49" t="s">
        <v>1126</v>
      </c>
      <c r="C2915" s="50" t="s">
        <v>2628</v>
      </c>
      <c r="D2915" s="50" t="s">
        <v>2629</v>
      </c>
      <c r="E2915" s="50" t="s">
        <v>2630</v>
      </c>
      <c r="F2915" s="42" t="s">
        <v>2627</v>
      </c>
      <c r="G2915" s="42" t="s">
        <v>2560</v>
      </c>
    </row>
    <row r="2916" spans="1:7" ht="15.75" customHeight="1" x14ac:dyDescent="0.2">
      <c r="A2916" s="40">
        <v>11</v>
      </c>
      <c r="B2916" s="41" t="s">
        <v>411</v>
      </c>
      <c r="C2916" s="42" t="s">
        <v>2656</v>
      </c>
      <c r="D2916" s="42" t="s">
        <v>2657</v>
      </c>
      <c r="E2916" s="42" t="s">
        <v>2566</v>
      </c>
      <c r="F2916" s="42" t="s">
        <v>2658</v>
      </c>
      <c r="G2916" s="42" t="s">
        <v>2560</v>
      </c>
    </row>
    <row r="2917" spans="1:7" ht="15.75" customHeight="1" x14ac:dyDescent="0.2">
      <c r="A2917" s="40">
        <v>31</v>
      </c>
      <c r="B2917" s="41" t="s">
        <v>2156</v>
      </c>
      <c r="C2917" s="42" t="s">
        <v>2659</v>
      </c>
      <c r="D2917" s="42" t="s">
        <v>2660</v>
      </c>
      <c r="E2917" s="42" t="s">
        <v>2661</v>
      </c>
      <c r="F2917" s="42" t="s">
        <v>2658</v>
      </c>
      <c r="G2917" s="42" t="s">
        <v>2560</v>
      </c>
    </row>
    <row r="2918" spans="1:7" ht="15.75" customHeight="1" x14ac:dyDescent="0.2">
      <c r="A2918" s="40">
        <v>33</v>
      </c>
      <c r="B2918" s="41" t="s">
        <v>2156</v>
      </c>
      <c r="C2918" s="42" t="s">
        <v>2656</v>
      </c>
      <c r="D2918" s="42" t="s">
        <v>2657</v>
      </c>
      <c r="E2918" s="42" t="s">
        <v>2566</v>
      </c>
      <c r="F2918" s="42" t="s">
        <v>2658</v>
      </c>
      <c r="G2918" s="42" t="s">
        <v>2560</v>
      </c>
    </row>
    <row r="2919" spans="1:7" ht="15.75" customHeight="1" x14ac:dyDescent="0.2">
      <c r="A2919" s="40">
        <v>273</v>
      </c>
      <c r="B2919" s="41" t="s">
        <v>896</v>
      </c>
      <c r="C2919" s="42" t="s">
        <v>2662</v>
      </c>
      <c r="D2919" s="42" t="s">
        <v>2657</v>
      </c>
      <c r="E2919" s="42" t="s">
        <v>2566</v>
      </c>
      <c r="F2919" s="42" t="s">
        <v>2236</v>
      </c>
      <c r="G2919" s="42" t="s">
        <v>2560</v>
      </c>
    </row>
    <row r="2920" spans="1:7" ht="15.75" customHeight="1" x14ac:dyDescent="0.2">
      <c r="A2920" s="40">
        <v>145</v>
      </c>
      <c r="B2920" s="41" t="s">
        <v>2101</v>
      </c>
      <c r="C2920" s="42" t="s">
        <v>2663</v>
      </c>
      <c r="D2920" s="42" t="s">
        <v>1119</v>
      </c>
      <c r="E2920" s="42" t="s">
        <v>2664</v>
      </c>
      <c r="F2920" s="42" t="s">
        <v>2665</v>
      </c>
      <c r="G2920" s="42" t="s">
        <v>2560</v>
      </c>
    </row>
    <row r="2921" spans="1:7" ht="15.75" customHeight="1" x14ac:dyDescent="0.2">
      <c r="A2921" s="40">
        <v>361</v>
      </c>
      <c r="B2921" s="41" t="s">
        <v>101</v>
      </c>
      <c r="C2921" s="42" t="s">
        <v>2666</v>
      </c>
      <c r="D2921" s="42" t="s">
        <v>2612</v>
      </c>
      <c r="E2921" s="42" t="s">
        <v>2634</v>
      </c>
      <c r="F2921" s="42" t="s">
        <v>2665</v>
      </c>
      <c r="G2921" s="42" t="s">
        <v>2560</v>
      </c>
    </row>
    <row r="2922" spans="1:7" ht="15.75" customHeight="1" x14ac:dyDescent="0.2">
      <c r="A2922" s="40">
        <v>367</v>
      </c>
      <c r="B2922" s="41" t="s">
        <v>2534</v>
      </c>
      <c r="C2922" s="42" t="s">
        <v>2666</v>
      </c>
      <c r="D2922" s="42" t="s">
        <v>2612</v>
      </c>
      <c r="E2922" s="42" t="s">
        <v>2634</v>
      </c>
      <c r="F2922" s="42" t="s">
        <v>2665</v>
      </c>
      <c r="G2922" s="42" t="s">
        <v>2560</v>
      </c>
    </row>
    <row r="2923" spans="1:7" ht="15.75" customHeight="1" x14ac:dyDescent="0.2">
      <c r="A2923" s="40">
        <v>151</v>
      </c>
      <c r="B2923" s="41" t="s">
        <v>2101</v>
      </c>
      <c r="C2923" s="42" t="s">
        <v>2667</v>
      </c>
      <c r="D2923" s="42" t="s">
        <v>2668</v>
      </c>
      <c r="E2923" s="42" t="s">
        <v>2669</v>
      </c>
      <c r="F2923" s="42" t="s">
        <v>2670</v>
      </c>
      <c r="G2923" s="42" t="s">
        <v>2671</v>
      </c>
    </row>
    <row r="2924" spans="1:7" ht="15.75" customHeight="1" x14ac:dyDescent="0.2">
      <c r="A2924" s="40">
        <v>161</v>
      </c>
      <c r="B2924" s="41" t="s">
        <v>1121</v>
      </c>
      <c r="C2924" s="42" t="s">
        <v>2667</v>
      </c>
      <c r="D2924" s="42" t="s">
        <v>2668</v>
      </c>
      <c r="E2924" s="42" t="s">
        <v>2669</v>
      </c>
      <c r="F2924" s="42" t="s">
        <v>2670</v>
      </c>
      <c r="G2924" s="42" t="s">
        <v>2671</v>
      </c>
    </row>
    <row r="2925" spans="1:7" ht="15.75" customHeight="1" x14ac:dyDescent="0.2">
      <c r="A2925" s="40">
        <v>181</v>
      </c>
      <c r="B2925" s="41" t="s">
        <v>1125</v>
      </c>
      <c r="C2925" s="42" t="s">
        <v>2667</v>
      </c>
      <c r="D2925" s="42" t="s">
        <v>2668</v>
      </c>
      <c r="E2925" s="42" t="s">
        <v>2669</v>
      </c>
      <c r="F2925" s="42" t="s">
        <v>2670</v>
      </c>
      <c r="G2925" s="42" t="s">
        <v>2671</v>
      </c>
    </row>
    <row r="2926" spans="1:7" ht="15.75" customHeight="1" x14ac:dyDescent="0.2">
      <c r="A2926" s="40">
        <v>2349</v>
      </c>
      <c r="B2926" s="41" t="s">
        <v>1700</v>
      </c>
      <c r="C2926" s="42" t="s">
        <v>2672</v>
      </c>
      <c r="D2926" s="42" t="s">
        <v>2673</v>
      </c>
      <c r="E2926" s="42"/>
      <c r="F2926" s="42" t="s">
        <v>2674</v>
      </c>
      <c r="G2926" s="42" t="s">
        <v>2675</v>
      </c>
    </row>
    <row r="2927" spans="1:7" ht="15.75" customHeight="1" x14ac:dyDescent="0.2">
      <c r="A2927" s="40">
        <v>2535</v>
      </c>
      <c r="B2927" s="41" t="s">
        <v>1587</v>
      </c>
      <c r="C2927" s="42" t="s">
        <v>2672</v>
      </c>
      <c r="D2927" s="42" t="s">
        <v>2676</v>
      </c>
      <c r="E2927" s="42"/>
      <c r="F2927" s="42" t="s">
        <v>2674</v>
      </c>
      <c r="G2927" s="42" t="s">
        <v>2675</v>
      </c>
    </row>
    <row r="2928" spans="1:7" ht="15.75" customHeight="1" x14ac:dyDescent="0.2">
      <c r="A2928" s="40">
        <v>2973</v>
      </c>
      <c r="B2928" s="41" t="s">
        <v>1138</v>
      </c>
      <c r="C2928" s="42" t="s">
        <v>2672</v>
      </c>
      <c r="D2928" s="42" t="s">
        <v>2677</v>
      </c>
      <c r="E2928" s="42"/>
      <c r="F2928" s="42" t="s">
        <v>2674</v>
      </c>
      <c r="G2928" s="42" t="s">
        <v>2675</v>
      </c>
    </row>
    <row r="2929" spans="1:7" ht="15.75" customHeight="1" x14ac:dyDescent="0.2">
      <c r="A2929" s="40">
        <v>3</v>
      </c>
      <c r="B2929" s="41" t="s">
        <v>411</v>
      </c>
      <c r="C2929" s="42" t="s">
        <v>2672</v>
      </c>
      <c r="D2929" s="42" t="s">
        <v>2673</v>
      </c>
      <c r="E2929" s="42"/>
      <c r="F2929" s="42" t="s">
        <v>2674</v>
      </c>
      <c r="G2929" s="42" t="s">
        <v>2675</v>
      </c>
    </row>
    <row r="2930" spans="1:7" ht="15.75" customHeight="1" x14ac:dyDescent="0.2">
      <c r="A2930" s="40">
        <v>51</v>
      </c>
      <c r="B2930" s="41" t="s">
        <v>226</v>
      </c>
      <c r="C2930" s="42" t="s">
        <v>2672</v>
      </c>
      <c r="D2930" s="42" t="s">
        <v>2673</v>
      </c>
      <c r="E2930" s="42"/>
      <c r="F2930" s="42" t="s">
        <v>2674</v>
      </c>
      <c r="G2930" s="42" t="s">
        <v>2675</v>
      </c>
    </row>
    <row r="2931" spans="1:7" ht="15.75" customHeight="1" x14ac:dyDescent="0.2">
      <c r="A2931" s="40">
        <v>99</v>
      </c>
      <c r="B2931" s="41" t="s">
        <v>415</v>
      </c>
      <c r="C2931" s="42" t="s">
        <v>2672</v>
      </c>
      <c r="D2931" s="42" t="s">
        <v>2673</v>
      </c>
      <c r="E2931" s="42"/>
      <c r="F2931" s="42" t="s">
        <v>2674</v>
      </c>
      <c r="G2931" s="42" t="s">
        <v>2675</v>
      </c>
    </row>
    <row r="2932" spans="1:7" ht="15.75" customHeight="1" x14ac:dyDescent="0.2">
      <c r="A2932" s="40">
        <v>141</v>
      </c>
      <c r="B2932" s="41" t="s">
        <v>2101</v>
      </c>
      <c r="C2932" s="42" t="s">
        <v>2672</v>
      </c>
      <c r="D2932" s="42" t="s">
        <v>2673</v>
      </c>
      <c r="E2932" s="42"/>
      <c r="F2932" s="42" t="s">
        <v>2674</v>
      </c>
      <c r="G2932" s="42" t="s">
        <v>2675</v>
      </c>
    </row>
    <row r="2933" spans="1:7" ht="15.75" customHeight="1" x14ac:dyDescent="0.2">
      <c r="A2933" s="40">
        <v>225</v>
      </c>
      <c r="B2933" s="41" t="s">
        <v>2533</v>
      </c>
      <c r="C2933" s="42" t="s">
        <v>2672</v>
      </c>
      <c r="D2933" s="42" t="s">
        <v>2673</v>
      </c>
      <c r="E2933" s="42"/>
      <c r="F2933" s="42" t="s">
        <v>2674</v>
      </c>
      <c r="G2933" s="42" t="s">
        <v>2675</v>
      </c>
    </row>
    <row r="2934" spans="1:7" ht="15.75" customHeight="1" x14ac:dyDescent="0.2">
      <c r="A2934" s="40">
        <v>83</v>
      </c>
      <c r="B2934" s="41" t="s">
        <v>226</v>
      </c>
      <c r="C2934" s="42" t="s">
        <v>2678</v>
      </c>
      <c r="D2934" s="42" t="s">
        <v>2679</v>
      </c>
      <c r="E2934" s="42" t="s">
        <v>2680</v>
      </c>
      <c r="F2934" s="42" t="s">
        <v>2681</v>
      </c>
      <c r="G2934" s="42"/>
    </row>
    <row r="2935" spans="1:7" ht="15.75" customHeight="1" x14ac:dyDescent="0.2">
      <c r="A2935" s="40">
        <v>111</v>
      </c>
      <c r="B2935" s="41" t="s">
        <v>415</v>
      </c>
      <c r="C2935" s="42" t="s">
        <v>2678</v>
      </c>
      <c r="D2935" s="42" t="s">
        <v>2679</v>
      </c>
      <c r="E2935" s="42" t="s">
        <v>2680</v>
      </c>
      <c r="F2935" s="42" t="s">
        <v>2681</v>
      </c>
      <c r="G2935" s="42"/>
    </row>
    <row r="2936" spans="1:7" ht="15.75" customHeight="1" x14ac:dyDescent="0.2">
      <c r="A2936" s="40">
        <v>153</v>
      </c>
      <c r="B2936" s="41" t="s">
        <v>2101</v>
      </c>
      <c r="C2936" s="42" t="s">
        <v>2678</v>
      </c>
      <c r="D2936" s="42" t="s">
        <v>2679</v>
      </c>
      <c r="E2936" s="42" t="s">
        <v>2680</v>
      </c>
      <c r="F2936" s="42" t="s">
        <v>2681</v>
      </c>
      <c r="G2936" s="42"/>
    </row>
    <row r="2937" spans="1:7" ht="15.75" customHeight="1" x14ac:dyDescent="0.2">
      <c r="A2937" s="40">
        <v>185</v>
      </c>
      <c r="B2937" s="41" t="s">
        <v>1125</v>
      </c>
      <c r="C2937" s="42" t="s">
        <v>2678</v>
      </c>
      <c r="D2937" s="42" t="s">
        <v>2679</v>
      </c>
      <c r="E2937" s="42" t="s">
        <v>2680</v>
      </c>
      <c r="F2937" s="42" t="s">
        <v>2681</v>
      </c>
      <c r="G2937" s="42"/>
    </row>
    <row r="2938" spans="1:7" ht="15.75" customHeight="1" x14ac:dyDescent="0.2">
      <c r="A2938" s="40">
        <v>81</v>
      </c>
      <c r="B2938" s="41" t="s">
        <v>226</v>
      </c>
      <c r="C2938" s="42" t="s">
        <v>2682</v>
      </c>
      <c r="D2938" s="42" t="s">
        <v>2683</v>
      </c>
      <c r="E2938" s="42" t="s">
        <v>2684</v>
      </c>
      <c r="F2938" s="42" t="s">
        <v>2685</v>
      </c>
      <c r="G2938" s="42"/>
    </row>
    <row r="2939" spans="1:7" ht="15.75" customHeight="1" x14ac:dyDescent="0.2">
      <c r="A2939" s="40">
        <v>237</v>
      </c>
      <c r="B2939" s="41" t="s">
        <v>19</v>
      </c>
      <c r="C2939" s="42" t="s">
        <v>2686</v>
      </c>
      <c r="D2939" s="42" t="s">
        <v>2687</v>
      </c>
      <c r="E2939" s="42" t="s">
        <v>2688</v>
      </c>
      <c r="F2939" s="42" t="s">
        <v>2689</v>
      </c>
      <c r="G2939" s="42"/>
    </row>
    <row r="2940" spans="1:7" ht="15.75" customHeight="1" x14ac:dyDescent="0.2">
      <c r="A2940" s="40">
        <v>211</v>
      </c>
      <c r="B2940" s="41" t="s">
        <v>1008</v>
      </c>
      <c r="C2940" s="42" t="s">
        <v>2690</v>
      </c>
      <c r="D2940" s="42" t="s">
        <v>2691</v>
      </c>
      <c r="E2940" s="42"/>
      <c r="F2940" s="42" t="s">
        <v>2692</v>
      </c>
      <c r="G2940" s="42"/>
    </row>
    <row r="2941" spans="1:7" ht="15.75" customHeight="1" x14ac:dyDescent="0.2">
      <c r="A2941" s="40">
        <v>219</v>
      </c>
      <c r="B2941" s="41" t="s">
        <v>1636</v>
      </c>
      <c r="C2941" s="42" t="s">
        <v>2690</v>
      </c>
      <c r="D2941" s="42" t="s">
        <v>2691</v>
      </c>
      <c r="E2941" s="42"/>
      <c r="F2941" s="42" t="s">
        <v>2692</v>
      </c>
      <c r="G2941" s="42"/>
    </row>
    <row r="2942" spans="1:7" ht="15.75" customHeight="1" x14ac:dyDescent="0.2">
      <c r="A2942" s="40">
        <v>249</v>
      </c>
      <c r="B2942" s="41" t="s">
        <v>178</v>
      </c>
      <c r="C2942" s="42" t="s">
        <v>2693</v>
      </c>
      <c r="D2942" s="42" t="s">
        <v>2694</v>
      </c>
      <c r="E2942" s="42"/>
      <c r="F2942" s="42" t="s">
        <v>2695</v>
      </c>
      <c r="G2942" s="42"/>
    </row>
    <row r="2943" spans="1:7" ht="15.75" customHeight="1" x14ac:dyDescent="0.2">
      <c r="A2943" s="40">
        <v>255</v>
      </c>
      <c r="B2943" s="41" t="s">
        <v>2615</v>
      </c>
      <c r="C2943" s="42" t="s">
        <v>2696</v>
      </c>
      <c r="D2943" s="42" t="s">
        <v>2697</v>
      </c>
      <c r="E2943" s="42"/>
      <c r="F2943" s="42" t="s">
        <v>2698</v>
      </c>
      <c r="G2943" s="42"/>
    </row>
    <row r="2944" spans="1:7" ht="15.75" customHeight="1" x14ac:dyDescent="0.2">
      <c r="A2944" s="40">
        <v>23</v>
      </c>
      <c r="B2944" s="41" t="s">
        <v>411</v>
      </c>
      <c r="C2944" s="42" t="s">
        <v>2699</v>
      </c>
      <c r="D2944" s="42" t="s">
        <v>2700</v>
      </c>
      <c r="E2944" s="42"/>
      <c r="F2944" s="42" t="s">
        <v>2701</v>
      </c>
      <c r="G2944" s="42"/>
    </row>
    <row r="2945" spans="1:22" ht="15.75" customHeight="1" x14ac:dyDescent="0.2">
      <c r="A2945" s="40">
        <v>41</v>
      </c>
      <c r="B2945" s="41" t="s">
        <v>2156</v>
      </c>
      <c r="C2945" s="42" t="s">
        <v>2699</v>
      </c>
      <c r="D2945" s="42" t="s">
        <v>2700</v>
      </c>
      <c r="E2945" s="42"/>
      <c r="F2945" s="42" t="s">
        <v>2701</v>
      </c>
      <c r="G2945" s="42"/>
    </row>
    <row r="2946" spans="1:22" ht="15.75" customHeight="1" x14ac:dyDescent="0.2">
      <c r="A2946" s="40">
        <v>321</v>
      </c>
      <c r="B2946" s="41" t="s">
        <v>2568</v>
      </c>
      <c r="C2946" s="42" t="s">
        <v>2702</v>
      </c>
      <c r="D2946" s="42" t="s">
        <v>2703</v>
      </c>
      <c r="E2946" s="42"/>
      <c r="F2946" s="42" t="s">
        <v>2704</v>
      </c>
      <c r="G2946" s="42"/>
    </row>
    <row r="2947" spans="1:22" ht="15.75" customHeight="1" x14ac:dyDescent="0.2">
      <c r="A2947" s="40">
        <v>333</v>
      </c>
      <c r="B2947" s="41" t="s">
        <v>95</v>
      </c>
      <c r="C2947" s="42" t="s">
        <v>2702</v>
      </c>
      <c r="D2947" s="42" t="s">
        <v>2703</v>
      </c>
      <c r="E2947" s="42"/>
      <c r="F2947" s="42" t="s">
        <v>2704</v>
      </c>
      <c r="G2947" s="42"/>
    </row>
    <row r="2948" spans="1:22" ht="15.75" customHeight="1" x14ac:dyDescent="0.2">
      <c r="A2948" s="40">
        <v>347</v>
      </c>
      <c r="B2948" s="41" t="s">
        <v>100</v>
      </c>
      <c r="C2948" s="42" t="s">
        <v>2702</v>
      </c>
      <c r="D2948" s="42" t="s">
        <v>2703</v>
      </c>
      <c r="E2948" s="42"/>
      <c r="F2948" s="42" t="s">
        <v>2704</v>
      </c>
      <c r="G2948" s="42"/>
    </row>
    <row r="2949" spans="1:22" ht="15.75" customHeight="1" x14ac:dyDescent="0.2">
      <c r="A2949" s="40">
        <v>129</v>
      </c>
      <c r="B2949" s="41" t="s">
        <v>360</v>
      </c>
      <c r="C2949" s="42" t="s">
        <v>2705</v>
      </c>
      <c r="D2949" s="42" t="s">
        <v>1128</v>
      </c>
      <c r="E2949" s="42" t="s">
        <v>2706</v>
      </c>
      <c r="F2949" s="42" t="s">
        <v>2707</v>
      </c>
      <c r="G2949" s="42"/>
    </row>
    <row r="2950" spans="1:22" ht="15.75" customHeight="1" x14ac:dyDescent="0.2">
      <c r="A2950" s="44">
        <v>257</v>
      </c>
      <c r="B2950" s="60" t="s">
        <v>2615</v>
      </c>
      <c r="C2950" s="61" t="s">
        <v>2708</v>
      </c>
      <c r="D2950" s="61" t="s">
        <v>2679</v>
      </c>
      <c r="E2950" s="61" t="s">
        <v>2709</v>
      </c>
      <c r="F2950" s="42" t="s">
        <v>2710</v>
      </c>
      <c r="G2950" s="42"/>
    </row>
    <row r="2951" spans="1:22" ht="15.75" customHeight="1" x14ac:dyDescent="0.2">
      <c r="A2951" s="62" t="s">
        <v>2711</v>
      </c>
      <c r="B2951" s="63" t="s">
        <v>2712</v>
      </c>
      <c r="C2951" s="64" t="s">
        <v>2713</v>
      </c>
      <c r="D2951" s="64" t="s">
        <v>2714</v>
      </c>
      <c r="E2951" s="65"/>
      <c r="F2951" s="65"/>
      <c r="G2951" s="65"/>
      <c r="H2951" s="66"/>
      <c r="I2951" s="66"/>
      <c r="J2951" s="66"/>
      <c r="K2951" s="66"/>
      <c r="L2951" s="66"/>
      <c r="M2951" s="66"/>
      <c r="N2951" s="66"/>
      <c r="O2951" s="66"/>
      <c r="P2951" s="66"/>
      <c r="Q2951" s="66"/>
      <c r="R2951" s="66"/>
      <c r="S2951" s="66"/>
      <c r="T2951" s="66"/>
      <c r="U2951" s="66"/>
      <c r="V2951" s="66"/>
    </row>
    <row r="2952" spans="1:22" ht="15.75" customHeight="1" x14ac:dyDescent="0.2">
      <c r="A2952" s="44"/>
      <c r="B2952" s="43" t="s">
        <v>466</v>
      </c>
      <c r="C2952" s="67" t="s">
        <v>2715</v>
      </c>
      <c r="D2952" s="68" t="s">
        <v>474</v>
      </c>
      <c r="E2952" s="68" t="s">
        <v>348</v>
      </c>
      <c r="F2952" s="68" t="s">
        <v>469</v>
      </c>
      <c r="G2952" s="68" t="s">
        <v>432</v>
      </c>
      <c r="H2952" s="43"/>
      <c r="I2952" s="43"/>
      <c r="J2952" s="43"/>
      <c r="K2952" s="43"/>
      <c r="L2952" s="43"/>
      <c r="M2952" s="43"/>
      <c r="N2952" s="43"/>
      <c r="O2952" s="43"/>
      <c r="P2952" s="43"/>
      <c r="Q2952" s="43"/>
      <c r="R2952" s="43"/>
      <c r="S2952" s="43"/>
      <c r="T2952" s="43"/>
      <c r="U2952" s="43"/>
      <c r="V2952" s="43"/>
    </row>
    <row r="2953" spans="1:22" ht="15.75" customHeight="1" x14ac:dyDescent="0.2">
      <c r="A2953" s="44"/>
      <c r="B2953" s="43" t="s">
        <v>2716</v>
      </c>
      <c r="C2953" s="67" t="s">
        <v>2717</v>
      </c>
      <c r="D2953" s="68" t="s">
        <v>1242</v>
      </c>
      <c r="E2953" s="68"/>
      <c r="F2953" s="68" t="s">
        <v>1233</v>
      </c>
      <c r="G2953" s="68" t="s">
        <v>1207</v>
      </c>
      <c r="H2953" s="43"/>
      <c r="I2953" s="43"/>
      <c r="J2953" s="43"/>
      <c r="K2953" s="43"/>
      <c r="L2953" s="43"/>
      <c r="M2953" s="43"/>
      <c r="N2953" s="43"/>
      <c r="O2953" s="43"/>
      <c r="P2953" s="43"/>
      <c r="Q2953" s="43"/>
      <c r="R2953" s="43"/>
      <c r="S2953" s="43"/>
      <c r="T2953" s="43"/>
      <c r="U2953" s="43"/>
      <c r="V2953" s="43"/>
    </row>
  </sheetData>
  <autoFilter ref="A1:V2951" xr:uid="{00000000-0009-0000-0000-000000000000}">
    <sortState xmlns:xlrd2="http://schemas.microsoft.com/office/spreadsheetml/2017/richdata2" ref="A2:V2953">
      <sortCondition sortBy="cellColor" ref="A1:A2953" dxfId="0"/>
    </sortState>
  </autoFilter>
  <hyperlinks>
    <hyperlink ref="B2951" location="'Лист1'!B3" display="ФЕСТИВАЛЬ" xr:uid="{00000000-0004-0000-0000-000000000000}"/>
    <hyperlink ref="C2951" location="'Лист1'!B1511" display="МЕЖДУНАРОДНЫЕ" xr:uid="{00000000-0004-0000-0000-000001000000}"/>
    <hyperlink ref="D2951" location="'Лист1'!B1715" display="ВСЕРОССИЙСКИЕ" xr:uid="{00000000-0004-0000-0000-000002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952"/>
  <sheetViews>
    <sheetView tabSelected="1" workbookViewId="0">
      <pane ySplit="1" topLeftCell="A1114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9.1640625" customWidth="1"/>
    <col min="2" max="2" width="53" customWidth="1"/>
    <col min="3" max="3" width="25" customWidth="1"/>
    <col min="4" max="4" width="23.5" customWidth="1"/>
    <col min="5" max="5" width="19.1640625" customWidth="1"/>
    <col min="6" max="6" width="32.6640625" customWidth="1"/>
    <col min="7" max="7" width="38.5" customWidth="1"/>
    <col min="8" max="8" width="15.33203125" customWidth="1"/>
    <col min="9" max="9" width="10.6640625" customWidth="1"/>
    <col min="10" max="10" width="11.5" customWidth="1"/>
    <col min="11" max="11" width="8.83203125" customWidth="1"/>
    <col min="12" max="12" width="18.5" customWidth="1"/>
    <col min="13" max="26" width="8.83203125" customWidth="1"/>
  </cols>
  <sheetData>
    <row r="1" spans="1:26" ht="15.75" customHeight="1" x14ac:dyDescent="0.2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0" t="s">
        <v>9</v>
      </c>
      <c r="K1" s="10" t="s">
        <v>8</v>
      </c>
      <c r="L1" s="11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15.75" customHeight="1" x14ac:dyDescent="0.2">
      <c r="A2" s="1">
        <v>2417</v>
      </c>
      <c r="B2" s="13" t="s">
        <v>10</v>
      </c>
      <c r="C2" s="14" t="s">
        <v>11</v>
      </c>
      <c r="D2" s="14" t="s">
        <v>12</v>
      </c>
      <c r="E2" s="14" t="s">
        <v>13</v>
      </c>
      <c r="F2" s="14" t="s">
        <v>14</v>
      </c>
      <c r="G2" s="14" t="s">
        <v>15</v>
      </c>
      <c r="H2" s="4">
        <v>1</v>
      </c>
      <c r="I2" s="4">
        <f t="shared" ref="I2:I4" si="0">H2*2300</f>
        <v>2300</v>
      </c>
      <c r="J2" s="4"/>
      <c r="K2" s="15">
        <f t="shared" ref="K2:K256" si="1">J2*4000</f>
        <v>0</v>
      </c>
      <c r="L2" s="16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5.75" customHeight="1" x14ac:dyDescent="0.2">
      <c r="A3" s="1">
        <v>233</v>
      </c>
      <c r="B3" s="13" t="s">
        <v>19</v>
      </c>
      <c r="C3" s="14" t="s">
        <v>20</v>
      </c>
      <c r="D3" s="14" t="s">
        <v>21</v>
      </c>
      <c r="E3" s="14" t="s">
        <v>22</v>
      </c>
      <c r="F3" s="14" t="s">
        <v>14</v>
      </c>
      <c r="G3" s="14" t="s">
        <v>15</v>
      </c>
      <c r="H3" s="1"/>
      <c r="I3" s="4">
        <f t="shared" si="0"/>
        <v>0</v>
      </c>
      <c r="J3" s="1"/>
      <c r="K3" s="4">
        <f t="shared" si="1"/>
        <v>0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 x14ac:dyDescent="0.2">
      <c r="A4" s="1">
        <v>263</v>
      </c>
      <c r="B4" s="13" t="s">
        <v>23</v>
      </c>
      <c r="C4" s="14" t="s">
        <v>11</v>
      </c>
      <c r="D4" s="14" t="s">
        <v>24</v>
      </c>
      <c r="E4" s="14" t="s">
        <v>25</v>
      </c>
      <c r="F4" s="14" t="s">
        <v>14</v>
      </c>
      <c r="G4" s="14" t="s">
        <v>15</v>
      </c>
      <c r="H4" s="4"/>
      <c r="I4" s="4">
        <f t="shared" si="0"/>
        <v>0</v>
      </c>
      <c r="J4" s="4"/>
      <c r="K4" s="4">
        <f t="shared" si="1"/>
        <v>0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1"/>
      <c r="B5" s="2" t="s">
        <v>26</v>
      </c>
      <c r="C5" s="3" t="s">
        <v>27</v>
      </c>
      <c r="D5" s="3" t="s">
        <v>28</v>
      </c>
      <c r="E5" s="3" t="s">
        <v>29</v>
      </c>
      <c r="F5" s="3" t="s">
        <v>14</v>
      </c>
      <c r="G5" s="3" t="s">
        <v>15</v>
      </c>
      <c r="H5" s="4"/>
      <c r="I5" s="4">
        <f t="shared" ref="I5:I28" si="2">H5*1800</f>
        <v>0</v>
      </c>
      <c r="J5" s="4"/>
      <c r="K5" s="4">
        <f t="shared" si="1"/>
        <v>0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1"/>
      <c r="B6" s="2" t="s">
        <v>26</v>
      </c>
      <c r="C6" s="3" t="s">
        <v>30</v>
      </c>
      <c r="D6" s="3" t="s">
        <v>31</v>
      </c>
      <c r="E6" s="3" t="s">
        <v>32</v>
      </c>
      <c r="F6" s="3" t="s">
        <v>14</v>
      </c>
      <c r="G6" s="3" t="s">
        <v>15</v>
      </c>
      <c r="H6" s="4"/>
      <c r="I6" s="4">
        <f t="shared" si="2"/>
        <v>0</v>
      </c>
      <c r="J6" s="4"/>
      <c r="K6" s="4">
        <f t="shared" si="1"/>
        <v>0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1"/>
      <c r="B7" s="2" t="s">
        <v>33</v>
      </c>
      <c r="C7" s="3" t="s">
        <v>34</v>
      </c>
      <c r="D7" s="3" t="s">
        <v>35</v>
      </c>
      <c r="E7" s="3" t="s">
        <v>36</v>
      </c>
      <c r="F7" s="3" t="s">
        <v>14</v>
      </c>
      <c r="G7" s="3" t="s">
        <v>15</v>
      </c>
      <c r="H7" s="4"/>
      <c r="I7" s="4">
        <f t="shared" si="2"/>
        <v>0</v>
      </c>
      <c r="J7" s="4"/>
      <c r="K7" s="4">
        <f t="shared" si="1"/>
        <v>0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1"/>
      <c r="B8" s="2" t="s">
        <v>37</v>
      </c>
      <c r="C8" s="3" t="s">
        <v>38</v>
      </c>
      <c r="D8" s="3" t="s">
        <v>39</v>
      </c>
      <c r="E8" s="3" t="s">
        <v>40</v>
      </c>
      <c r="F8" s="3" t="s">
        <v>14</v>
      </c>
      <c r="G8" s="3" t="s">
        <v>15</v>
      </c>
      <c r="H8" s="4"/>
      <c r="I8" s="4">
        <f t="shared" si="2"/>
        <v>0</v>
      </c>
      <c r="J8" s="4"/>
      <c r="K8" s="4">
        <f t="shared" si="1"/>
        <v>0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1"/>
      <c r="B9" s="2" t="s">
        <v>41</v>
      </c>
      <c r="C9" s="3" t="s">
        <v>42</v>
      </c>
      <c r="D9" s="3" t="s">
        <v>43</v>
      </c>
      <c r="E9" s="3" t="s">
        <v>44</v>
      </c>
      <c r="F9" s="3" t="s">
        <v>14</v>
      </c>
      <c r="G9" s="3" t="s">
        <v>15</v>
      </c>
      <c r="H9" s="4"/>
      <c r="I9" s="4">
        <f t="shared" si="2"/>
        <v>0</v>
      </c>
      <c r="J9" s="4"/>
      <c r="K9" s="4">
        <f t="shared" si="1"/>
        <v>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1"/>
      <c r="B10" s="2" t="s">
        <v>45</v>
      </c>
      <c r="C10" s="3" t="s">
        <v>42</v>
      </c>
      <c r="D10" s="3" t="s">
        <v>43</v>
      </c>
      <c r="E10" s="3" t="s">
        <v>44</v>
      </c>
      <c r="F10" s="3" t="s">
        <v>14</v>
      </c>
      <c r="G10" s="3" t="s">
        <v>15</v>
      </c>
      <c r="H10" s="4"/>
      <c r="I10" s="4">
        <f t="shared" si="2"/>
        <v>0</v>
      </c>
      <c r="J10" s="4"/>
      <c r="K10" s="4">
        <f t="shared" si="1"/>
        <v>0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1"/>
      <c r="B11" s="2" t="s">
        <v>46</v>
      </c>
      <c r="C11" s="3" t="s">
        <v>47</v>
      </c>
      <c r="D11" s="3" t="s">
        <v>48</v>
      </c>
      <c r="E11" s="3" t="s">
        <v>49</v>
      </c>
      <c r="F11" s="3" t="s">
        <v>14</v>
      </c>
      <c r="G11" s="3" t="s">
        <v>15</v>
      </c>
      <c r="H11" s="4"/>
      <c r="I11" s="4">
        <f t="shared" si="2"/>
        <v>0</v>
      </c>
      <c r="J11" s="4"/>
      <c r="K11" s="4">
        <f t="shared" si="1"/>
        <v>0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1"/>
      <c r="B12" s="2" t="s">
        <v>46</v>
      </c>
      <c r="C12" s="3" t="s">
        <v>50</v>
      </c>
      <c r="D12" s="3" t="s">
        <v>51</v>
      </c>
      <c r="E12" s="3" t="s">
        <v>52</v>
      </c>
      <c r="F12" s="3" t="s">
        <v>14</v>
      </c>
      <c r="G12" s="3" t="s">
        <v>15</v>
      </c>
      <c r="H12" s="4"/>
      <c r="I12" s="4">
        <f t="shared" si="2"/>
        <v>0</v>
      </c>
      <c r="J12" s="4"/>
      <c r="K12" s="4">
        <f t="shared" si="1"/>
        <v>0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"/>
      <c r="B13" s="2" t="s">
        <v>33</v>
      </c>
      <c r="C13" s="3" t="s">
        <v>53</v>
      </c>
      <c r="D13" s="3" t="s">
        <v>54</v>
      </c>
      <c r="E13" s="3" t="s">
        <v>55</v>
      </c>
      <c r="F13" s="3" t="s">
        <v>14</v>
      </c>
      <c r="G13" s="3" t="s">
        <v>15</v>
      </c>
      <c r="H13" s="4"/>
      <c r="I13" s="4">
        <f t="shared" si="2"/>
        <v>0</v>
      </c>
      <c r="J13" s="4"/>
      <c r="K13" s="4">
        <f t="shared" si="1"/>
        <v>0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1"/>
      <c r="B14" s="2" t="s">
        <v>33</v>
      </c>
      <c r="C14" s="3" t="s">
        <v>53</v>
      </c>
      <c r="D14" s="3" t="s">
        <v>56</v>
      </c>
      <c r="E14" s="3" t="s">
        <v>55</v>
      </c>
      <c r="F14" s="3" t="s">
        <v>14</v>
      </c>
      <c r="G14" s="3" t="s">
        <v>15</v>
      </c>
      <c r="H14" s="4"/>
      <c r="I14" s="4">
        <f t="shared" si="2"/>
        <v>0</v>
      </c>
      <c r="J14" s="4"/>
      <c r="K14" s="4">
        <f t="shared" si="1"/>
        <v>0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"/>
      <c r="B15" s="2" t="s">
        <v>26</v>
      </c>
      <c r="C15" s="3" t="s">
        <v>57</v>
      </c>
      <c r="D15" s="3" t="s">
        <v>58</v>
      </c>
      <c r="E15" s="3" t="s">
        <v>32</v>
      </c>
      <c r="F15" s="3" t="s">
        <v>14</v>
      </c>
      <c r="G15" s="3" t="s">
        <v>15</v>
      </c>
      <c r="H15" s="4"/>
      <c r="I15" s="4">
        <f t="shared" si="2"/>
        <v>0</v>
      </c>
      <c r="J15" s="4"/>
      <c r="K15" s="4">
        <f t="shared" si="1"/>
        <v>0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1"/>
      <c r="B16" s="2" t="s">
        <v>26</v>
      </c>
      <c r="C16" s="3" t="s">
        <v>59</v>
      </c>
      <c r="D16" s="3" t="s">
        <v>60</v>
      </c>
      <c r="E16" s="3" t="s">
        <v>61</v>
      </c>
      <c r="F16" s="3" t="s">
        <v>14</v>
      </c>
      <c r="G16" s="3" t="s">
        <v>15</v>
      </c>
      <c r="H16" s="4"/>
      <c r="I16" s="4">
        <f t="shared" si="2"/>
        <v>0</v>
      </c>
      <c r="J16" s="4"/>
      <c r="K16" s="4">
        <f t="shared" si="1"/>
        <v>0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1"/>
      <c r="B17" s="2" t="s">
        <v>33</v>
      </c>
      <c r="C17" s="3" t="s">
        <v>59</v>
      </c>
      <c r="D17" s="3" t="s">
        <v>62</v>
      </c>
      <c r="E17" s="3" t="s">
        <v>61</v>
      </c>
      <c r="F17" s="3" t="s">
        <v>14</v>
      </c>
      <c r="G17" s="3" t="s">
        <v>15</v>
      </c>
      <c r="H17" s="4"/>
      <c r="I17" s="4">
        <f t="shared" si="2"/>
        <v>0</v>
      </c>
      <c r="J17" s="4"/>
      <c r="K17" s="4">
        <f t="shared" si="1"/>
        <v>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1"/>
      <c r="B18" s="2" t="s">
        <v>33</v>
      </c>
      <c r="C18" s="3" t="s">
        <v>63</v>
      </c>
      <c r="D18" s="3" t="s">
        <v>64</v>
      </c>
      <c r="E18" s="3" t="s">
        <v>65</v>
      </c>
      <c r="F18" s="3" t="s">
        <v>14</v>
      </c>
      <c r="G18" s="3" t="s">
        <v>15</v>
      </c>
      <c r="H18" s="4"/>
      <c r="I18" s="4">
        <f t="shared" si="2"/>
        <v>0</v>
      </c>
      <c r="J18" s="4"/>
      <c r="K18" s="4">
        <f t="shared" si="1"/>
        <v>0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1"/>
      <c r="B19" s="2" t="s">
        <v>33</v>
      </c>
      <c r="C19" s="3" t="s">
        <v>66</v>
      </c>
      <c r="D19" s="3" t="s">
        <v>67</v>
      </c>
      <c r="E19" s="3" t="s">
        <v>52</v>
      </c>
      <c r="F19" s="3" t="s">
        <v>14</v>
      </c>
      <c r="G19" s="3" t="s">
        <v>15</v>
      </c>
      <c r="H19" s="4"/>
      <c r="I19" s="4">
        <f t="shared" si="2"/>
        <v>0</v>
      </c>
      <c r="J19" s="4"/>
      <c r="K19" s="4">
        <f t="shared" si="1"/>
        <v>0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1"/>
      <c r="B20" s="2" t="s">
        <v>41</v>
      </c>
      <c r="C20" s="3" t="s">
        <v>68</v>
      </c>
      <c r="D20" s="3" t="s">
        <v>69</v>
      </c>
      <c r="E20" s="3" t="s">
        <v>70</v>
      </c>
      <c r="F20" s="3" t="s">
        <v>14</v>
      </c>
      <c r="G20" s="3" t="s">
        <v>15</v>
      </c>
      <c r="H20" s="4"/>
      <c r="I20" s="4">
        <f t="shared" si="2"/>
        <v>0</v>
      </c>
      <c r="J20" s="4"/>
      <c r="K20" s="4">
        <f t="shared" si="1"/>
        <v>0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1"/>
      <c r="B21" s="19" t="s">
        <v>71</v>
      </c>
      <c r="C21" s="3" t="s">
        <v>72</v>
      </c>
      <c r="D21" s="3" t="s">
        <v>73</v>
      </c>
      <c r="E21" s="3" t="s">
        <v>40</v>
      </c>
      <c r="F21" s="3" t="s">
        <v>14</v>
      </c>
      <c r="G21" s="3" t="s">
        <v>15</v>
      </c>
      <c r="H21" s="4"/>
      <c r="I21" s="4">
        <f t="shared" si="2"/>
        <v>0</v>
      </c>
      <c r="J21" s="4"/>
      <c r="K21" s="4">
        <f t="shared" si="1"/>
        <v>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1"/>
      <c r="B22" s="2" t="s">
        <v>46</v>
      </c>
      <c r="C22" s="3" t="s">
        <v>74</v>
      </c>
      <c r="D22" s="3" t="s">
        <v>75</v>
      </c>
      <c r="E22" s="3" t="s">
        <v>76</v>
      </c>
      <c r="F22" s="3" t="s">
        <v>14</v>
      </c>
      <c r="G22" s="3" t="s">
        <v>15</v>
      </c>
      <c r="H22" s="4"/>
      <c r="I22" s="4">
        <f t="shared" si="2"/>
        <v>0</v>
      </c>
      <c r="J22" s="4"/>
      <c r="K22" s="4">
        <f t="shared" si="1"/>
        <v>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1"/>
      <c r="B23" s="2" t="s">
        <v>41</v>
      </c>
      <c r="C23" s="3" t="s">
        <v>77</v>
      </c>
      <c r="D23" s="3" t="s">
        <v>78</v>
      </c>
      <c r="E23" s="3" t="s">
        <v>79</v>
      </c>
      <c r="F23" s="3" t="s">
        <v>14</v>
      </c>
      <c r="G23" s="3" t="s">
        <v>15</v>
      </c>
      <c r="H23" s="4"/>
      <c r="I23" s="4">
        <f t="shared" si="2"/>
        <v>0</v>
      </c>
      <c r="J23" s="4"/>
      <c r="K23" s="4">
        <f t="shared" si="1"/>
        <v>0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1"/>
      <c r="B24" s="2" t="s">
        <v>80</v>
      </c>
      <c r="C24" s="3" t="s">
        <v>81</v>
      </c>
      <c r="D24" s="3" t="s">
        <v>82</v>
      </c>
      <c r="E24" s="3" t="s">
        <v>83</v>
      </c>
      <c r="F24" s="3" t="s">
        <v>14</v>
      </c>
      <c r="G24" s="3" t="s">
        <v>15</v>
      </c>
      <c r="H24" s="4"/>
      <c r="I24" s="4">
        <f t="shared" si="2"/>
        <v>0</v>
      </c>
      <c r="J24" s="4"/>
      <c r="K24" s="4">
        <f t="shared" si="1"/>
        <v>0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1"/>
      <c r="B25" s="2" t="s">
        <v>33</v>
      </c>
      <c r="C25" s="3" t="s">
        <v>20</v>
      </c>
      <c r="D25" s="3" t="s">
        <v>21</v>
      </c>
      <c r="E25" s="3" t="s">
        <v>22</v>
      </c>
      <c r="F25" s="3" t="s">
        <v>14</v>
      </c>
      <c r="G25" s="3" t="s">
        <v>15</v>
      </c>
      <c r="H25" s="4"/>
      <c r="I25" s="4">
        <f t="shared" si="2"/>
        <v>0</v>
      </c>
      <c r="J25" s="4"/>
      <c r="K25" s="4">
        <f t="shared" si="1"/>
        <v>0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1"/>
      <c r="B26" s="2" t="s">
        <v>84</v>
      </c>
      <c r="C26" s="3" t="s">
        <v>85</v>
      </c>
      <c r="D26" s="3" t="s">
        <v>86</v>
      </c>
      <c r="E26" s="3" t="s">
        <v>87</v>
      </c>
      <c r="F26" s="3" t="s">
        <v>14</v>
      </c>
      <c r="G26" s="3" t="s">
        <v>15</v>
      </c>
      <c r="H26" s="4"/>
      <c r="I26" s="4">
        <f t="shared" si="2"/>
        <v>0</v>
      </c>
      <c r="J26" s="4"/>
      <c r="K26" s="4">
        <f t="shared" si="1"/>
        <v>0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1"/>
      <c r="B27" s="2" t="s">
        <v>88</v>
      </c>
      <c r="C27" s="3" t="s">
        <v>89</v>
      </c>
      <c r="D27" s="3" t="s">
        <v>90</v>
      </c>
      <c r="E27" s="3" t="s">
        <v>91</v>
      </c>
      <c r="F27" s="3" t="s">
        <v>92</v>
      </c>
      <c r="G27" s="3" t="s">
        <v>93</v>
      </c>
      <c r="H27" s="4"/>
      <c r="I27" s="4">
        <f t="shared" si="2"/>
        <v>0</v>
      </c>
      <c r="J27" s="4"/>
      <c r="K27" s="4">
        <f t="shared" si="1"/>
        <v>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1"/>
      <c r="B28" s="2" t="s">
        <v>94</v>
      </c>
      <c r="C28" s="3" t="s">
        <v>89</v>
      </c>
      <c r="D28" s="3" t="s">
        <v>90</v>
      </c>
      <c r="E28" s="3" t="s">
        <v>91</v>
      </c>
      <c r="F28" s="3" t="s">
        <v>92</v>
      </c>
      <c r="G28" s="3" t="s">
        <v>93</v>
      </c>
      <c r="H28" s="4"/>
      <c r="I28" s="4">
        <f t="shared" si="2"/>
        <v>0</v>
      </c>
      <c r="J28" s="4"/>
      <c r="K28" s="4">
        <f t="shared" si="1"/>
        <v>0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1">
        <v>331</v>
      </c>
      <c r="B29" s="13" t="s">
        <v>95</v>
      </c>
      <c r="C29" s="14" t="s">
        <v>96</v>
      </c>
      <c r="D29" s="14" t="s">
        <v>97</v>
      </c>
      <c r="E29" s="14" t="s">
        <v>98</v>
      </c>
      <c r="F29" s="14" t="s">
        <v>99</v>
      </c>
      <c r="G29" s="14" t="s">
        <v>93</v>
      </c>
      <c r="H29" s="4"/>
      <c r="I29" s="4">
        <f t="shared" ref="I29:I31" si="3">H29*2300</f>
        <v>0</v>
      </c>
      <c r="J29" s="4"/>
      <c r="K29" s="4">
        <f t="shared" si="1"/>
        <v>0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1">
        <v>345</v>
      </c>
      <c r="B30" s="13" t="s">
        <v>100</v>
      </c>
      <c r="C30" s="14" t="s">
        <v>96</v>
      </c>
      <c r="D30" s="14" t="s">
        <v>97</v>
      </c>
      <c r="E30" s="14" t="s">
        <v>98</v>
      </c>
      <c r="F30" s="14" t="s">
        <v>99</v>
      </c>
      <c r="G30" s="14" t="s">
        <v>93</v>
      </c>
      <c r="H30" s="4"/>
      <c r="I30" s="4">
        <f t="shared" si="3"/>
        <v>0</v>
      </c>
      <c r="J30" s="4"/>
      <c r="K30" s="4">
        <f t="shared" si="1"/>
        <v>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1">
        <v>363</v>
      </c>
      <c r="B31" s="13" t="s">
        <v>101</v>
      </c>
      <c r="C31" s="14" t="s">
        <v>96</v>
      </c>
      <c r="D31" s="14" t="s">
        <v>97</v>
      </c>
      <c r="E31" s="14" t="s">
        <v>98</v>
      </c>
      <c r="F31" s="14" t="s">
        <v>99</v>
      </c>
      <c r="G31" s="14" t="s">
        <v>93</v>
      </c>
      <c r="H31" s="4"/>
      <c r="I31" s="4">
        <f t="shared" si="3"/>
        <v>0</v>
      </c>
      <c r="J31" s="4"/>
      <c r="K31" s="4">
        <f t="shared" si="1"/>
        <v>0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1"/>
      <c r="B32" s="2" t="s">
        <v>102</v>
      </c>
      <c r="C32" s="3" t="s">
        <v>103</v>
      </c>
      <c r="D32" s="3" t="s">
        <v>104</v>
      </c>
      <c r="E32" s="3" t="s">
        <v>105</v>
      </c>
      <c r="F32" s="3" t="s">
        <v>106</v>
      </c>
      <c r="G32" s="3" t="s">
        <v>107</v>
      </c>
      <c r="H32" s="4"/>
      <c r="I32" s="4">
        <f t="shared" ref="I32:I45" si="4">H32*1800</f>
        <v>0</v>
      </c>
      <c r="J32" s="4"/>
      <c r="K32" s="4">
        <f t="shared" si="1"/>
        <v>0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1"/>
      <c r="B33" s="2" t="s">
        <v>108</v>
      </c>
      <c r="C33" s="3" t="s">
        <v>103</v>
      </c>
      <c r="D33" s="3" t="s">
        <v>104</v>
      </c>
      <c r="E33" s="3" t="s">
        <v>105</v>
      </c>
      <c r="F33" s="3" t="s">
        <v>106</v>
      </c>
      <c r="G33" s="3" t="s">
        <v>107</v>
      </c>
      <c r="H33" s="4"/>
      <c r="I33" s="4">
        <f t="shared" si="4"/>
        <v>0</v>
      </c>
      <c r="J33" s="4"/>
      <c r="K33" s="4">
        <f t="shared" si="1"/>
        <v>0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1"/>
      <c r="B34" s="2" t="s">
        <v>109</v>
      </c>
      <c r="C34" s="3" t="s">
        <v>110</v>
      </c>
      <c r="D34" s="3" t="s">
        <v>111</v>
      </c>
      <c r="E34" s="3" t="s">
        <v>112</v>
      </c>
      <c r="F34" s="3" t="s">
        <v>113</v>
      </c>
      <c r="G34" s="3" t="s">
        <v>107</v>
      </c>
      <c r="H34" s="4"/>
      <c r="I34" s="4">
        <f t="shared" si="4"/>
        <v>0</v>
      </c>
      <c r="J34" s="4"/>
      <c r="K34" s="4">
        <f t="shared" si="1"/>
        <v>0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1"/>
      <c r="B35" s="2" t="s">
        <v>108</v>
      </c>
      <c r="C35" s="3" t="s">
        <v>110</v>
      </c>
      <c r="D35" s="3" t="s">
        <v>111</v>
      </c>
      <c r="E35" s="3" t="s">
        <v>112</v>
      </c>
      <c r="F35" s="3" t="s">
        <v>113</v>
      </c>
      <c r="G35" s="3" t="s">
        <v>107</v>
      </c>
      <c r="H35" s="4"/>
      <c r="I35" s="4">
        <f t="shared" si="4"/>
        <v>0</v>
      </c>
      <c r="J35" s="4"/>
      <c r="K35" s="4">
        <f t="shared" si="1"/>
        <v>0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1"/>
      <c r="B36" s="2" t="s">
        <v>114</v>
      </c>
      <c r="C36" s="3" t="s">
        <v>115</v>
      </c>
      <c r="D36" s="3" t="s">
        <v>116</v>
      </c>
      <c r="E36" s="3" t="s">
        <v>87</v>
      </c>
      <c r="F36" s="3" t="s">
        <v>113</v>
      </c>
      <c r="G36" s="3" t="s">
        <v>107</v>
      </c>
      <c r="H36" s="4"/>
      <c r="I36" s="4">
        <f t="shared" si="4"/>
        <v>0</v>
      </c>
      <c r="J36" s="4"/>
      <c r="K36" s="4">
        <f t="shared" si="1"/>
        <v>0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1"/>
      <c r="B37" s="2" t="s">
        <v>117</v>
      </c>
      <c r="C37" s="3" t="s">
        <v>115</v>
      </c>
      <c r="D37" s="3" t="s">
        <v>116</v>
      </c>
      <c r="E37" s="3" t="s">
        <v>87</v>
      </c>
      <c r="F37" s="3" t="s">
        <v>113</v>
      </c>
      <c r="G37" s="3" t="s">
        <v>107</v>
      </c>
      <c r="H37" s="4"/>
      <c r="I37" s="4">
        <f t="shared" si="4"/>
        <v>0</v>
      </c>
      <c r="J37" s="4"/>
      <c r="K37" s="4">
        <f t="shared" si="1"/>
        <v>0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1"/>
      <c r="B38" s="2" t="s">
        <v>108</v>
      </c>
      <c r="C38" s="3" t="s">
        <v>115</v>
      </c>
      <c r="D38" s="3" t="s">
        <v>116</v>
      </c>
      <c r="E38" s="3" t="s">
        <v>87</v>
      </c>
      <c r="F38" s="3" t="s">
        <v>113</v>
      </c>
      <c r="G38" s="3" t="s">
        <v>107</v>
      </c>
      <c r="H38" s="4"/>
      <c r="I38" s="4">
        <f t="shared" si="4"/>
        <v>0</v>
      </c>
      <c r="J38" s="4"/>
      <c r="K38" s="4">
        <f t="shared" si="1"/>
        <v>0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1"/>
      <c r="B39" s="2" t="s">
        <v>118</v>
      </c>
      <c r="C39" s="3" t="s">
        <v>119</v>
      </c>
      <c r="D39" s="3" t="s">
        <v>120</v>
      </c>
      <c r="E39" s="3" t="s">
        <v>32</v>
      </c>
      <c r="F39" s="3" t="s">
        <v>113</v>
      </c>
      <c r="G39" s="3" t="s">
        <v>107</v>
      </c>
      <c r="H39" s="4"/>
      <c r="I39" s="4">
        <f t="shared" si="4"/>
        <v>0</v>
      </c>
      <c r="J39" s="4"/>
      <c r="K39" s="4">
        <f t="shared" si="1"/>
        <v>0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1"/>
      <c r="B40" s="2" t="s">
        <v>121</v>
      </c>
      <c r="C40" s="3" t="s">
        <v>119</v>
      </c>
      <c r="D40" s="3" t="s">
        <v>120</v>
      </c>
      <c r="E40" s="3" t="s">
        <v>32</v>
      </c>
      <c r="F40" s="3" t="s">
        <v>113</v>
      </c>
      <c r="G40" s="3" t="s">
        <v>107</v>
      </c>
      <c r="H40" s="4"/>
      <c r="I40" s="4">
        <f t="shared" si="4"/>
        <v>0</v>
      </c>
      <c r="J40" s="4"/>
      <c r="K40" s="4">
        <f t="shared" si="1"/>
        <v>0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1"/>
      <c r="B41" s="2" t="s">
        <v>122</v>
      </c>
      <c r="C41" s="3" t="s">
        <v>123</v>
      </c>
      <c r="D41" s="3" t="s">
        <v>124</v>
      </c>
      <c r="E41" s="3" t="s">
        <v>125</v>
      </c>
      <c r="F41" s="3" t="s">
        <v>113</v>
      </c>
      <c r="G41" s="3" t="s">
        <v>107</v>
      </c>
      <c r="H41" s="4"/>
      <c r="I41" s="4">
        <f t="shared" si="4"/>
        <v>0</v>
      </c>
      <c r="J41" s="4"/>
      <c r="K41" s="4">
        <f t="shared" si="1"/>
        <v>0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1"/>
      <c r="B42" s="2" t="s">
        <v>126</v>
      </c>
      <c r="C42" s="3" t="s">
        <v>123</v>
      </c>
      <c r="D42" s="3" t="s">
        <v>124</v>
      </c>
      <c r="E42" s="3" t="s">
        <v>125</v>
      </c>
      <c r="F42" s="3" t="s">
        <v>113</v>
      </c>
      <c r="G42" s="3" t="s">
        <v>107</v>
      </c>
      <c r="H42" s="4"/>
      <c r="I42" s="4">
        <f t="shared" si="4"/>
        <v>0</v>
      </c>
      <c r="J42" s="4"/>
      <c r="K42" s="4">
        <f t="shared" si="1"/>
        <v>0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1"/>
      <c r="B43" s="2" t="s">
        <v>126</v>
      </c>
      <c r="C43" s="3" t="s">
        <v>127</v>
      </c>
      <c r="D43" s="3" t="s">
        <v>128</v>
      </c>
      <c r="E43" s="3" t="s">
        <v>129</v>
      </c>
      <c r="F43" s="3" t="s">
        <v>130</v>
      </c>
      <c r="G43" s="3" t="s">
        <v>107</v>
      </c>
      <c r="H43" s="4"/>
      <c r="I43" s="4">
        <f t="shared" si="4"/>
        <v>0</v>
      </c>
      <c r="J43" s="4"/>
      <c r="K43" s="4">
        <f t="shared" si="1"/>
        <v>0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1"/>
      <c r="B44" s="2" t="s">
        <v>131</v>
      </c>
      <c r="C44" s="3" t="s">
        <v>127</v>
      </c>
      <c r="D44" s="3" t="s">
        <v>128</v>
      </c>
      <c r="E44" s="3" t="s">
        <v>129</v>
      </c>
      <c r="F44" s="3" t="s">
        <v>130</v>
      </c>
      <c r="G44" s="3" t="s">
        <v>107</v>
      </c>
      <c r="H44" s="4"/>
      <c r="I44" s="4">
        <f t="shared" si="4"/>
        <v>0</v>
      </c>
      <c r="J44" s="4"/>
      <c r="K44" s="4">
        <f t="shared" si="1"/>
        <v>0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1"/>
      <c r="B45" s="2" t="s">
        <v>94</v>
      </c>
      <c r="C45" s="3" t="s">
        <v>132</v>
      </c>
      <c r="D45" s="3" t="s">
        <v>133</v>
      </c>
      <c r="E45" s="3" t="s">
        <v>134</v>
      </c>
      <c r="F45" s="3" t="s">
        <v>135</v>
      </c>
      <c r="G45" s="3" t="s">
        <v>136</v>
      </c>
      <c r="H45" s="4"/>
      <c r="I45" s="4">
        <f t="shared" si="4"/>
        <v>0</v>
      </c>
      <c r="J45" s="4"/>
      <c r="K45" s="4">
        <f t="shared" si="1"/>
        <v>0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1">
        <v>2363</v>
      </c>
      <c r="B46" s="13" t="s">
        <v>137</v>
      </c>
      <c r="C46" s="14" t="s">
        <v>138</v>
      </c>
      <c r="D46" s="14" t="s">
        <v>139</v>
      </c>
      <c r="E46" s="14" t="s">
        <v>87</v>
      </c>
      <c r="F46" s="14" t="s">
        <v>140</v>
      </c>
      <c r="G46" s="14" t="s">
        <v>141</v>
      </c>
      <c r="H46" s="4"/>
      <c r="I46" s="4">
        <f t="shared" ref="I46:I72" si="5">H46*2300</f>
        <v>0</v>
      </c>
      <c r="J46" s="4"/>
      <c r="K46" s="4">
        <f t="shared" si="1"/>
        <v>0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1">
        <v>2373</v>
      </c>
      <c r="B47" s="13" t="s">
        <v>142</v>
      </c>
      <c r="C47" s="14" t="s">
        <v>143</v>
      </c>
      <c r="D47" s="14" t="s">
        <v>144</v>
      </c>
      <c r="E47" s="14" t="s">
        <v>145</v>
      </c>
      <c r="F47" s="14" t="s">
        <v>146</v>
      </c>
      <c r="G47" s="14" t="s">
        <v>141</v>
      </c>
      <c r="H47" s="4"/>
      <c r="I47" s="4">
        <f t="shared" si="5"/>
        <v>0</v>
      </c>
      <c r="J47" s="4"/>
      <c r="K47" s="4">
        <f t="shared" si="1"/>
        <v>0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1">
        <v>2375</v>
      </c>
      <c r="B48" s="13" t="s">
        <v>142</v>
      </c>
      <c r="C48" s="14" t="s">
        <v>147</v>
      </c>
      <c r="D48" s="14" t="s">
        <v>148</v>
      </c>
      <c r="E48" s="14" t="s">
        <v>149</v>
      </c>
      <c r="F48" s="14" t="s">
        <v>146</v>
      </c>
      <c r="G48" s="14" t="s">
        <v>141</v>
      </c>
      <c r="H48" s="4"/>
      <c r="I48" s="4">
        <f t="shared" si="5"/>
        <v>0</v>
      </c>
      <c r="J48" s="4"/>
      <c r="K48" s="4">
        <f t="shared" si="1"/>
        <v>0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1">
        <v>2389</v>
      </c>
      <c r="B49" s="13" t="s">
        <v>150</v>
      </c>
      <c r="C49" s="14" t="s">
        <v>151</v>
      </c>
      <c r="D49" s="14" t="s">
        <v>152</v>
      </c>
      <c r="E49" s="14" t="s">
        <v>153</v>
      </c>
      <c r="F49" s="14" t="s">
        <v>146</v>
      </c>
      <c r="G49" s="14" t="s">
        <v>141</v>
      </c>
      <c r="H49" s="4"/>
      <c r="I49" s="4">
        <f t="shared" si="5"/>
        <v>0</v>
      </c>
      <c r="J49" s="4"/>
      <c r="K49" s="4">
        <f t="shared" si="1"/>
        <v>0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1">
        <v>2403</v>
      </c>
      <c r="B50" s="13" t="s">
        <v>154</v>
      </c>
      <c r="C50" s="14" t="s">
        <v>155</v>
      </c>
      <c r="D50" s="14" t="s">
        <v>156</v>
      </c>
      <c r="E50" s="14" t="s">
        <v>157</v>
      </c>
      <c r="F50" s="14" t="s">
        <v>146</v>
      </c>
      <c r="G50" s="14" t="s">
        <v>141</v>
      </c>
      <c r="H50" s="4"/>
      <c r="I50" s="4">
        <f t="shared" si="5"/>
        <v>0</v>
      </c>
      <c r="J50" s="4"/>
      <c r="K50" s="4">
        <f t="shared" si="1"/>
        <v>0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1">
        <v>2419</v>
      </c>
      <c r="B51" s="13" t="s">
        <v>10</v>
      </c>
      <c r="C51" s="14" t="s">
        <v>158</v>
      </c>
      <c r="D51" s="14" t="s">
        <v>159</v>
      </c>
      <c r="E51" s="14" t="s">
        <v>160</v>
      </c>
      <c r="F51" s="14" t="s">
        <v>146</v>
      </c>
      <c r="G51" s="14" t="s">
        <v>141</v>
      </c>
      <c r="H51" s="4"/>
      <c r="I51" s="4">
        <f t="shared" si="5"/>
        <v>0</v>
      </c>
      <c r="J51" s="4"/>
      <c r="K51" s="4">
        <f t="shared" si="1"/>
        <v>0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1">
        <v>2449</v>
      </c>
      <c r="B52" s="13" t="s">
        <v>161</v>
      </c>
      <c r="C52" s="14" t="s">
        <v>162</v>
      </c>
      <c r="D52" s="14" t="s">
        <v>163</v>
      </c>
      <c r="E52" s="14" t="s">
        <v>164</v>
      </c>
      <c r="F52" s="14" t="s">
        <v>146</v>
      </c>
      <c r="G52" s="14" t="s">
        <v>141</v>
      </c>
      <c r="H52" s="4"/>
      <c r="I52" s="4">
        <f t="shared" si="5"/>
        <v>0</v>
      </c>
      <c r="J52" s="4"/>
      <c r="K52" s="4">
        <f t="shared" si="1"/>
        <v>0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1">
        <v>2459</v>
      </c>
      <c r="B53" s="13" t="s">
        <v>165</v>
      </c>
      <c r="C53" s="14" t="s">
        <v>166</v>
      </c>
      <c r="D53" s="14" t="s">
        <v>167</v>
      </c>
      <c r="E53" s="14" t="s">
        <v>168</v>
      </c>
      <c r="F53" s="14" t="s">
        <v>146</v>
      </c>
      <c r="G53" s="14" t="s">
        <v>141</v>
      </c>
      <c r="H53" s="4"/>
      <c r="I53" s="4">
        <f t="shared" si="5"/>
        <v>0</v>
      </c>
      <c r="J53" s="4"/>
      <c r="K53" s="4">
        <f t="shared" si="1"/>
        <v>0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1">
        <v>2465</v>
      </c>
      <c r="B54" s="13" t="s">
        <v>169</v>
      </c>
      <c r="C54" s="14" t="s">
        <v>170</v>
      </c>
      <c r="D54" s="14" t="s">
        <v>171</v>
      </c>
      <c r="E54" s="14" t="s">
        <v>18</v>
      </c>
      <c r="F54" s="14" t="s">
        <v>146</v>
      </c>
      <c r="G54" s="14" t="s">
        <v>141</v>
      </c>
      <c r="H54" s="4"/>
      <c r="I54" s="4">
        <f t="shared" si="5"/>
        <v>0</v>
      </c>
      <c r="J54" s="4"/>
      <c r="K54" s="4">
        <f t="shared" si="1"/>
        <v>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1">
        <v>2477</v>
      </c>
      <c r="B55" s="13" t="s">
        <v>16</v>
      </c>
      <c r="C55" s="14" t="s">
        <v>172</v>
      </c>
      <c r="D55" s="14" t="s">
        <v>173</v>
      </c>
      <c r="E55" s="14" t="s">
        <v>174</v>
      </c>
      <c r="F55" s="14" t="s">
        <v>146</v>
      </c>
      <c r="G55" s="14" t="s">
        <v>141</v>
      </c>
      <c r="H55" s="4"/>
      <c r="I55" s="4">
        <f t="shared" si="5"/>
        <v>0</v>
      </c>
      <c r="J55" s="4"/>
      <c r="K55" s="4">
        <f t="shared" si="1"/>
        <v>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1">
        <v>239</v>
      </c>
      <c r="B56" s="13" t="s">
        <v>19</v>
      </c>
      <c r="C56" s="14" t="s">
        <v>175</v>
      </c>
      <c r="D56" s="14" t="s">
        <v>176</v>
      </c>
      <c r="E56" s="14" t="s">
        <v>177</v>
      </c>
      <c r="F56" s="14" t="s">
        <v>146</v>
      </c>
      <c r="G56" s="14" t="s">
        <v>141</v>
      </c>
      <c r="H56" s="4"/>
      <c r="I56" s="4">
        <f t="shared" si="5"/>
        <v>0</v>
      </c>
      <c r="J56" s="4"/>
      <c r="K56" s="4">
        <f t="shared" si="1"/>
        <v>0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1">
        <v>251</v>
      </c>
      <c r="B57" s="13" t="s">
        <v>178</v>
      </c>
      <c r="C57" s="14" t="s">
        <v>179</v>
      </c>
      <c r="D57" s="14" t="s">
        <v>180</v>
      </c>
      <c r="E57" s="14" t="s">
        <v>181</v>
      </c>
      <c r="F57" s="14" t="s">
        <v>146</v>
      </c>
      <c r="G57" s="14" t="s">
        <v>141</v>
      </c>
      <c r="H57" s="4"/>
      <c r="I57" s="4">
        <f t="shared" si="5"/>
        <v>0</v>
      </c>
      <c r="J57" s="4"/>
      <c r="K57" s="4">
        <f t="shared" si="1"/>
        <v>0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1">
        <v>2405</v>
      </c>
      <c r="B58" s="13" t="s">
        <v>154</v>
      </c>
      <c r="C58" s="14" t="s">
        <v>182</v>
      </c>
      <c r="D58" s="14" t="s">
        <v>183</v>
      </c>
      <c r="E58" s="14" t="s">
        <v>40</v>
      </c>
      <c r="F58" s="14" t="s">
        <v>184</v>
      </c>
      <c r="G58" s="14" t="s">
        <v>141</v>
      </c>
      <c r="H58" s="4"/>
      <c r="I58" s="4">
        <f t="shared" si="5"/>
        <v>0</v>
      </c>
      <c r="J58" s="4"/>
      <c r="K58" s="4">
        <f t="shared" si="1"/>
        <v>0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1">
        <v>2423</v>
      </c>
      <c r="B59" s="13" t="s">
        <v>10</v>
      </c>
      <c r="C59" s="14" t="s">
        <v>185</v>
      </c>
      <c r="D59" s="14" t="s">
        <v>186</v>
      </c>
      <c r="E59" s="14" t="s">
        <v>187</v>
      </c>
      <c r="F59" s="14" t="s">
        <v>184</v>
      </c>
      <c r="G59" s="14" t="s">
        <v>141</v>
      </c>
      <c r="H59" s="4"/>
      <c r="I59" s="4">
        <f t="shared" si="5"/>
        <v>0</v>
      </c>
      <c r="J59" s="4"/>
      <c r="K59" s="4">
        <f t="shared" si="1"/>
        <v>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1">
        <v>2451</v>
      </c>
      <c r="B60" s="13" t="s">
        <v>161</v>
      </c>
      <c r="C60" s="14" t="s">
        <v>188</v>
      </c>
      <c r="D60" s="14" t="s">
        <v>189</v>
      </c>
      <c r="E60" s="14" t="s">
        <v>190</v>
      </c>
      <c r="F60" s="14" t="s">
        <v>184</v>
      </c>
      <c r="G60" s="14" t="s">
        <v>141</v>
      </c>
      <c r="H60" s="4"/>
      <c r="I60" s="4">
        <f t="shared" si="5"/>
        <v>0</v>
      </c>
      <c r="J60" s="4"/>
      <c r="K60" s="4">
        <f t="shared" si="1"/>
        <v>0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1">
        <v>2361</v>
      </c>
      <c r="B61" s="13" t="s">
        <v>137</v>
      </c>
      <c r="C61" s="14" t="s">
        <v>191</v>
      </c>
      <c r="D61" s="14" t="s">
        <v>192</v>
      </c>
      <c r="E61" s="14" t="s">
        <v>193</v>
      </c>
      <c r="F61" s="14" t="s">
        <v>194</v>
      </c>
      <c r="G61" s="14" t="s">
        <v>141</v>
      </c>
      <c r="H61" s="4"/>
      <c r="I61" s="4">
        <f t="shared" si="5"/>
        <v>0</v>
      </c>
      <c r="J61" s="4"/>
      <c r="K61" s="4">
        <f t="shared" si="1"/>
        <v>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1">
        <v>2381</v>
      </c>
      <c r="B62" s="13" t="s">
        <v>195</v>
      </c>
      <c r="C62" s="14" t="s">
        <v>196</v>
      </c>
      <c r="D62" s="14" t="s">
        <v>197</v>
      </c>
      <c r="E62" s="14" t="s">
        <v>13</v>
      </c>
      <c r="F62" s="14" t="s">
        <v>194</v>
      </c>
      <c r="G62" s="14" t="s">
        <v>141</v>
      </c>
      <c r="H62" s="4"/>
      <c r="I62" s="4">
        <f t="shared" si="5"/>
        <v>0</v>
      </c>
      <c r="J62" s="4"/>
      <c r="K62" s="4">
        <f t="shared" si="1"/>
        <v>0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1">
        <v>2421</v>
      </c>
      <c r="B63" s="13" t="s">
        <v>10</v>
      </c>
      <c r="C63" s="14" t="s">
        <v>198</v>
      </c>
      <c r="D63" s="14" t="s">
        <v>199</v>
      </c>
      <c r="E63" s="14" t="s">
        <v>200</v>
      </c>
      <c r="F63" s="14" t="s">
        <v>194</v>
      </c>
      <c r="G63" s="14" t="s">
        <v>141</v>
      </c>
      <c r="H63" s="4"/>
      <c r="I63" s="4">
        <f t="shared" si="5"/>
        <v>0</v>
      </c>
      <c r="J63" s="4"/>
      <c r="K63" s="4">
        <f t="shared" si="1"/>
        <v>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1">
        <v>2433</v>
      </c>
      <c r="B64" s="13" t="s">
        <v>201</v>
      </c>
      <c r="C64" s="14" t="s">
        <v>202</v>
      </c>
      <c r="D64" s="14" t="s">
        <v>203</v>
      </c>
      <c r="E64" s="14" t="s">
        <v>204</v>
      </c>
      <c r="F64" s="14" t="s">
        <v>194</v>
      </c>
      <c r="G64" s="14" t="s">
        <v>141</v>
      </c>
      <c r="H64" s="4"/>
      <c r="I64" s="4">
        <f t="shared" si="5"/>
        <v>0</v>
      </c>
      <c r="J64" s="4"/>
      <c r="K64" s="4">
        <f t="shared" si="1"/>
        <v>0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1">
        <v>2435</v>
      </c>
      <c r="B65" s="13" t="s">
        <v>201</v>
      </c>
      <c r="C65" s="14" t="s">
        <v>191</v>
      </c>
      <c r="D65" s="14" t="s">
        <v>163</v>
      </c>
      <c r="E65" s="14" t="s">
        <v>193</v>
      </c>
      <c r="F65" s="14" t="s">
        <v>194</v>
      </c>
      <c r="G65" s="14" t="s">
        <v>141</v>
      </c>
      <c r="H65" s="4"/>
      <c r="I65" s="4">
        <f t="shared" si="5"/>
        <v>0</v>
      </c>
      <c r="J65" s="4"/>
      <c r="K65" s="4">
        <f t="shared" si="1"/>
        <v>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1">
        <v>2437</v>
      </c>
      <c r="B66" s="13" t="s">
        <v>201</v>
      </c>
      <c r="C66" s="14" t="s">
        <v>205</v>
      </c>
      <c r="D66" s="14" t="s">
        <v>206</v>
      </c>
      <c r="E66" s="14" t="s">
        <v>207</v>
      </c>
      <c r="F66" s="14" t="s">
        <v>194</v>
      </c>
      <c r="G66" s="14" t="s">
        <v>141</v>
      </c>
      <c r="H66" s="4"/>
      <c r="I66" s="4">
        <f t="shared" si="5"/>
        <v>0</v>
      </c>
      <c r="J66" s="4"/>
      <c r="K66" s="4">
        <f t="shared" si="1"/>
        <v>0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1">
        <v>253</v>
      </c>
      <c r="B67" s="13" t="s">
        <v>178</v>
      </c>
      <c r="C67" s="14" t="s">
        <v>208</v>
      </c>
      <c r="D67" s="14" t="s">
        <v>209</v>
      </c>
      <c r="E67" s="14" t="s">
        <v>210</v>
      </c>
      <c r="F67" s="14" t="s">
        <v>194</v>
      </c>
      <c r="G67" s="14" t="s">
        <v>141</v>
      </c>
      <c r="H67" s="4"/>
      <c r="I67" s="4">
        <f t="shared" si="5"/>
        <v>0</v>
      </c>
      <c r="J67" s="4"/>
      <c r="K67" s="4">
        <f t="shared" si="1"/>
        <v>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1">
        <v>381</v>
      </c>
      <c r="B68" s="13" t="s">
        <v>211</v>
      </c>
      <c r="C68" s="14" t="s">
        <v>212</v>
      </c>
      <c r="D68" s="14" t="s">
        <v>213</v>
      </c>
      <c r="E68" s="14" t="s">
        <v>214</v>
      </c>
      <c r="F68" s="14" t="s">
        <v>194</v>
      </c>
      <c r="G68" s="14" t="s">
        <v>141</v>
      </c>
      <c r="H68" s="4"/>
      <c r="I68" s="4">
        <f t="shared" si="5"/>
        <v>0</v>
      </c>
      <c r="J68" s="4"/>
      <c r="K68" s="4">
        <f t="shared" si="1"/>
        <v>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1">
        <v>2453</v>
      </c>
      <c r="B69" s="13" t="s">
        <v>161</v>
      </c>
      <c r="C69" s="14" t="s">
        <v>215</v>
      </c>
      <c r="D69" s="14" t="s">
        <v>216</v>
      </c>
      <c r="E69" s="14" t="s">
        <v>217</v>
      </c>
      <c r="F69" s="14" t="s">
        <v>218</v>
      </c>
      <c r="G69" s="14" t="s">
        <v>141</v>
      </c>
      <c r="H69" s="4"/>
      <c r="I69" s="4">
        <f t="shared" si="5"/>
        <v>0</v>
      </c>
      <c r="J69" s="4"/>
      <c r="K69" s="4">
        <f t="shared" si="1"/>
        <v>0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1">
        <v>2467</v>
      </c>
      <c r="B70" s="13" t="s">
        <v>169</v>
      </c>
      <c r="C70" s="14" t="s">
        <v>219</v>
      </c>
      <c r="D70" s="14" t="s">
        <v>220</v>
      </c>
      <c r="E70" s="14" t="s">
        <v>221</v>
      </c>
      <c r="F70" s="14" t="s">
        <v>222</v>
      </c>
      <c r="G70" s="14" t="s">
        <v>141</v>
      </c>
      <c r="H70" s="4"/>
      <c r="I70" s="4">
        <f t="shared" si="5"/>
        <v>0</v>
      </c>
      <c r="J70" s="4"/>
      <c r="K70" s="4">
        <f t="shared" si="1"/>
        <v>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1">
        <v>2479</v>
      </c>
      <c r="B71" s="13" t="s">
        <v>16</v>
      </c>
      <c r="C71" s="14" t="s">
        <v>223</v>
      </c>
      <c r="D71" s="14" t="s">
        <v>224</v>
      </c>
      <c r="E71" s="14" t="s">
        <v>225</v>
      </c>
      <c r="F71" s="14" t="s">
        <v>222</v>
      </c>
      <c r="G71" s="14" t="s">
        <v>141</v>
      </c>
      <c r="H71" s="4"/>
      <c r="I71" s="4">
        <f t="shared" si="5"/>
        <v>0</v>
      </c>
      <c r="J71" s="4"/>
      <c r="K71" s="4">
        <f t="shared" si="1"/>
        <v>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1">
        <v>75</v>
      </c>
      <c r="B72" s="13" t="s">
        <v>226</v>
      </c>
      <c r="C72" s="14" t="s">
        <v>227</v>
      </c>
      <c r="D72" s="14" t="s">
        <v>228</v>
      </c>
      <c r="E72" s="14" t="s">
        <v>229</v>
      </c>
      <c r="F72" s="14" t="s">
        <v>230</v>
      </c>
      <c r="G72" s="14" t="s">
        <v>231</v>
      </c>
      <c r="H72" s="4"/>
      <c r="I72" s="4">
        <f t="shared" si="5"/>
        <v>0</v>
      </c>
      <c r="J72" s="4"/>
      <c r="K72" s="4">
        <f t="shared" si="1"/>
        <v>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1"/>
      <c r="B73" s="2" t="s">
        <v>232</v>
      </c>
      <c r="C73" s="3" t="s">
        <v>12</v>
      </c>
      <c r="D73" s="3" t="s">
        <v>233</v>
      </c>
      <c r="E73" s="3"/>
      <c r="F73" s="3" t="s">
        <v>230</v>
      </c>
      <c r="G73" s="3" t="s">
        <v>231</v>
      </c>
      <c r="H73" s="4"/>
      <c r="I73" s="4">
        <f t="shared" ref="I73:I79" si="6">H73*1800</f>
        <v>0</v>
      </c>
      <c r="J73" s="4"/>
      <c r="K73" s="4">
        <f t="shared" si="1"/>
        <v>0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1"/>
      <c r="B74" s="2" t="s">
        <v>114</v>
      </c>
      <c r="C74" s="3" t="s">
        <v>12</v>
      </c>
      <c r="D74" s="3" t="s">
        <v>233</v>
      </c>
      <c r="E74" s="3"/>
      <c r="F74" s="3" t="s">
        <v>230</v>
      </c>
      <c r="G74" s="3" t="s">
        <v>231</v>
      </c>
      <c r="H74" s="4"/>
      <c r="I74" s="4">
        <f t="shared" si="6"/>
        <v>0</v>
      </c>
      <c r="J74" s="4"/>
      <c r="K74" s="4">
        <f t="shared" si="1"/>
        <v>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1"/>
      <c r="B75" s="2" t="s">
        <v>234</v>
      </c>
      <c r="C75" s="3" t="s">
        <v>235</v>
      </c>
      <c r="D75" s="3" t="s">
        <v>236</v>
      </c>
      <c r="E75" s="3" t="s">
        <v>237</v>
      </c>
      <c r="F75" s="3" t="s">
        <v>230</v>
      </c>
      <c r="G75" s="3" t="s">
        <v>231</v>
      </c>
      <c r="H75" s="4"/>
      <c r="I75" s="4">
        <f t="shared" si="6"/>
        <v>0</v>
      </c>
      <c r="J75" s="4"/>
      <c r="K75" s="4">
        <f t="shared" si="1"/>
        <v>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1"/>
      <c r="B76" s="2" t="s">
        <v>238</v>
      </c>
      <c r="C76" s="3" t="s">
        <v>235</v>
      </c>
      <c r="D76" s="3" t="s">
        <v>236</v>
      </c>
      <c r="E76" s="3" t="s">
        <v>237</v>
      </c>
      <c r="F76" s="3" t="s">
        <v>230</v>
      </c>
      <c r="G76" s="3" t="s">
        <v>231</v>
      </c>
      <c r="H76" s="4"/>
      <c r="I76" s="4">
        <f t="shared" si="6"/>
        <v>0</v>
      </c>
      <c r="J76" s="4"/>
      <c r="K76" s="4">
        <f t="shared" si="1"/>
        <v>0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1"/>
      <c r="B77" s="2" t="s">
        <v>94</v>
      </c>
      <c r="C77" s="3" t="s">
        <v>239</v>
      </c>
      <c r="D77" s="3" t="s">
        <v>240</v>
      </c>
      <c r="E77" s="3" t="s">
        <v>32</v>
      </c>
      <c r="F77" s="3" t="s">
        <v>230</v>
      </c>
      <c r="G77" s="3" t="s">
        <v>231</v>
      </c>
      <c r="H77" s="4"/>
      <c r="I77" s="4">
        <f t="shared" si="6"/>
        <v>0</v>
      </c>
      <c r="J77" s="4"/>
      <c r="K77" s="4">
        <f t="shared" si="1"/>
        <v>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1"/>
      <c r="B78" s="2" t="s">
        <v>126</v>
      </c>
      <c r="C78" s="3" t="s">
        <v>241</v>
      </c>
      <c r="D78" s="3" t="s">
        <v>124</v>
      </c>
      <c r="E78" s="3" t="s">
        <v>40</v>
      </c>
      <c r="F78" s="3" t="s">
        <v>242</v>
      </c>
      <c r="G78" s="3" t="s">
        <v>231</v>
      </c>
      <c r="H78" s="4"/>
      <c r="I78" s="4">
        <f t="shared" si="6"/>
        <v>0</v>
      </c>
      <c r="J78" s="4"/>
      <c r="K78" s="4">
        <f t="shared" si="1"/>
        <v>0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1"/>
      <c r="B79" s="2" t="s">
        <v>94</v>
      </c>
      <c r="C79" s="3" t="s">
        <v>241</v>
      </c>
      <c r="D79" s="3" t="s">
        <v>124</v>
      </c>
      <c r="E79" s="3" t="s">
        <v>40</v>
      </c>
      <c r="F79" s="3" t="s">
        <v>242</v>
      </c>
      <c r="G79" s="3" t="s">
        <v>231</v>
      </c>
      <c r="H79" s="4"/>
      <c r="I79" s="4">
        <f t="shared" si="6"/>
        <v>0</v>
      </c>
      <c r="J79" s="4"/>
      <c r="K79" s="4">
        <f t="shared" si="1"/>
        <v>0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1">
        <v>265</v>
      </c>
      <c r="B80" s="13" t="s">
        <v>243</v>
      </c>
      <c r="C80" s="14" t="s">
        <v>244</v>
      </c>
      <c r="D80" s="14" t="s">
        <v>128</v>
      </c>
      <c r="E80" s="14" t="s">
        <v>32</v>
      </c>
      <c r="F80" s="14" t="s">
        <v>245</v>
      </c>
      <c r="G80" s="14" t="s">
        <v>231</v>
      </c>
      <c r="H80" s="4"/>
      <c r="I80" s="4">
        <f t="shared" ref="I80:I112" si="7">H80*2300</f>
        <v>0</v>
      </c>
      <c r="J80" s="4"/>
      <c r="K80" s="4">
        <f t="shared" si="1"/>
        <v>0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1">
        <v>389</v>
      </c>
      <c r="B81" s="13" t="s">
        <v>246</v>
      </c>
      <c r="C81" s="14" t="s">
        <v>247</v>
      </c>
      <c r="D81" s="14" t="s">
        <v>139</v>
      </c>
      <c r="E81" s="14" t="s">
        <v>32</v>
      </c>
      <c r="F81" s="14" t="s">
        <v>245</v>
      </c>
      <c r="G81" s="14" t="s">
        <v>231</v>
      </c>
      <c r="H81" s="4"/>
      <c r="I81" s="4">
        <f t="shared" si="7"/>
        <v>0</v>
      </c>
      <c r="J81" s="4"/>
      <c r="K81" s="4">
        <f t="shared" si="1"/>
        <v>0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1">
        <v>641</v>
      </c>
      <c r="B82" s="13" t="s">
        <v>248</v>
      </c>
      <c r="C82" s="14" t="s">
        <v>249</v>
      </c>
      <c r="D82" s="14" t="s">
        <v>250</v>
      </c>
      <c r="E82" s="14" t="s">
        <v>251</v>
      </c>
      <c r="F82" s="14" t="s">
        <v>245</v>
      </c>
      <c r="G82" s="14" t="s">
        <v>231</v>
      </c>
      <c r="H82" s="4"/>
      <c r="I82" s="4">
        <f t="shared" si="7"/>
        <v>0</v>
      </c>
      <c r="J82" s="4"/>
      <c r="K82" s="4">
        <f t="shared" si="1"/>
        <v>0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1">
        <v>677</v>
      </c>
      <c r="B83" s="13" t="s">
        <v>252</v>
      </c>
      <c r="C83" s="14" t="s">
        <v>253</v>
      </c>
      <c r="D83" s="14" t="s">
        <v>254</v>
      </c>
      <c r="E83" s="14" t="s">
        <v>255</v>
      </c>
      <c r="F83" s="14" t="s">
        <v>245</v>
      </c>
      <c r="G83" s="14" t="s">
        <v>231</v>
      </c>
      <c r="H83" s="4"/>
      <c r="I83" s="4">
        <f t="shared" si="7"/>
        <v>0</v>
      </c>
      <c r="J83" s="4"/>
      <c r="K83" s="4">
        <f t="shared" si="1"/>
        <v>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1">
        <v>1181</v>
      </c>
      <c r="B84" s="13" t="s">
        <v>256</v>
      </c>
      <c r="C84" s="14" t="s">
        <v>257</v>
      </c>
      <c r="D84" s="14" t="s">
        <v>258</v>
      </c>
      <c r="E84" s="14" t="s">
        <v>259</v>
      </c>
      <c r="F84" s="14" t="s">
        <v>245</v>
      </c>
      <c r="G84" s="14" t="s">
        <v>231</v>
      </c>
      <c r="H84" s="4"/>
      <c r="I84" s="4">
        <f t="shared" si="7"/>
        <v>0</v>
      </c>
      <c r="J84" s="4"/>
      <c r="K84" s="4">
        <f t="shared" si="1"/>
        <v>0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1">
        <v>1331</v>
      </c>
      <c r="B85" s="13" t="s">
        <v>260</v>
      </c>
      <c r="C85" s="14" t="s">
        <v>244</v>
      </c>
      <c r="D85" s="14" t="s">
        <v>128</v>
      </c>
      <c r="E85" s="14" t="s">
        <v>32</v>
      </c>
      <c r="F85" s="14" t="s">
        <v>245</v>
      </c>
      <c r="G85" s="14" t="s">
        <v>231</v>
      </c>
      <c r="H85" s="4"/>
      <c r="I85" s="4">
        <f t="shared" si="7"/>
        <v>0</v>
      </c>
      <c r="J85" s="4"/>
      <c r="K85" s="4">
        <f t="shared" si="1"/>
        <v>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1">
        <v>1467</v>
      </c>
      <c r="B86" s="13" t="s">
        <v>261</v>
      </c>
      <c r="C86" s="14" t="s">
        <v>247</v>
      </c>
      <c r="D86" s="14" t="s">
        <v>139</v>
      </c>
      <c r="E86" s="14" t="s">
        <v>32</v>
      </c>
      <c r="F86" s="14" t="s">
        <v>245</v>
      </c>
      <c r="G86" s="14" t="s">
        <v>231</v>
      </c>
      <c r="H86" s="4"/>
      <c r="I86" s="4">
        <f t="shared" si="7"/>
        <v>0</v>
      </c>
      <c r="J86" s="4"/>
      <c r="K86" s="4">
        <f t="shared" si="1"/>
        <v>0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1">
        <v>1511</v>
      </c>
      <c r="B87" s="13" t="s">
        <v>262</v>
      </c>
      <c r="C87" s="14" t="s">
        <v>249</v>
      </c>
      <c r="D87" s="14" t="s">
        <v>250</v>
      </c>
      <c r="E87" s="14" t="s">
        <v>251</v>
      </c>
      <c r="F87" s="14" t="s">
        <v>245</v>
      </c>
      <c r="G87" s="14" t="s">
        <v>231</v>
      </c>
      <c r="H87" s="4"/>
      <c r="I87" s="4">
        <f t="shared" si="7"/>
        <v>0</v>
      </c>
      <c r="J87" s="4"/>
      <c r="K87" s="4">
        <f t="shared" si="1"/>
        <v>0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1">
        <v>1535</v>
      </c>
      <c r="B88" s="13" t="s">
        <v>263</v>
      </c>
      <c r="C88" s="14" t="s">
        <v>253</v>
      </c>
      <c r="D88" s="14" t="s">
        <v>254</v>
      </c>
      <c r="E88" s="14" t="s">
        <v>255</v>
      </c>
      <c r="F88" s="14" t="s">
        <v>245</v>
      </c>
      <c r="G88" s="14" t="s">
        <v>231</v>
      </c>
      <c r="H88" s="4"/>
      <c r="I88" s="4">
        <f t="shared" si="7"/>
        <v>0</v>
      </c>
      <c r="J88" s="4"/>
      <c r="K88" s="4">
        <f t="shared" si="1"/>
        <v>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1">
        <v>1615</v>
      </c>
      <c r="B89" s="13" t="s">
        <v>264</v>
      </c>
      <c r="C89" s="14" t="s">
        <v>265</v>
      </c>
      <c r="D89" s="14" t="s">
        <v>266</v>
      </c>
      <c r="E89" s="14" t="s">
        <v>87</v>
      </c>
      <c r="F89" s="14" t="s">
        <v>245</v>
      </c>
      <c r="G89" s="14" t="s">
        <v>231</v>
      </c>
      <c r="H89" s="4"/>
      <c r="I89" s="4">
        <f t="shared" si="7"/>
        <v>0</v>
      </c>
      <c r="J89" s="4"/>
      <c r="K89" s="4">
        <f t="shared" si="1"/>
        <v>0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1">
        <v>1645</v>
      </c>
      <c r="B90" s="13" t="s">
        <v>267</v>
      </c>
      <c r="C90" s="14" t="s">
        <v>268</v>
      </c>
      <c r="D90" s="14" t="s">
        <v>269</v>
      </c>
      <c r="E90" s="14" t="s">
        <v>40</v>
      </c>
      <c r="F90" s="14" t="s">
        <v>245</v>
      </c>
      <c r="G90" s="14" t="s">
        <v>231</v>
      </c>
      <c r="H90" s="4"/>
      <c r="I90" s="4">
        <f t="shared" si="7"/>
        <v>0</v>
      </c>
      <c r="J90" s="4"/>
      <c r="K90" s="4">
        <f t="shared" si="1"/>
        <v>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1">
        <v>1691</v>
      </c>
      <c r="B91" s="13" t="s">
        <v>270</v>
      </c>
      <c r="C91" s="14" t="s">
        <v>271</v>
      </c>
      <c r="D91" s="14" t="s">
        <v>272</v>
      </c>
      <c r="E91" s="14" t="s">
        <v>273</v>
      </c>
      <c r="F91" s="14" t="s">
        <v>245</v>
      </c>
      <c r="G91" s="14" t="s">
        <v>231</v>
      </c>
      <c r="H91" s="4"/>
      <c r="I91" s="4">
        <f t="shared" si="7"/>
        <v>0</v>
      </c>
      <c r="J91" s="4"/>
      <c r="K91" s="4">
        <f t="shared" si="1"/>
        <v>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1">
        <v>1695</v>
      </c>
      <c r="B92" s="13" t="s">
        <v>270</v>
      </c>
      <c r="C92" s="14" t="s">
        <v>274</v>
      </c>
      <c r="D92" s="14" t="s">
        <v>275</v>
      </c>
      <c r="E92" s="14" t="s">
        <v>112</v>
      </c>
      <c r="F92" s="14" t="s">
        <v>245</v>
      </c>
      <c r="G92" s="14" t="s">
        <v>231</v>
      </c>
      <c r="H92" s="4"/>
      <c r="I92" s="4">
        <f t="shared" si="7"/>
        <v>0</v>
      </c>
      <c r="J92" s="4"/>
      <c r="K92" s="4">
        <f t="shared" si="1"/>
        <v>0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1">
        <v>1809</v>
      </c>
      <c r="B93" s="13" t="s">
        <v>276</v>
      </c>
      <c r="C93" s="14" t="s">
        <v>244</v>
      </c>
      <c r="D93" s="14" t="s">
        <v>128</v>
      </c>
      <c r="E93" s="14" t="s">
        <v>32</v>
      </c>
      <c r="F93" s="14" t="s">
        <v>245</v>
      </c>
      <c r="G93" s="14" t="s">
        <v>231</v>
      </c>
      <c r="H93" s="4"/>
      <c r="I93" s="4">
        <f t="shared" si="7"/>
        <v>0</v>
      </c>
      <c r="J93" s="4"/>
      <c r="K93" s="4">
        <f t="shared" si="1"/>
        <v>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1">
        <v>1909</v>
      </c>
      <c r="B94" s="13" t="s">
        <v>277</v>
      </c>
      <c r="C94" s="14" t="s">
        <v>247</v>
      </c>
      <c r="D94" s="14" t="s">
        <v>139</v>
      </c>
      <c r="E94" s="14" t="s">
        <v>32</v>
      </c>
      <c r="F94" s="14" t="s">
        <v>245</v>
      </c>
      <c r="G94" s="14" t="s">
        <v>231</v>
      </c>
      <c r="H94" s="4"/>
      <c r="I94" s="4">
        <f t="shared" si="7"/>
        <v>0</v>
      </c>
      <c r="J94" s="4"/>
      <c r="K94" s="4">
        <f t="shared" si="1"/>
        <v>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1">
        <v>1955</v>
      </c>
      <c r="B95" s="13" t="s">
        <v>278</v>
      </c>
      <c r="C95" s="14" t="s">
        <v>271</v>
      </c>
      <c r="D95" s="14" t="s">
        <v>272</v>
      </c>
      <c r="E95" s="14" t="s">
        <v>273</v>
      </c>
      <c r="F95" s="14" t="s">
        <v>245</v>
      </c>
      <c r="G95" s="14" t="s">
        <v>231</v>
      </c>
      <c r="H95" s="4"/>
      <c r="I95" s="4">
        <f t="shared" si="7"/>
        <v>0</v>
      </c>
      <c r="J95" s="4"/>
      <c r="K95" s="4">
        <f t="shared" si="1"/>
        <v>0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1">
        <v>1957</v>
      </c>
      <c r="B96" s="13" t="s">
        <v>278</v>
      </c>
      <c r="C96" s="14" t="s">
        <v>274</v>
      </c>
      <c r="D96" s="14" t="s">
        <v>275</v>
      </c>
      <c r="E96" s="14" t="s">
        <v>112</v>
      </c>
      <c r="F96" s="14" t="s">
        <v>245</v>
      </c>
      <c r="G96" s="14" t="s">
        <v>231</v>
      </c>
      <c r="H96" s="4"/>
      <c r="I96" s="4">
        <f t="shared" si="7"/>
        <v>0</v>
      </c>
      <c r="J96" s="4"/>
      <c r="K96" s="4">
        <f t="shared" si="1"/>
        <v>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1">
        <v>1981</v>
      </c>
      <c r="B97" s="13" t="s">
        <v>279</v>
      </c>
      <c r="C97" s="14" t="s">
        <v>249</v>
      </c>
      <c r="D97" s="14" t="s">
        <v>250</v>
      </c>
      <c r="E97" s="14" t="s">
        <v>251</v>
      </c>
      <c r="F97" s="14" t="s">
        <v>245</v>
      </c>
      <c r="G97" s="14" t="s">
        <v>231</v>
      </c>
      <c r="H97" s="4"/>
      <c r="I97" s="4">
        <f t="shared" si="7"/>
        <v>0</v>
      </c>
      <c r="J97" s="4"/>
      <c r="K97" s="4">
        <f t="shared" si="1"/>
        <v>0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1">
        <v>2121</v>
      </c>
      <c r="B98" s="13" t="s">
        <v>280</v>
      </c>
      <c r="C98" s="14" t="s">
        <v>244</v>
      </c>
      <c r="D98" s="14" t="s">
        <v>128</v>
      </c>
      <c r="E98" s="14" t="s">
        <v>32</v>
      </c>
      <c r="F98" s="14" t="s">
        <v>245</v>
      </c>
      <c r="G98" s="14" t="s">
        <v>231</v>
      </c>
      <c r="H98" s="4"/>
      <c r="I98" s="4">
        <f t="shared" si="7"/>
        <v>0</v>
      </c>
      <c r="J98" s="4"/>
      <c r="K98" s="4">
        <f t="shared" si="1"/>
        <v>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1">
        <v>2165</v>
      </c>
      <c r="B99" s="13" t="s">
        <v>281</v>
      </c>
      <c r="C99" s="14" t="s">
        <v>247</v>
      </c>
      <c r="D99" s="14" t="s">
        <v>139</v>
      </c>
      <c r="E99" s="14" t="s">
        <v>32</v>
      </c>
      <c r="F99" s="14" t="s">
        <v>245</v>
      </c>
      <c r="G99" s="14" t="s">
        <v>231</v>
      </c>
      <c r="H99" s="4"/>
      <c r="I99" s="4">
        <f t="shared" si="7"/>
        <v>0</v>
      </c>
      <c r="J99" s="4"/>
      <c r="K99" s="4">
        <f t="shared" si="1"/>
        <v>0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1">
        <v>2215</v>
      </c>
      <c r="B100" s="13" t="s">
        <v>282</v>
      </c>
      <c r="C100" s="14" t="s">
        <v>271</v>
      </c>
      <c r="D100" s="14" t="s">
        <v>272</v>
      </c>
      <c r="E100" s="14" t="s">
        <v>273</v>
      </c>
      <c r="F100" s="14" t="s">
        <v>245</v>
      </c>
      <c r="G100" s="14" t="s">
        <v>231</v>
      </c>
      <c r="H100" s="4"/>
      <c r="I100" s="4">
        <f t="shared" si="7"/>
        <v>0</v>
      </c>
      <c r="J100" s="4"/>
      <c r="K100" s="4">
        <f t="shared" si="1"/>
        <v>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1">
        <v>2221</v>
      </c>
      <c r="B101" s="13" t="s">
        <v>282</v>
      </c>
      <c r="C101" s="14" t="s">
        <v>265</v>
      </c>
      <c r="D101" s="14" t="s">
        <v>266</v>
      </c>
      <c r="E101" s="14" t="s">
        <v>87</v>
      </c>
      <c r="F101" s="14" t="s">
        <v>245</v>
      </c>
      <c r="G101" s="14" t="s">
        <v>231</v>
      </c>
      <c r="H101" s="4"/>
      <c r="I101" s="4">
        <f t="shared" si="7"/>
        <v>0</v>
      </c>
      <c r="J101" s="4"/>
      <c r="K101" s="4">
        <f t="shared" si="1"/>
        <v>0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1">
        <v>2223</v>
      </c>
      <c r="B102" s="13" t="s">
        <v>282</v>
      </c>
      <c r="C102" s="14" t="s">
        <v>274</v>
      </c>
      <c r="D102" s="14" t="s">
        <v>275</v>
      </c>
      <c r="E102" s="14" t="s">
        <v>112</v>
      </c>
      <c r="F102" s="14" t="s">
        <v>245</v>
      </c>
      <c r="G102" s="14" t="s">
        <v>231</v>
      </c>
      <c r="H102" s="4"/>
      <c r="I102" s="4">
        <f t="shared" si="7"/>
        <v>0</v>
      </c>
      <c r="J102" s="4"/>
      <c r="K102" s="4">
        <f t="shared" si="1"/>
        <v>0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1">
        <v>2275</v>
      </c>
      <c r="B103" s="13" t="s">
        <v>283</v>
      </c>
      <c r="C103" s="14" t="s">
        <v>257</v>
      </c>
      <c r="D103" s="14" t="s">
        <v>258</v>
      </c>
      <c r="E103" s="14" t="s">
        <v>259</v>
      </c>
      <c r="F103" s="14" t="s">
        <v>245</v>
      </c>
      <c r="G103" s="14" t="s">
        <v>231</v>
      </c>
      <c r="H103" s="4"/>
      <c r="I103" s="4">
        <f t="shared" si="7"/>
        <v>0</v>
      </c>
      <c r="J103" s="4"/>
      <c r="K103" s="4">
        <f t="shared" si="1"/>
        <v>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1">
        <v>2303</v>
      </c>
      <c r="B104" s="13" t="s">
        <v>284</v>
      </c>
      <c r="C104" s="14" t="s">
        <v>249</v>
      </c>
      <c r="D104" s="14" t="s">
        <v>250</v>
      </c>
      <c r="E104" s="14" t="s">
        <v>251</v>
      </c>
      <c r="F104" s="14" t="s">
        <v>245</v>
      </c>
      <c r="G104" s="14" t="s">
        <v>231</v>
      </c>
      <c r="H104" s="4"/>
      <c r="I104" s="4">
        <f t="shared" si="7"/>
        <v>0</v>
      </c>
      <c r="J104" s="4"/>
      <c r="K104" s="4">
        <f t="shared" si="1"/>
        <v>0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1">
        <v>2339</v>
      </c>
      <c r="B105" s="13" t="s">
        <v>285</v>
      </c>
      <c r="C105" s="14" t="s">
        <v>253</v>
      </c>
      <c r="D105" s="14" t="s">
        <v>254</v>
      </c>
      <c r="E105" s="14" t="s">
        <v>255</v>
      </c>
      <c r="F105" s="14" t="s">
        <v>245</v>
      </c>
      <c r="G105" s="14" t="s">
        <v>231</v>
      </c>
      <c r="H105" s="4"/>
      <c r="I105" s="4">
        <f t="shared" si="7"/>
        <v>0</v>
      </c>
      <c r="J105" s="4"/>
      <c r="K105" s="4">
        <f t="shared" si="1"/>
        <v>0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1">
        <v>2567</v>
      </c>
      <c r="B106" s="13" t="s">
        <v>286</v>
      </c>
      <c r="C106" s="14" t="s">
        <v>257</v>
      </c>
      <c r="D106" s="14" t="s">
        <v>258</v>
      </c>
      <c r="E106" s="14" t="s">
        <v>259</v>
      </c>
      <c r="F106" s="14" t="s">
        <v>245</v>
      </c>
      <c r="G106" s="14" t="s">
        <v>231</v>
      </c>
      <c r="H106" s="4"/>
      <c r="I106" s="4">
        <f t="shared" si="7"/>
        <v>0</v>
      </c>
      <c r="J106" s="4"/>
      <c r="K106" s="4">
        <f t="shared" si="1"/>
        <v>0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1">
        <v>2595</v>
      </c>
      <c r="B107" s="13" t="s">
        <v>287</v>
      </c>
      <c r="C107" s="14" t="s">
        <v>253</v>
      </c>
      <c r="D107" s="14" t="s">
        <v>254</v>
      </c>
      <c r="E107" s="14" t="s">
        <v>255</v>
      </c>
      <c r="F107" s="14" t="s">
        <v>245</v>
      </c>
      <c r="G107" s="14" t="s">
        <v>231</v>
      </c>
      <c r="H107" s="4"/>
      <c r="I107" s="4">
        <f t="shared" si="7"/>
        <v>0</v>
      </c>
      <c r="J107" s="4"/>
      <c r="K107" s="4">
        <f t="shared" si="1"/>
        <v>0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1">
        <v>2797</v>
      </c>
      <c r="B108" s="13" t="s">
        <v>288</v>
      </c>
      <c r="C108" s="14" t="s">
        <v>268</v>
      </c>
      <c r="D108" s="14" t="s">
        <v>269</v>
      </c>
      <c r="E108" s="14" t="s">
        <v>40</v>
      </c>
      <c r="F108" s="14" t="s">
        <v>245</v>
      </c>
      <c r="G108" s="14" t="s">
        <v>231</v>
      </c>
      <c r="H108" s="4"/>
      <c r="I108" s="4">
        <f t="shared" si="7"/>
        <v>0</v>
      </c>
      <c r="J108" s="4"/>
      <c r="K108" s="4">
        <f t="shared" si="1"/>
        <v>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1">
        <v>2801</v>
      </c>
      <c r="B109" s="13" t="s">
        <v>288</v>
      </c>
      <c r="C109" s="14" t="s">
        <v>265</v>
      </c>
      <c r="D109" s="14" t="s">
        <v>266</v>
      </c>
      <c r="E109" s="14" t="s">
        <v>87</v>
      </c>
      <c r="F109" s="14" t="s">
        <v>245</v>
      </c>
      <c r="G109" s="14" t="s">
        <v>231</v>
      </c>
      <c r="H109" s="4"/>
      <c r="I109" s="4">
        <f t="shared" si="7"/>
        <v>0</v>
      </c>
      <c r="J109" s="4"/>
      <c r="K109" s="4">
        <f t="shared" si="1"/>
        <v>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1">
        <v>2979</v>
      </c>
      <c r="B110" s="13" t="s">
        <v>289</v>
      </c>
      <c r="C110" s="14" t="s">
        <v>257</v>
      </c>
      <c r="D110" s="14" t="s">
        <v>258</v>
      </c>
      <c r="E110" s="14" t="s">
        <v>259</v>
      </c>
      <c r="F110" s="14" t="s">
        <v>245</v>
      </c>
      <c r="G110" s="14" t="s">
        <v>231</v>
      </c>
      <c r="H110" s="4"/>
      <c r="I110" s="4">
        <f t="shared" si="7"/>
        <v>0</v>
      </c>
      <c r="J110" s="4"/>
      <c r="K110" s="4">
        <f t="shared" si="1"/>
        <v>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20">
        <v>3007</v>
      </c>
      <c r="B111" s="21" t="s">
        <v>290</v>
      </c>
      <c r="C111" s="22" t="s">
        <v>268</v>
      </c>
      <c r="D111" s="22" t="s">
        <v>269</v>
      </c>
      <c r="E111" s="22" t="s">
        <v>40</v>
      </c>
      <c r="F111" s="14" t="s">
        <v>245</v>
      </c>
      <c r="G111" s="14" t="s">
        <v>231</v>
      </c>
      <c r="H111" s="4"/>
      <c r="I111" s="4">
        <f t="shared" si="7"/>
        <v>0</v>
      </c>
      <c r="J111" s="4"/>
      <c r="K111" s="4">
        <f t="shared" si="1"/>
        <v>0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20">
        <v>3013</v>
      </c>
      <c r="B112" s="21" t="s">
        <v>290</v>
      </c>
      <c r="C112" s="22" t="s">
        <v>274</v>
      </c>
      <c r="D112" s="22" t="s">
        <v>275</v>
      </c>
      <c r="E112" s="22" t="s">
        <v>112</v>
      </c>
      <c r="F112" s="14" t="s">
        <v>245</v>
      </c>
      <c r="G112" s="14" t="s">
        <v>231</v>
      </c>
      <c r="H112" s="4"/>
      <c r="I112" s="4">
        <f t="shared" si="7"/>
        <v>0</v>
      </c>
      <c r="J112" s="4"/>
      <c r="K112" s="4">
        <f t="shared" si="1"/>
        <v>0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1"/>
      <c r="B113" s="2" t="s">
        <v>232</v>
      </c>
      <c r="C113" s="3" t="s">
        <v>291</v>
      </c>
      <c r="D113" s="3" t="s">
        <v>292</v>
      </c>
      <c r="E113" s="3" t="s">
        <v>40</v>
      </c>
      <c r="F113" s="3" t="s">
        <v>245</v>
      </c>
      <c r="G113" s="3" t="s">
        <v>231</v>
      </c>
      <c r="H113" s="4"/>
      <c r="I113" s="4">
        <f t="shared" ref="I113:I148" si="8">H113*1800</f>
        <v>0</v>
      </c>
      <c r="J113" s="4"/>
      <c r="K113" s="4">
        <f t="shared" si="1"/>
        <v>0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1"/>
      <c r="B114" s="2" t="s">
        <v>108</v>
      </c>
      <c r="C114" s="3" t="s">
        <v>291</v>
      </c>
      <c r="D114" s="3" t="s">
        <v>292</v>
      </c>
      <c r="E114" s="3" t="s">
        <v>40</v>
      </c>
      <c r="F114" s="3" t="s">
        <v>245</v>
      </c>
      <c r="G114" s="3" t="s">
        <v>231</v>
      </c>
      <c r="H114" s="4"/>
      <c r="I114" s="4">
        <f t="shared" si="8"/>
        <v>0</v>
      </c>
      <c r="J114" s="4"/>
      <c r="K114" s="4">
        <f t="shared" si="1"/>
        <v>0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1"/>
      <c r="B115" s="2" t="s">
        <v>232</v>
      </c>
      <c r="C115" s="3" t="s">
        <v>293</v>
      </c>
      <c r="D115" s="3" t="s">
        <v>58</v>
      </c>
      <c r="E115" s="3" t="s">
        <v>40</v>
      </c>
      <c r="F115" s="3" t="s">
        <v>245</v>
      </c>
      <c r="G115" s="3" t="s">
        <v>231</v>
      </c>
      <c r="H115" s="4"/>
      <c r="I115" s="4">
        <f t="shared" si="8"/>
        <v>0</v>
      </c>
      <c r="J115" s="4"/>
      <c r="K115" s="4">
        <f t="shared" si="1"/>
        <v>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1"/>
      <c r="B116" s="19" t="s">
        <v>114</v>
      </c>
      <c r="C116" s="3" t="s">
        <v>293</v>
      </c>
      <c r="D116" s="3" t="s">
        <v>58</v>
      </c>
      <c r="E116" s="3" t="s">
        <v>40</v>
      </c>
      <c r="F116" s="3" t="s">
        <v>245</v>
      </c>
      <c r="G116" s="3" t="s">
        <v>231</v>
      </c>
      <c r="H116" s="4"/>
      <c r="I116" s="4">
        <f t="shared" si="8"/>
        <v>0</v>
      </c>
      <c r="J116" s="4"/>
      <c r="K116" s="4">
        <f t="shared" si="1"/>
        <v>0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1"/>
      <c r="B117" s="2" t="s">
        <v>108</v>
      </c>
      <c r="C117" s="3" t="s">
        <v>293</v>
      </c>
      <c r="D117" s="3" t="s">
        <v>58</v>
      </c>
      <c r="E117" s="3" t="s">
        <v>40</v>
      </c>
      <c r="F117" s="3" t="s">
        <v>245</v>
      </c>
      <c r="G117" s="3" t="s">
        <v>231</v>
      </c>
      <c r="H117" s="4"/>
      <c r="I117" s="4">
        <f t="shared" si="8"/>
        <v>0</v>
      </c>
      <c r="J117" s="4"/>
      <c r="K117" s="4">
        <f t="shared" si="1"/>
        <v>0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1"/>
      <c r="B118" s="2" t="s">
        <v>232</v>
      </c>
      <c r="C118" s="3" t="s">
        <v>294</v>
      </c>
      <c r="D118" s="3" t="s">
        <v>295</v>
      </c>
      <c r="E118" s="3" t="s">
        <v>18</v>
      </c>
      <c r="F118" s="3" t="s">
        <v>245</v>
      </c>
      <c r="G118" s="3" t="s">
        <v>231</v>
      </c>
      <c r="H118" s="4"/>
      <c r="I118" s="4">
        <f t="shared" si="8"/>
        <v>0</v>
      </c>
      <c r="J118" s="4"/>
      <c r="K118" s="4">
        <f t="shared" si="1"/>
        <v>0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1"/>
      <c r="B119" s="19" t="s">
        <v>296</v>
      </c>
      <c r="C119" s="23" t="s">
        <v>294</v>
      </c>
      <c r="D119" s="23" t="s">
        <v>295</v>
      </c>
      <c r="E119" s="3" t="s">
        <v>18</v>
      </c>
      <c r="F119" s="23" t="s">
        <v>245</v>
      </c>
      <c r="G119" s="23" t="s">
        <v>231</v>
      </c>
      <c r="H119" s="4"/>
      <c r="I119" s="4">
        <f t="shared" si="8"/>
        <v>0</v>
      </c>
      <c r="J119" s="4"/>
      <c r="K119" s="4">
        <f t="shared" si="1"/>
        <v>0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1"/>
      <c r="B120" s="2" t="s">
        <v>297</v>
      </c>
      <c r="C120" s="3" t="s">
        <v>298</v>
      </c>
      <c r="D120" s="3" t="s">
        <v>299</v>
      </c>
      <c r="E120" s="3" t="s">
        <v>40</v>
      </c>
      <c r="F120" s="3" t="s">
        <v>245</v>
      </c>
      <c r="G120" s="3" t="s">
        <v>231</v>
      </c>
      <c r="H120" s="4"/>
      <c r="I120" s="4">
        <f t="shared" si="8"/>
        <v>0</v>
      </c>
      <c r="J120" s="4"/>
      <c r="K120" s="4">
        <f t="shared" si="1"/>
        <v>0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1"/>
      <c r="B121" s="2" t="s">
        <v>300</v>
      </c>
      <c r="C121" s="3" t="s">
        <v>298</v>
      </c>
      <c r="D121" s="3" t="s">
        <v>299</v>
      </c>
      <c r="E121" s="3" t="s">
        <v>40</v>
      </c>
      <c r="F121" s="3" t="s">
        <v>245</v>
      </c>
      <c r="G121" s="3" t="s">
        <v>231</v>
      </c>
      <c r="H121" s="4"/>
      <c r="I121" s="4">
        <f t="shared" si="8"/>
        <v>0</v>
      </c>
      <c r="J121" s="4"/>
      <c r="K121" s="4">
        <f t="shared" si="1"/>
        <v>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1"/>
      <c r="B122" s="2" t="s">
        <v>94</v>
      </c>
      <c r="C122" s="3" t="s">
        <v>298</v>
      </c>
      <c r="D122" s="3" t="s">
        <v>299</v>
      </c>
      <c r="E122" s="3" t="s">
        <v>40</v>
      </c>
      <c r="F122" s="3" t="s">
        <v>245</v>
      </c>
      <c r="G122" s="3" t="s">
        <v>231</v>
      </c>
      <c r="H122" s="4"/>
      <c r="I122" s="4">
        <f t="shared" si="8"/>
        <v>0</v>
      </c>
      <c r="J122" s="4"/>
      <c r="K122" s="4">
        <f t="shared" si="1"/>
        <v>0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1"/>
      <c r="B123" s="2" t="s">
        <v>108</v>
      </c>
      <c r="C123" s="3" t="s">
        <v>301</v>
      </c>
      <c r="D123" s="3" t="s">
        <v>266</v>
      </c>
      <c r="E123" s="3" t="s">
        <v>302</v>
      </c>
      <c r="F123" s="3" t="s">
        <v>245</v>
      </c>
      <c r="G123" s="3" t="s">
        <v>231</v>
      </c>
      <c r="H123" s="4"/>
      <c r="I123" s="4">
        <f t="shared" si="8"/>
        <v>0</v>
      </c>
      <c r="J123" s="4"/>
      <c r="K123" s="4">
        <f t="shared" si="1"/>
        <v>0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1"/>
      <c r="B124" s="2" t="s">
        <v>303</v>
      </c>
      <c r="C124" s="3" t="s">
        <v>301</v>
      </c>
      <c r="D124" s="3" t="s">
        <v>266</v>
      </c>
      <c r="E124" s="3" t="s">
        <v>302</v>
      </c>
      <c r="F124" s="3" t="s">
        <v>245</v>
      </c>
      <c r="G124" s="3" t="s">
        <v>231</v>
      </c>
      <c r="H124" s="4"/>
      <c r="I124" s="4">
        <f t="shared" si="8"/>
        <v>0</v>
      </c>
      <c r="J124" s="4"/>
      <c r="K124" s="4">
        <f t="shared" si="1"/>
        <v>0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1"/>
      <c r="B125" s="2" t="s">
        <v>94</v>
      </c>
      <c r="C125" s="3" t="s">
        <v>301</v>
      </c>
      <c r="D125" s="3" t="s">
        <v>266</v>
      </c>
      <c r="E125" s="3" t="s">
        <v>302</v>
      </c>
      <c r="F125" s="3" t="s">
        <v>245</v>
      </c>
      <c r="G125" s="3" t="s">
        <v>231</v>
      </c>
      <c r="H125" s="4"/>
      <c r="I125" s="4">
        <f t="shared" si="8"/>
        <v>0</v>
      </c>
      <c r="J125" s="4"/>
      <c r="K125" s="4">
        <f t="shared" si="1"/>
        <v>0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1"/>
      <c r="B126" s="2" t="s">
        <v>118</v>
      </c>
      <c r="C126" s="3" t="s">
        <v>304</v>
      </c>
      <c r="D126" s="3" t="s">
        <v>295</v>
      </c>
      <c r="E126" s="3" t="s">
        <v>251</v>
      </c>
      <c r="F126" s="3" t="s">
        <v>245</v>
      </c>
      <c r="G126" s="3" t="s">
        <v>231</v>
      </c>
      <c r="H126" s="4"/>
      <c r="I126" s="4">
        <f t="shared" si="8"/>
        <v>0</v>
      </c>
      <c r="J126" s="4"/>
      <c r="K126" s="4">
        <f t="shared" si="1"/>
        <v>0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1"/>
      <c r="B127" s="2" t="s">
        <v>121</v>
      </c>
      <c r="C127" s="3" t="s">
        <v>304</v>
      </c>
      <c r="D127" s="3" t="s">
        <v>295</v>
      </c>
      <c r="E127" s="3" t="s">
        <v>251</v>
      </c>
      <c r="F127" s="3" t="s">
        <v>245</v>
      </c>
      <c r="G127" s="3" t="s">
        <v>231</v>
      </c>
      <c r="H127" s="4"/>
      <c r="I127" s="4">
        <f t="shared" si="8"/>
        <v>0</v>
      </c>
      <c r="J127" s="4"/>
      <c r="K127" s="4">
        <f t="shared" si="1"/>
        <v>0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1"/>
      <c r="B128" s="2" t="s">
        <v>94</v>
      </c>
      <c r="C128" s="3" t="s">
        <v>304</v>
      </c>
      <c r="D128" s="3" t="s">
        <v>295</v>
      </c>
      <c r="E128" s="3" t="s">
        <v>251</v>
      </c>
      <c r="F128" s="3" t="s">
        <v>245</v>
      </c>
      <c r="G128" s="3" t="s">
        <v>231</v>
      </c>
      <c r="H128" s="4"/>
      <c r="I128" s="4">
        <f t="shared" si="8"/>
        <v>0</v>
      </c>
      <c r="J128" s="4"/>
      <c r="K128" s="4">
        <f t="shared" si="1"/>
        <v>0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1"/>
      <c r="B129" s="2" t="s">
        <v>118</v>
      </c>
      <c r="C129" s="3" t="s">
        <v>305</v>
      </c>
      <c r="D129" s="3" t="s">
        <v>128</v>
      </c>
      <c r="E129" s="3" t="s">
        <v>306</v>
      </c>
      <c r="F129" s="3" t="s">
        <v>245</v>
      </c>
      <c r="G129" s="3" t="s">
        <v>231</v>
      </c>
      <c r="H129" s="4"/>
      <c r="I129" s="4">
        <f t="shared" si="8"/>
        <v>0</v>
      </c>
      <c r="J129" s="4"/>
      <c r="K129" s="4">
        <f t="shared" si="1"/>
        <v>0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1"/>
      <c r="B130" s="2" t="s">
        <v>121</v>
      </c>
      <c r="C130" s="3" t="s">
        <v>305</v>
      </c>
      <c r="D130" s="3" t="s">
        <v>128</v>
      </c>
      <c r="E130" s="3" t="s">
        <v>306</v>
      </c>
      <c r="F130" s="3" t="s">
        <v>245</v>
      </c>
      <c r="G130" s="3" t="s">
        <v>231</v>
      </c>
      <c r="H130" s="4"/>
      <c r="I130" s="4">
        <f t="shared" si="8"/>
        <v>0</v>
      </c>
      <c r="J130" s="4"/>
      <c r="K130" s="4">
        <f t="shared" si="1"/>
        <v>0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1"/>
      <c r="B131" s="2" t="s">
        <v>94</v>
      </c>
      <c r="C131" s="3" t="s">
        <v>305</v>
      </c>
      <c r="D131" s="3" t="s">
        <v>128</v>
      </c>
      <c r="E131" s="3" t="s">
        <v>306</v>
      </c>
      <c r="F131" s="3" t="s">
        <v>245</v>
      </c>
      <c r="G131" s="3" t="s">
        <v>231</v>
      </c>
      <c r="H131" s="4"/>
      <c r="I131" s="4">
        <f t="shared" si="8"/>
        <v>0</v>
      </c>
      <c r="J131" s="4"/>
      <c r="K131" s="4">
        <f t="shared" si="1"/>
        <v>0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1"/>
      <c r="B132" s="2" t="s">
        <v>307</v>
      </c>
      <c r="C132" s="3" t="s">
        <v>308</v>
      </c>
      <c r="D132" s="3" t="s">
        <v>309</v>
      </c>
      <c r="E132" s="3" t="s">
        <v>310</v>
      </c>
      <c r="F132" s="3" t="s">
        <v>245</v>
      </c>
      <c r="G132" s="3" t="s">
        <v>231</v>
      </c>
      <c r="H132" s="4"/>
      <c r="I132" s="4">
        <f t="shared" si="8"/>
        <v>0</v>
      </c>
      <c r="J132" s="4"/>
      <c r="K132" s="4">
        <f t="shared" si="1"/>
        <v>0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1"/>
      <c r="B133" s="2" t="s">
        <v>311</v>
      </c>
      <c r="C133" s="3" t="s">
        <v>308</v>
      </c>
      <c r="D133" s="3" t="s">
        <v>309</v>
      </c>
      <c r="E133" s="3" t="s">
        <v>310</v>
      </c>
      <c r="F133" s="3" t="s">
        <v>245</v>
      </c>
      <c r="G133" s="3" t="s">
        <v>231</v>
      </c>
      <c r="H133" s="4"/>
      <c r="I133" s="4">
        <f t="shared" si="8"/>
        <v>0</v>
      </c>
      <c r="J133" s="4"/>
      <c r="K133" s="4">
        <f t="shared" si="1"/>
        <v>0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1"/>
      <c r="B134" s="2" t="s">
        <v>121</v>
      </c>
      <c r="C134" s="3" t="s">
        <v>312</v>
      </c>
      <c r="D134" s="3" t="s">
        <v>313</v>
      </c>
      <c r="E134" s="3" t="s">
        <v>314</v>
      </c>
      <c r="F134" s="3" t="s">
        <v>245</v>
      </c>
      <c r="G134" s="3" t="s">
        <v>231</v>
      </c>
      <c r="H134" s="4"/>
      <c r="I134" s="4">
        <f t="shared" si="8"/>
        <v>0</v>
      </c>
      <c r="J134" s="4"/>
      <c r="K134" s="4">
        <f t="shared" si="1"/>
        <v>0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1"/>
      <c r="B135" s="2" t="s">
        <v>315</v>
      </c>
      <c r="C135" s="3" t="s">
        <v>312</v>
      </c>
      <c r="D135" s="3" t="s">
        <v>313</v>
      </c>
      <c r="E135" s="3" t="s">
        <v>314</v>
      </c>
      <c r="F135" s="3" t="s">
        <v>245</v>
      </c>
      <c r="G135" s="3" t="s">
        <v>231</v>
      </c>
      <c r="H135" s="4"/>
      <c r="I135" s="4">
        <f t="shared" si="8"/>
        <v>0</v>
      </c>
      <c r="J135" s="4"/>
      <c r="K135" s="4">
        <f t="shared" si="1"/>
        <v>0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1"/>
      <c r="B136" s="2" t="s">
        <v>94</v>
      </c>
      <c r="C136" s="3" t="s">
        <v>312</v>
      </c>
      <c r="D136" s="3" t="s">
        <v>313</v>
      </c>
      <c r="E136" s="3" t="s">
        <v>314</v>
      </c>
      <c r="F136" s="3" t="s">
        <v>245</v>
      </c>
      <c r="G136" s="3" t="s">
        <v>231</v>
      </c>
      <c r="H136" s="4"/>
      <c r="I136" s="4">
        <f t="shared" si="8"/>
        <v>0</v>
      </c>
      <c r="J136" s="4"/>
      <c r="K136" s="4">
        <f t="shared" si="1"/>
        <v>0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1"/>
      <c r="B137" s="2" t="s">
        <v>316</v>
      </c>
      <c r="C137" s="3" t="s">
        <v>317</v>
      </c>
      <c r="D137" s="3" t="s">
        <v>318</v>
      </c>
      <c r="E137" s="3" t="s">
        <v>319</v>
      </c>
      <c r="F137" s="3" t="s">
        <v>245</v>
      </c>
      <c r="G137" s="3" t="s">
        <v>231</v>
      </c>
      <c r="H137" s="4"/>
      <c r="I137" s="4">
        <f t="shared" si="8"/>
        <v>0</v>
      </c>
      <c r="J137" s="4"/>
      <c r="K137" s="4">
        <f t="shared" si="1"/>
        <v>0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1"/>
      <c r="B138" s="2" t="s">
        <v>102</v>
      </c>
      <c r="C138" s="3" t="s">
        <v>317</v>
      </c>
      <c r="D138" s="3" t="s">
        <v>318</v>
      </c>
      <c r="E138" s="3" t="s">
        <v>319</v>
      </c>
      <c r="F138" s="3" t="s">
        <v>245</v>
      </c>
      <c r="G138" s="3" t="s">
        <v>231</v>
      </c>
      <c r="H138" s="4"/>
      <c r="I138" s="4">
        <f t="shared" si="8"/>
        <v>0</v>
      </c>
      <c r="J138" s="4"/>
      <c r="K138" s="4">
        <f t="shared" si="1"/>
        <v>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1"/>
      <c r="B139" s="2" t="s">
        <v>108</v>
      </c>
      <c r="C139" s="3" t="s">
        <v>317</v>
      </c>
      <c r="D139" s="3" t="s">
        <v>318</v>
      </c>
      <c r="E139" s="3" t="s">
        <v>319</v>
      </c>
      <c r="F139" s="3" t="s">
        <v>245</v>
      </c>
      <c r="G139" s="3" t="s">
        <v>231</v>
      </c>
      <c r="H139" s="4"/>
      <c r="I139" s="4">
        <f t="shared" si="8"/>
        <v>0</v>
      </c>
      <c r="J139" s="4"/>
      <c r="K139" s="4">
        <f t="shared" si="1"/>
        <v>0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1"/>
      <c r="B140" s="2" t="s">
        <v>94</v>
      </c>
      <c r="C140" s="3" t="s">
        <v>317</v>
      </c>
      <c r="D140" s="3" t="s">
        <v>318</v>
      </c>
      <c r="E140" s="3" t="s">
        <v>319</v>
      </c>
      <c r="F140" s="3" t="s">
        <v>245</v>
      </c>
      <c r="G140" s="3" t="s">
        <v>231</v>
      </c>
      <c r="H140" s="4"/>
      <c r="I140" s="4">
        <f t="shared" si="8"/>
        <v>0</v>
      </c>
      <c r="J140" s="4"/>
      <c r="K140" s="4">
        <f t="shared" si="1"/>
        <v>0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1"/>
      <c r="B141" s="2" t="s">
        <v>109</v>
      </c>
      <c r="C141" s="3" t="s">
        <v>320</v>
      </c>
      <c r="D141" s="3" t="s">
        <v>186</v>
      </c>
      <c r="E141" s="3" t="s">
        <v>32</v>
      </c>
      <c r="F141" s="3" t="s">
        <v>245</v>
      </c>
      <c r="G141" s="3" t="s">
        <v>231</v>
      </c>
      <c r="H141" s="4"/>
      <c r="I141" s="4">
        <f t="shared" si="8"/>
        <v>0</v>
      </c>
      <c r="J141" s="4"/>
      <c r="K141" s="4">
        <f t="shared" si="1"/>
        <v>0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1"/>
      <c r="B142" s="2" t="s">
        <v>108</v>
      </c>
      <c r="C142" s="3" t="s">
        <v>320</v>
      </c>
      <c r="D142" s="3" t="s">
        <v>186</v>
      </c>
      <c r="E142" s="3" t="s">
        <v>32</v>
      </c>
      <c r="F142" s="3" t="s">
        <v>245</v>
      </c>
      <c r="G142" s="3" t="s">
        <v>231</v>
      </c>
      <c r="H142" s="4"/>
      <c r="I142" s="4">
        <f t="shared" si="8"/>
        <v>0</v>
      </c>
      <c r="J142" s="4"/>
      <c r="K142" s="4">
        <f t="shared" si="1"/>
        <v>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1"/>
      <c r="B143" s="2" t="s">
        <v>94</v>
      </c>
      <c r="C143" s="3" t="s">
        <v>320</v>
      </c>
      <c r="D143" s="3" t="s">
        <v>186</v>
      </c>
      <c r="E143" s="3" t="s">
        <v>32</v>
      </c>
      <c r="F143" s="3" t="s">
        <v>245</v>
      </c>
      <c r="G143" s="3" t="s">
        <v>231</v>
      </c>
      <c r="H143" s="4"/>
      <c r="I143" s="4">
        <f t="shared" si="8"/>
        <v>0</v>
      </c>
      <c r="J143" s="4"/>
      <c r="K143" s="4">
        <f t="shared" si="1"/>
        <v>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1"/>
      <c r="B144" s="2" t="s">
        <v>109</v>
      </c>
      <c r="C144" s="3" t="s">
        <v>321</v>
      </c>
      <c r="D144" s="3" t="s">
        <v>58</v>
      </c>
      <c r="E144" s="3" t="s">
        <v>322</v>
      </c>
      <c r="F144" s="3" t="s">
        <v>245</v>
      </c>
      <c r="G144" s="3" t="s">
        <v>231</v>
      </c>
      <c r="H144" s="4"/>
      <c r="I144" s="4">
        <f t="shared" si="8"/>
        <v>0</v>
      </c>
      <c r="J144" s="4"/>
      <c r="K144" s="4">
        <f t="shared" si="1"/>
        <v>0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1"/>
      <c r="B145" s="2" t="s">
        <v>108</v>
      </c>
      <c r="C145" s="3" t="s">
        <v>321</v>
      </c>
      <c r="D145" s="3" t="s">
        <v>58</v>
      </c>
      <c r="E145" s="3" t="s">
        <v>322</v>
      </c>
      <c r="F145" s="3" t="s">
        <v>245</v>
      </c>
      <c r="G145" s="3" t="s">
        <v>231</v>
      </c>
      <c r="H145" s="4"/>
      <c r="I145" s="4">
        <f t="shared" si="8"/>
        <v>0</v>
      </c>
      <c r="J145" s="4"/>
      <c r="K145" s="4">
        <f t="shared" si="1"/>
        <v>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1"/>
      <c r="B146" s="2" t="s">
        <v>323</v>
      </c>
      <c r="C146" s="3" t="s">
        <v>324</v>
      </c>
      <c r="D146" s="3" t="s">
        <v>325</v>
      </c>
      <c r="E146" s="3" t="s">
        <v>326</v>
      </c>
      <c r="F146" s="3" t="s">
        <v>245</v>
      </c>
      <c r="G146" s="3" t="s">
        <v>231</v>
      </c>
      <c r="H146" s="4"/>
      <c r="I146" s="4">
        <f t="shared" si="8"/>
        <v>0</v>
      </c>
      <c r="J146" s="4"/>
      <c r="K146" s="4">
        <f t="shared" si="1"/>
        <v>0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1"/>
      <c r="B147" s="2" t="s">
        <v>297</v>
      </c>
      <c r="C147" s="3" t="s">
        <v>324</v>
      </c>
      <c r="D147" s="3" t="s">
        <v>325</v>
      </c>
      <c r="E147" s="3" t="s">
        <v>326</v>
      </c>
      <c r="F147" s="3" t="s">
        <v>245</v>
      </c>
      <c r="G147" s="3" t="s">
        <v>231</v>
      </c>
      <c r="H147" s="4"/>
      <c r="I147" s="4">
        <f t="shared" si="8"/>
        <v>0</v>
      </c>
      <c r="J147" s="4"/>
      <c r="K147" s="4">
        <f t="shared" si="1"/>
        <v>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1"/>
      <c r="B148" s="2" t="s">
        <v>108</v>
      </c>
      <c r="C148" s="3" t="s">
        <v>324</v>
      </c>
      <c r="D148" s="3" t="s">
        <v>325</v>
      </c>
      <c r="E148" s="3" t="s">
        <v>326</v>
      </c>
      <c r="F148" s="3" t="s">
        <v>245</v>
      </c>
      <c r="G148" s="3" t="s">
        <v>231</v>
      </c>
      <c r="H148" s="4"/>
      <c r="I148" s="4">
        <f t="shared" si="8"/>
        <v>0</v>
      </c>
      <c r="J148" s="4"/>
      <c r="K148" s="4">
        <f t="shared" si="1"/>
        <v>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1">
        <v>243</v>
      </c>
      <c r="B149" s="13" t="s">
        <v>178</v>
      </c>
      <c r="C149" s="14" t="s">
        <v>327</v>
      </c>
      <c r="D149" s="14" t="s">
        <v>328</v>
      </c>
      <c r="E149" s="14" t="s">
        <v>329</v>
      </c>
      <c r="F149" s="14" t="s">
        <v>330</v>
      </c>
      <c r="G149" s="14" t="s">
        <v>331</v>
      </c>
      <c r="H149" s="4"/>
      <c r="I149" s="4">
        <f>H149*2300</f>
        <v>0</v>
      </c>
      <c r="J149" s="4"/>
      <c r="K149" s="4">
        <f t="shared" si="1"/>
        <v>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1"/>
      <c r="B150" s="2" t="s">
        <v>26</v>
      </c>
      <c r="C150" s="3" t="s">
        <v>332</v>
      </c>
      <c r="D150" s="3" t="s">
        <v>333</v>
      </c>
      <c r="E150" s="3" t="s">
        <v>334</v>
      </c>
      <c r="F150" s="3" t="s">
        <v>335</v>
      </c>
      <c r="G150" s="3" t="s">
        <v>331</v>
      </c>
      <c r="H150" s="4"/>
      <c r="I150" s="4">
        <f t="shared" ref="I150:I152" si="9">H150*1800</f>
        <v>0</v>
      </c>
      <c r="J150" s="4"/>
      <c r="K150" s="4">
        <f t="shared" si="1"/>
        <v>0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1"/>
      <c r="B151" s="2" t="s">
        <v>336</v>
      </c>
      <c r="C151" s="3" t="s">
        <v>57</v>
      </c>
      <c r="D151" s="3" t="s">
        <v>39</v>
      </c>
      <c r="E151" s="3" t="s">
        <v>337</v>
      </c>
      <c r="F151" s="3" t="s">
        <v>335</v>
      </c>
      <c r="G151" s="3" t="s">
        <v>331</v>
      </c>
      <c r="H151" s="4"/>
      <c r="I151" s="4">
        <f t="shared" si="9"/>
        <v>0</v>
      </c>
      <c r="J151" s="4"/>
      <c r="K151" s="4">
        <f t="shared" si="1"/>
        <v>0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1"/>
      <c r="B152" s="2" t="s">
        <v>46</v>
      </c>
      <c r="C152" s="3" t="s">
        <v>338</v>
      </c>
      <c r="D152" s="3" t="s">
        <v>339</v>
      </c>
      <c r="E152" s="3" t="s">
        <v>129</v>
      </c>
      <c r="F152" s="3" t="s">
        <v>335</v>
      </c>
      <c r="G152" s="3" t="s">
        <v>331</v>
      </c>
      <c r="H152" s="4"/>
      <c r="I152" s="4">
        <f t="shared" si="9"/>
        <v>0</v>
      </c>
      <c r="J152" s="4"/>
      <c r="K152" s="4">
        <f t="shared" si="1"/>
        <v>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1">
        <v>377</v>
      </c>
      <c r="B153" s="13" t="s">
        <v>211</v>
      </c>
      <c r="C153" s="14" t="s">
        <v>340</v>
      </c>
      <c r="D153" s="14" t="s">
        <v>341</v>
      </c>
      <c r="E153" s="14" t="s">
        <v>342</v>
      </c>
      <c r="F153" s="14" t="s">
        <v>343</v>
      </c>
      <c r="G153" s="14" t="s">
        <v>331</v>
      </c>
      <c r="H153" s="4"/>
      <c r="I153" s="4">
        <f>H153*2300</f>
        <v>0</v>
      </c>
      <c r="J153" s="4"/>
      <c r="K153" s="4">
        <f t="shared" si="1"/>
        <v>0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1"/>
      <c r="B154" s="2" t="s">
        <v>33</v>
      </c>
      <c r="C154" s="3" t="s">
        <v>344</v>
      </c>
      <c r="D154" s="3" t="s">
        <v>345</v>
      </c>
      <c r="E154" s="3" t="s">
        <v>105</v>
      </c>
      <c r="F154" s="3" t="s">
        <v>343</v>
      </c>
      <c r="G154" s="3" t="s">
        <v>331</v>
      </c>
      <c r="H154" s="4"/>
      <c r="I154" s="4">
        <f t="shared" ref="I154:I163" si="10">H154*1800</f>
        <v>0</v>
      </c>
      <c r="J154" s="4"/>
      <c r="K154" s="4">
        <f t="shared" si="1"/>
        <v>0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1"/>
      <c r="B155" s="2" t="s">
        <v>80</v>
      </c>
      <c r="C155" s="3" t="s">
        <v>346</v>
      </c>
      <c r="D155" s="3" t="s">
        <v>347</v>
      </c>
      <c r="E155" s="3" t="s">
        <v>348</v>
      </c>
      <c r="F155" s="3" t="s">
        <v>343</v>
      </c>
      <c r="G155" s="3" t="s">
        <v>331</v>
      </c>
      <c r="H155" s="4"/>
      <c r="I155" s="4">
        <f t="shared" si="10"/>
        <v>0</v>
      </c>
      <c r="J155" s="4"/>
      <c r="K155" s="4">
        <f t="shared" si="1"/>
        <v>0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1"/>
      <c r="B156" s="2" t="s">
        <v>80</v>
      </c>
      <c r="C156" s="3" t="s">
        <v>349</v>
      </c>
      <c r="D156" s="3" t="s">
        <v>350</v>
      </c>
      <c r="E156" s="3" t="s">
        <v>348</v>
      </c>
      <c r="F156" s="3" t="s">
        <v>351</v>
      </c>
      <c r="G156" s="3" t="s">
        <v>331</v>
      </c>
      <c r="H156" s="4"/>
      <c r="I156" s="4">
        <f t="shared" si="10"/>
        <v>0</v>
      </c>
      <c r="J156" s="4"/>
      <c r="K156" s="4">
        <f t="shared" si="1"/>
        <v>0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1"/>
      <c r="B157" s="2" t="s">
        <v>94</v>
      </c>
      <c r="C157" s="3" t="s">
        <v>352</v>
      </c>
      <c r="D157" s="3" t="s">
        <v>353</v>
      </c>
      <c r="E157" s="3" t="s">
        <v>18</v>
      </c>
      <c r="F157" s="3" t="s">
        <v>351</v>
      </c>
      <c r="G157" s="3" t="s">
        <v>331</v>
      </c>
      <c r="H157" s="4"/>
      <c r="I157" s="4">
        <f t="shared" si="10"/>
        <v>0</v>
      </c>
      <c r="J157" s="4"/>
      <c r="K157" s="4">
        <f t="shared" si="1"/>
        <v>0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1"/>
      <c r="B158" s="2" t="s">
        <v>315</v>
      </c>
      <c r="C158" s="3" t="s">
        <v>354</v>
      </c>
      <c r="D158" s="3" t="s">
        <v>355</v>
      </c>
      <c r="E158" s="3" t="s">
        <v>348</v>
      </c>
      <c r="F158" s="3" t="s">
        <v>351</v>
      </c>
      <c r="G158" s="3" t="s">
        <v>331</v>
      </c>
      <c r="H158" s="4"/>
      <c r="I158" s="4">
        <f t="shared" si="10"/>
        <v>0</v>
      </c>
      <c r="J158" s="4"/>
      <c r="K158" s="4">
        <f t="shared" si="1"/>
        <v>0</v>
      </c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1"/>
      <c r="B159" s="2" t="s">
        <v>94</v>
      </c>
      <c r="C159" s="3" t="s">
        <v>354</v>
      </c>
      <c r="D159" s="3" t="s">
        <v>355</v>
      </c>
      <c r="E159" s="3" t="s">
        <v>348</v>
      </c>
      <c r="F159" s="3" t="s">
        <v>351</v>
      </c>
      <c r="G159" s="3" t="s">
        <v>331</v>
      </c>
      <c r="H159" s="4"/>
      <c r="I159" s="4">
        <f t="shared" si="10"/>
        <v>0</v>
      </c>
      <c r="J159" s="4"/>
      <c r="K159" s="4">
        <f t="shared" si="1"/>
        <v>0</v>
      </c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1"/>
      <c r="B160" s="2" t="s">
        <v>80</v>
      </c>
      <c r="C160" s="3" t="s">
        <v>356</v>
      </c>
      <c r="D160" s="3" t="s">
        <v>295</v>
      </c>
      <c r="E160" s="3" t="s">
        <v>357</v>
      </c>
      <c r="F160" s="3" t="s">
        <v>351</v>
      </c>
      <c r="G160" s="3" t="s">
        <v>331</v>
      </c>
      <c r="H160" s="4"/>
      <c r="I160" s="4">
        <f t="shared" si="10"/>
        <v>0</v>
      </c>
      <c r="J160" s="4"/>
      <c r="K160" s="4">
        <f t="shared" si="1"/>
        <v>0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1"/>
      <c r="B161" s="2" t="s">
        <v>26</v>
      </c>
      <c r="C161" s="3" t="s">
        <v>358</v>
      </c>
      <c r="D161" s="3" t="s">
        <v>39</v>
      </c>
      <c r="E161" s="3" t="s">
        <v>306</v>
      </c>
      <c r="F161" s="3" t="s">
        <v>351</v>
      </c>
      <c r="G161" s="3" t="s">
        <v>331</v>
      </c>
      <c r="H161" s="4"/>
      <c r="I161" s="4">
        <f t="shared" si="10"/>
        <v>0</v>
      </c>
      <c r="J161" s="4"/>
      <c r="K161" s="4">
        <f t="shared" si="1"/>
        <v>0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1"/>
      <c r="B162" s="2" t="s">
        <v>26</v>
      </c>
      <c r="C162" s="3" t="s">
        <v>358</v>
      </c>
      <c r="D162" s="3" t="s">
        <v>139</v>
      </c>
      <c r="E162" s="3" t="s">
        <v>306</v>
      </c>
      <c r="F162" s="3" t="s">
        <v>351</v>
      </c>
      <c r="G162" s="3" t="s">
        <v>331</v>
      </c>
      <c r="H162" s="4"/>
      <c r="I162" s="4">
        <f t="shared" si="10"/>
        <v>0</v>
      </c>
      <c r="J162" s="4"/>
      <c r="K162" s="4">
        <f t="shared" si="1"/>
        <v>0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1"/>
      <c r="B163" s="2" t="s">
        <v>94</v>
      </c>
      <c r="C163" s="3" t="s">
        <v>359</v>
      </c>
      <c r="D163" s="3" t="s">
        <v>116</v>
      </c>
      <c r="E163" s="3" t="s">
        <v>337</v>
      </c>
      <c r="F163" s="3" t="s">
        <v>351</v>
      </c>
      <c r="G163" s="3" t="s">
        <v>331</v>
      </c>
      <c r="H163" s="4"/>
      <c r="I163" s="4">
        <f t="shared" si="10"/>
        <v>0</v>
      </c>
      <c r="J163" s="4"/>
      <c r="K163" s="4">
        <f t="shared" si="1"/>
        <v>0</v>
      </c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1">
        <v>121</v>
      </c>
      <c r="B164" s="13" t="s">
        <v>360</v>
      </c>
      <c r="C164" s="14" t="s">
        <v>361</v>
      </c>
      <c r="D164" s="14" t="s">
        <v>362</v>
      </c>
      <c r="E164" s="14" t="s">
        <v>363</v>
      </c>
      <c r="F164" s="14" t="s">
        <v>364</v>
      </c>
      <c r="G164" s="14" t="s">
        <v>331</v>
      </c>
      <c r="H164" s="4"/>
      <c r="I164" s="4">
        <f t="shared" ref="I164:I173" si="11">H164*2300</f>
        <v>0</v>
      </c>
      <c r="J164" s="4"/>
      <c r="K164" s="4">
        <f t="shared" si="1"/>
        <v>0</v>
      </c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1">
        <v>349</v>
      </c>
      <c r="B165" s="13" t="s">
        <v>100</v>
      </c>
      <c r="C165" s="14" t="s">
        <v>361</v>
      </c>
      <c r="D165" s="14" t="s">
        <v>362</v>
      </c>
      <c r="E165" s="14" t="s">
        <v>363</v>
      </c>
      <c r="F165" s="14" t="s">
        <v>364</v>
      </c>
      <c r="G165" s="14" t="s">
        <v>331</v>
      </c>
      <c r="H165" s="4"/>
      <c r="I165" s="4">
        <f t="shared" si="11"/>
        <v>0</v>
      </c>
      <c r="J165" s="4"/>
      <c r="K165" s="4">
        <f t="shared" si="1"/>
        <v>0</v>
      </c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1">
        <v>335</v>
      </c>
      <c r="B166" s="13" t="s">
        <v>365</v>
      </c>
      <c r="C166" s="14" t="s">
        <v>366</v>
      </c>
      <c r="D166" s="14" t="s">
        <v>325</v>
      </c>
      <c r="E166" s="14" t="s">
        <v>40</v>
      </c>
      <c r="F166" s="14" t="s">
        <v>367</v>
      </c>
      <c r="G166" s="14" t="s">
        <v>331</v>
      </c>
      <c r="H166" s="4"/>
      <c r="I166" s="4">
        <f t="shared" si="11"/>
        <v>0</v>
      </c>
      <c r="J166" s="4"/>
      <c r="K166" s="4">
        <f t="shared" si="1"/>
        <v>0</v>
      </c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1">
        <v>575</v>
      </c>
      <c r="B167" s="13" t="s">
        <v>368</v>
      </c>
      <c r="C167" s="14" t="s">
        <v>369</v>
      </c>
      <c r="D167" s="14" t="s">
        <v>370</v>
      </c>
      <c r="E167" s="14" t="s">
        <v>371</v>
      </c>
      <c r="F167" s="14" t="s">
        <v>367</v>
      </c>
      <c r="G167" s="14" t="s">
        <v>331</v>
      </c>
      <c r="H167" s="4"/>
      <c r="I167" s="4">
        <f t="shared" si="11"/>
        <v>0</v>
      </c>
      <c r="J167" s="4"/>
      <c r="K167" s="4">
        <f t="shared" si="1"/>
        <v>0</v>
      </c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1">
        <v>687</v>
      </c>
      <c r="B168" s="13" t="s">
        <v>252</v>
      </c>
      <c r="C168" s="14" t="s">
        <v>372</v>
      </c>
      <c r="D168" s="14" t="s">
        <v>373</v>
      </c>
      <c r="E168" s="14" t="s">
        <v>374</v>
      </c>
      <c r="F168" s="14" t="s">
        <v>367</v>
      </c>
      <c r="G168" s="14" t="s">
        <v>331</v>
      </c>
      <c r="H168" s="4"/>
      <c r="I168" s="4">
        <f t="shared" si="11"/>
        <v>0</v>
      </c>
      <c r="J168" s="4"/>
      <c r="K168" s="4">
        <f t="shared" si="1"/>
        <v>0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1">
        <v>689</v>
      </c>
      <c r="B169" s="13" t="s">
        <v>252</v>
      </c>
      <c r="C169" s="14" t="s">
        <v>375</v>
      </c>
      <c r="D169" s="14" t="s">
        <v>376</v>
      </c>
      <c r="E169" s="14" t="s">
        <v>18</v>
      </c>
      <c r="F169" s="14" t="s">
        <v>367</v>
      </c>
      <c r="G169" s="14" t="s">
        <v>331</v>
      </c>
      <c r="H169" s="4"/>
      <c r="I169" s="4">
        <f t="shared" si="11"/>
        <v>0</v>
      </c>
      <c r="J169" s="4"/>
      <c r="K169" s="4">
        <f t="shared" si="1"/>
        <v>0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1">
        <v>1523</v>
      </c>
      <c r="B170" s="13" t="s">
        <v>262</v>
      </c>
      <c r="C170" s="14" t="s">
        <v>369</v>
      </c>
      <c r="D170" s="14" t="s">
        <v>370</v>
      </c>
      <c r="E170" s="14" t="s">
        <v>371</v>
      </c>
      <c r="F170" s="14" t="s">
        <v>367</v>
      </c>
      <c r="G170" s="14" t="s">
        <v>331</v>
      </c>
      <c r="H170" s="4"/>
      <c r="I170" s="4">
        <f t="shared" si="11"/>
        <v>0</v>
      </c>
      <c r="J170" s="4"/>
      <c r="K170" s="4">
        <f t="shared" si="1"/>
        <v>0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1">
        <v>1563</v>
      </c>
      <c r="B171" s="13" t="s">
        <v>377</v>
      </c>
      <c r="C171" s="14" t="s">
        <v>372</v>
      </c>
      <c r="D171" s="14" t="s">
        <v>373</v>
      </c>
      <c r="E171" s="14" t="s">
        <v>374</v>
      </c>
      <c r="F171" s="14" t="s">
        <v>367</v>
      </c>
      <c r="G171" s="14" t="s">
        <v>331</v>
      </c>
      <c r="H171" s="4"/>
      <c r="I171" s="4">
        <f t="shared" si="11"/>
        <v>0</v>
      </c>
      <c r="J171" s="4"/>
      <c r="K171" s="4">
        <f t="shared" si="1"/>
        <v>0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1">
        <v>1619</v>
      </c>
      <c r="B172" s="13" t="s">
        <v>264</v>
      </c>
      <c r="C172" s="14" t="s">
        <v>366</v>
      </c>
      <c r="D172" s="14" t="s">
        <v>325</v>
      </c>
      <c r="E172" s="14" t="s">
        <v>40</v>
      </c>
      <c r="F172" s="14" t="s">
        <v>367</v>
      </c>
      <c r="G172" s="14" t="s">
        <v>331</v>
      </c>
      <c r="H172" s="4"/>
      <c r="I172" s="4">
        <f t="shared" si="11"/>
        <v>0</v>
      </c>
      <c r="J172" s="4"/>
      <c r="K172" s="4">
        <f t="shared" si="1"/>
        <v>0</v>
      </c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1">
        <v>2891</v>
      </c>
      <c r="B173" s="13" t="s">
        <v>378</v>
      </c>
      <c r="C173" s="14" t="s">
        <v>375</v>
      </c>
      <c r="D173" s="14" t="s">
        <v>376</v>
      </c>
      <c r="E173" s="14" t="s">
        <v>18</v>
      </c>
      <c r="F173" s="14" t="s">
        <v>367</v>
      </c>
      <c r="G173" s="14" t="s">
        <v>331</v>
      </c>
      <c r="H173" s="4"/>
      <c r="I173" s="4">
        <f t="shared" si="11"/>
        <v>0</v>
      </c>
      <c r="J173" s="4"/>
      <c r="K173" s="4">
        <f t="shared" si="1"/>
        <v>0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1"/>
      <c r="B174" s="2" t="s">
        <v>94</v>
      </c>
      <c r="C174" s="3" t="s">
        <v>379</v>
      </c>
      <c r="D174" s="3" t="s">
        <v>325</v>
      </c>
      <c r="E174" s="3" t="s">
        <v>79</v>
      </c>
      <c r="F174" s="3" t="s">
        <v>380</v>
      </c>
      <c r="G174" s="3" t="s">
        <v>381</v>
      </c>
      <c r="H174" s="4"/>
      <c r="I174" s="4">
        <f>H174*1800</f>
        <v>0</v>
      </c>
      <c r="J174" s="4"/>
      <c r="K174" s="4">
        <f t="shared" si="1"/>
        <v>0</v>
      </c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1">
        <v>393</v>
      </c>
      <c r="B175" s="13" t="s">
        <v>246</v>
      </c>
      <c r="C175" s="14" t="s">
        <v>382</v>
      </c>
      <c r="D175" s="14" t="s">
        <v>383</v>
      </c>
      <c r="E175" s="14" t="s">
        <v>384</v>
      </c>
      <c r="F175" s="14" t="s">
        <v>385</v>
      </c>
      <c r="G175" s="14" t="s">
        <v>381</v>
      </c>
      <c r="H175" s="4">
        <v>3</v>
      </c>
      <c r="I175" s="4">
        <f t="shared" ref="I175:I177" si="12">H175*2300</f>
        <v>6900</v>
      </c>
      <c r="J175" s="4"/>
      <c r="K175" s="4">
        <f t="shared" si="1"/>
        <v>0</v>
      </c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1">
        <v>1429</v>
      </c>
      <c r="B176" s="13" t="s">
        <v>386</v>
      </c>
      <c r="C176" s="14" t="s">
        <v>382</v>
      </c>
      <c r="D176" s="14" t="s">
        <v>383</v>
      </c>
      <c r="E176" s="14" t="s">
        <v>384</v>
      </c>
      <c r="F176" s="14" t="s">
        <v>385</v>
      </c>
      <c r="G176" s="14" t="s">
        <v>381</v>
      </c>
      <c r="H176" s="4"/>
      <c r="I176" s="4">
        <f t="shared" si="12"/>
        <v>0</v>
      </c>
      <c r="J176" s="4"/>
      <c r="K176" s="4">
        <f t="shared" si="1"/>
        <v>0</v>
      </c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1">
        <v>1911</v>
      </c>
      <c r="B177" s="13" t="s">
        <v>277</v>
      </c>
      <c r="C177" s="14" t="s">
        <v>382</v>
      </c>
      <c r="D177" s="14" t="s">
        <v>383</v>
      </c>
      <c r="E177" s="14" t="s">
        <v>384</v>
      </c>
      <c r="F177" s="14" t="s">
        <v>385</v>
      </c>
      <c r="G177" s="14" t="s">
        <v>381</v>
      </c>
      <c r="H177" s="4"/>
      <c r="I177" s="4">
        <f t="shared" si="12"/>
        <v>0</v>
      </c>
      <c r="J177" s="4"/>
      <c r="K177" s="4">
        <f t="shared" si="1"/>
        <v>0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1"/>
      <c r="B178" s="2" t="s">
        <v>297</v>
      </c>
      <c r="C178" s="3" t="s">
        <v>387</v>
      </c>
      <c r="D178" s="3" t="s">
        <v>388</v>
      </c>
      <c r="E178" s="3" t="s">
        <v>389</v>
      </c>
      <c r="F178" s="3" t="s">
        <v>385</v>
      </c>
      <c r="G178" s="3" t="s">
        <v>381</v>
      </c>
      <c r="H178" s="4">
        <v>28</v>
      </c>
      <c r="I178" s="4">
        <f t="shared" ref="I178:I204" si="13">H178*1800</f>
        <v>50400</v>
      </c>
      <c r="J178" s="4"/>
      <c r="K178" s="4">
        <f t="shared" si="1"/>
        <v>0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1"/>
      <c r="B179" s="2" t="s">
        <v>316</v>
      </c>
      <c r="C179" s="3" t="s">
        <v>387</v>
      </c>
      <c r="D179" s="3" t="s">
        <v>388</v>
      </c>
      <c r="E179" s="3" t="s">
        <v>389</v>
      </c>
      <c r="F179" s="3" t="s">
        <v>385</v>
      </c>
      <c r="G179" s="3" t="s">
        <v>381</v>
      </c>
      <c r="H179" s="4"/>
      <c r="I179" s="4">
        <f t="shared" si="13"/>
        <v>0</v>
      </c>
      <c r="J179" s="4"/>
      <c r="K179" s="4">
        <f t="shared" si="1"/>
        <v>0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1"/>
      <c r="B180" s="2" t="s">
        <v>108</v>
      </c>
      <c r="C180" s="3" t="s">
        <v>387</v>
      </c>
      <c r="D180" s="3" t="s">
        <v>388</v>
      </c>
      <c r="E180" s="3" t="s">
        <v>389</v>
      </c>
      <c r="F180" s="3" t="s">
        <v>385</v>
      </c>
      <c r="G180" s="3" t="s">
        <v>381</v>
      </c>
      <c r="H180" s="4"/>
      <c r="I180" s="4">
        <f t="shared" si="13"/>
        <v>0</v>
      </c>
      <c r="J180" s="4"/>
      <c r="K180" s="4">
        <f t="shared" si="1"/>
        <v>0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1"/>
      <c r="B181" s="2" t="s">
        <v>94</v>
      </c>
      <c r="C181" s="3" t="s">
        <v>387</v>
      </c>
      <c r="D181" s="3" t="s">
        <v>388</v>
      </c>
      <c r="E181" s="3" t="s">
        <v>389</v>
      </c>
      <c r="F181" s="3" t="s">
        <v>385</v>
      </c>
      <c r="G181" s="3" t="s">
        <v>381</v>
      </c>
      <c r="H181" s="4"/>
      <c r="I181" s="4">
        <f t="shared" si="13"/>
        <v>0</v>
      </c>
      <c r="J181" s="4"/>
      <c r="K181" s="4">
        <f t="shared" si="1"/>
        <v>0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1"/>
      <c r="B182" s="2" t="s">
        <v>315</v>
      </c>
      <c r="C182" s="3" t="s">
        <v>390</v>
      </c>
      <c r="D182" s="3" t="s">
        <v>383</v>
      </c>
      <c r="E182" s="3" t="s">
        <v>310</v>
      </c>
      <c r="F182" s="3" t="s">
        <v>385</v>
      </c>
      <c r="G182" s="3" t="s">
        <v>381</v>
      </c>
      <c r="H182" s="4"/>
      <c r="I182" s="4">
        <f t="shared" si="13"/>
        <v>0</v>
      </c>
      <c r="J182" s="4"/>
      <c r="K182" s="4">
        <f t="shared" si="1"/>
        <v>0</v>
      </c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1"/>
      <c r="B183" s="2" t="s">
        <v>323</v>
      </c>
      <c r="C183" s="3" t="s">
        <v>390</v>
      </c>
      <c r="D183" s="3" t="s">
        <v>383</v>
      </c>
      <c r="E183" s="3" t="s">
        <v>310</v>
      </c>
      <c r="F183" s="3" t="s">
        <v>385</v>
      </c>
      <c r="G183" s="3" t="s">
        <v>381</v>
      </c>
      <c r="H183" s="4"/>
      <c r="I183" s="4">
        <f t="shared" si="13"/>
        <v>0</v>
      </c>
      <c r="J183" s="4"/>
      <c r="K183" s="4">
        <f t="shared" si="1"/>
        <v>0</v>
      </c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1"/>
      <c r="B184" s="2" t="s">
        <v>297</v>
      </c>
      <c r="C184" s="3" t="s">
        <v>391</v>
      </c>
      <c r="D184" s="3" t="s">
        <v>58</v>
      </c>
      <c r="E184" s="3" t="s">
        <v>79</v>
      </c>
      <c r="F184" s="3" t="s">
        <v>385</v>
      </c>
      <c r="G184" s="3" t="s">
        <v>381</v>
      </c>
      <c r="H184" s="4"/>
      <c r="I184" s="4">
        <f t="shared" si="13"/>
        <v>0</v>
      </c>
      <c r="J184" s="4"/>
      <c r="K184" s="4">
        <f t="shared" si="1"/>
        <v>0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1"/>
      <c r="B185" s="2" t="s">
        <v>300</v>
      </c>
      <c r="C185" s="3" t="s">
        <v>391</v>
      </c>
      <c r="D185" s="3" t="s">
        <v>58</v>
      </c>
      <c r="E185" s="3" t="s">
        <v>79</v>
      </c>
      <c r="F185" s="3" t="s">
        <v>385</v>
      </c>
      <c r="G185" s="3" t="s">
        <v>381</v>
      </c>
      <c r="H185" s="4"/>
      <c r="I185" s="4">
        <f t="shared" si="13"/>
        <v>0</v>
      </c>
      <c r="J185" s="4"/>
      <c r="K185" s="4">
        <f t="shared" si="1"/>
        <v>0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1"/>
      <c r="B186" s="2" t="s">
        <v>94</v>
      </c>
      <c r="C186" s="3" t="s">
        <v>391</v>
      </c>
      <c r="D186" s="3" t="s">
        <v>58</v>
      </c>
      <c r="E186" s="3" t="s">
        <v>79</v>
      </c>
      <c r="F186" s="3" t="s">
        <v>385</v>
      </c>
      <c r="G186" s="3" t="s">
        <v>381</v>
      </c>
      <c r="H186" s="4"/>
      <c r="I186" s="4">
        <f t="shared" si="13"/>
        <v>0</v>
      </c>
      <c r="J186" s="4"/>
      <c r="K186" s="4">
        <f t="shared" si="1"/>
        <v>0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1"/>
      <c r="B187" s="2" t="s">
        <v>122</v>
      </c>
      <c r="C187" s="3" t="s">
        <v>392</v>
      </c>
      <c r="D187" s="3" t="s">
        <v>124</v>
      </c>
      <c r="E187" s="3" t="s">
        <v>393</v>
      </c>
      <c r="F187" s="3" t="s">
        <v>385</v>
      </c>
      <c r="G187" s="3" t="s">
        <v>381</v>
      </c>
      <c r="H187" s="4"/>
      <c r="I187" s="4">
        <f t="shared" si="13"/>
        <v>0</v>
      </c>
      <c r="J187" s="4"/>
      <c r="K187" s="4">
        <f t="shared" si="1"/>
        <v>0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1"/>
      <c r="B188" s="2" t="s">
        <v>126</v>
      </c>
      <c r="C188" s="3" t="s">
        <v>392</v>
      </c>
      <c r="D188" s="3" t="s">
        <v>124</v>
      </c>
      <c r="E188" s="3" t="s">
        <v>393</v>
      </c>
      <c r="F188" s="3" t="s">
        <v>385</v>
      </c>
      <c r="G188" s="3" t="s">
        <v>381</v>
      </c>
      <c r="H188" s="4"/>
      <c r="I188" s="4">
        <f t="shared" si="13"/>
        <v>0</v>
      </c>
      <c r="J188" s="4"/>
      <c r="K188" s="4">
        <f t="shared" si="1"/>
        <v>0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1"/>
      <c r="B189" s="2" t="s">
        <v>94</v>
      </c>
      <c r="C189" s="3" t="s">
        <v>392</v>
      </c>
      <c r="D189" s="3" t="s">
        <v>124</v>
      </c>
      <c r="E189" s="3" t="s">
        <v>393</v>
      </c>
      <c r="F189" s="3" t="s">
        <v>385</v>
      </c>
      <c r="G189" s="3" t="s">
        <v>381</v>
      </c>
      <c r="H189" s="4"/>
      <c r="I189" s="4">
        <f t="shared" si="13"/>
        <v>0</v>
      </c>
      <c r="J189" s="4"/>
      <c r="K189" s="4">
        <f t="shared" si="1"/>
        <v>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1"/>
      <c r="B190" s="2" t="s">
        <v>118</v>
      </c>
      <c r="C190" s="3" t="s">
        <v>394</v>
      </c>
      <c r="D190" s="3" t="s">
        <v>383</v>
      </c>
      <c r="E190" s="3" t="s">
        <v>112</v>
      </c>
      <c r="F190" s="3" t="s">
        <v>385</v>
      </c>
      <c r="G190" s="3" t="s">
        <v>381</v>
      </c>
      <c r="H190" s="4"/>
      <c r="I190" s="4">
        <f t="shared" si="13"/>
        <v>0</v>
      </c>
      <c r="J190" s="4"/>
      <c r="K190" s="4">
        <f t="shared" si="1"/>
        <v>0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1"/>
      <c r="B191" s="2" t="s">
        <v>121</v>
      </c>
      <c r="C191" s="3" t="s">
        <v>394</v>
      </c>
      <c r="D191" s="3" t="s">
        <v>383</v>
      </c>
      <c r="E191" s="3" t="s">
        <v>112</v>
      </c>
      <c r="F191" s="3" t="s">
        <v>385</v>
      </c>
      <c r="G191" s="3" t="s">
        <v>381</v>
      </c>
      <c r="H191" s="4"/>
      <c r="I191" s="4">
        <f t="shared" si="13"/>
        <v>0</v>
      </c>
      <c r="J191" s="4"/>
      <c r="K191" s="4">
        <f t="shared" si="1"/>
        <v>0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1"/>
      <c r="B192" s="2" t="s">
        <v>94</v>
      </c>
      <c r="C192" s="3" t="s">
        <v>394</v>
      </c>
      <c r="D192" s="3" t="s">
        <v>383</v>
      </c>
      <c r="E192" s="3" t="s">
        <v>112</v>
      </c>
      <c r="F192" s="3" t="s">
        <v>385</v>
      </c>
      <c r="G192" s="3" t="s">
        <v>381</v>
      </c>
      <c r="H192" s="4"/>
      <c r="I192" s="4">
        <f t="shared" si="13"/>
        <v>0</v>
      </c>
      <c r="J192" s="4"/>
      <c r="K192" s="4">
        <f t="shared" si="1"/>
        <v>0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1"/>
      <c r="B193" s="2" t="s">
        <v>311</v>
      </c>
      <c r="C193" s="3" t="s">
        <v>395</v>
      </c>
      <c r="D193" s="3" t="s">
        <v>396</v>
      </c>
      <c r="E193" s="3" t="s">
        <v>397</v>
      </c>
      <c r="F193" s="3" t="s">
        <v>385</v>
      </c>
      <c r="G193" s="3" t="s">
        <v>381</v>
      </c>
      <c r="H193" s="4"/>
      <c r="I193" s="4">
        <f t="shared" si="13"/>
        <v>0</v>
      </c>
      <c r="J193" s="4"/>
      <c r="K193" s="4">
        <f t="shared" si="1"/>
        <v>0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1"/>
      <c r="B194" s="2" t="s">
        <v>108</v>
      </c>
      <c r="C194" s="3" t="s">
        <v>395</v>
      </c>
      <c r="D194" s="3" t="s">
        <v>396</v>
      </c>
      <c r="E194" s="3" t="s">
        <v>397</v>
      </c>
      <c r="F194" s="3" t="s">
        <v>385</v>
      </c>
      <c r="G194" s="3" t="s">
        <v>381</v>
      </c>
      <c r="H194" s="4"/>
      <c r="I194" s="4">
        <f t="shared" si="13"/>
        <v>0</v>
      </c>
      <c r="J194" s="4"/>
      <c r="K194" s="4">
        <f t="shared" si="1"/>
        <v>0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1"/>
      <c r="B195" s="2" t="s">
        <v>303</v>
      </c>
      <c r="C195" s="3" t="s">
        <v>395</v>
      </c>
      <c r="D195" s="3" t="s">
        <v>396</v>
      </c>
      <c r="E195" s="3" t="s">
        <v>397</v>
      </c>
      <c r="F195" s="3" t="s">
        <v>385</v>
      </c>
      <c r="G195" s="3" t="s">
        <v>381</v>
      </c>
      <c r="H195" s="4"/>
      <c r="I195" s="4">
        <f t="shared" si="13"/>
        <v>0</v>
      </c>
      <c r="J195" s="4"/>
      <c r="K195" s="4">
        <f t="shared" si="1"/>
        <v>0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1"/>
      <c r="B196" s="2" t="s">
        <v>94</v>
      </c>
      <c r="C196" s="3" t="s">
        <v>395</v>
      </c>
      <c r="D196" s="3" t="s">
        <v>396</v>
      </c>
      <c r="E196" s="3" t="s">
        <v>397</v>
      </c>
      <c r="F196" s="3" t="s">
        <v>385</v>
      </c>
      <c r="G196" s="3" t="s">
        <v>381</v>
      </c>
      <c r="H196" s="4"/>
      <c r="I196" s="4">
        <f t="shared" si="13"/>
        <v>0</v>
      </c>
      <c r="J196" s="4"/>
      <c r="K196" s="4">
        <f t="shared" si="1"/>
        <v>0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1"/>
      <c r="B197" s="2" t="s">
        <v>316</v>
      </c>
      <c r="C197" s="3" t="s">
        <v>398</v>
      </c>
      <c r="D197" s="3" t="s">
        <v>399</v>
      </c>
      <c r="E197" s="3" t="s">
        <v>91</v>
      </c>
      <c r="F197" s="3" t="s">
        <v>385</v>
      </c>
      <c r="G197" s="3" t="s">
        <v>381</v>
      </c>
      <c r="H197" s="4"/>
      <c r="I197" s="4">
        <f t="shared" si="13"/>
        <v>0</v>
      </c>
      <c r="J197" s="4"/>
      <c r="K197" s="4">
        <f t="shared" si="1"/>
        <v>0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1"/>
      <c r="B198" s="2" t="s">
        <v>108</v>
      </c>
      <c r="C198" s="3" t="s">
        <v>398</v>
      </c>
      <c r="D198" s="3" t="s">
        <v>399</v>
      </c>
      <c r="E198" s="3" t="s">
        <v>91</v>
      </c>
      <c r="F198" s="3" t="s">
        <v>385</v>
      </c>
      <c r="G198" s="3" t="s">
        <v>381</v>
      </c>
      <c r="H198" s="4"/>
      <c r="I198" s="4">
        <f t="shared" si="13"/>
        <v>0</v>
      </c>
      <c r="J198" s="4"/>
      <c r="K198" s="4">
        <f t="shared" si="1"/>
        <v>0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1"/>
      <c r="B199" s="2" t="s">
        <v>303</v>
      </c>
      <c r="C199" s="3" t="s">
        <v>398</v>
      </c>
      <c r="D199" s="3" t="s">
        <v>399</v>
      </c>
      <c r="E199" s="3" t="s">
        <v>91</v>
      </c>
      <c r="F199" s="3" t="s">
        <v>385</v>
      </c>
      <c r="G199" s="3" t="s">
        <v>381</v>
      </c>
      <c r="H199" s="4"/>
      <c r="I199" s="4">
        <f t="shared" si="13"/>
        <v>0</v>
      </c>
      <c r="J199" s="4"/>
      <c r="K199" s="4">
        <f t="shared" si="1"/>
        <v>0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1"/>
      <c r="B200" s="2" t="s">
        <v>94</v>
      </c>
      <c r="C200" s="3" t="s">
        <v>398</v>
      </c>
      <c r="D200" s="3" t="s">
        <v>399</v>
      </c>
      <c r="E200" s="3" t="s">
        <v>91</v>
      </c>
      <c r="F200" s="3" t="s">
        <v>385</v>
      </c>
      <c r="G200" s="3" t="s">
        <v>381</v>
      </c>
      <c r="H200" s="4"/>
      <c r="I200" s="4">
        <f t="shared" si="13"/>
        <v>0</v>
      </c>
      <c r="J200" s="4"/>
      <c r="K200" s="4">
        <f t="shared" si="1"/>
        <v>0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1"/>
      <c r="B201" s="2" t="s">
        <v>114</v>
      </c>
      <c r="C201" s="3" t="s">
        <v>400</v>
      </c>
      <c r="D201" s="3" t="s">
        <v>120</v>
      </c>
      <c r="E201" s="3" t="s">
        <v>32</v>
      </c>
      <c r="F201" s="3" t="s">
        <v>385</v>
      </c>
      <c r="G201" s="3" t="s">
        <v>381</v>
      </c>
      <c r="H201" s="4"/>
      <c r="I201" s="4">
        <f t="shared" si="13"/>
        <v>0</v>
      </c>
      <c r="J201" s="4"/>
      <c r="K201" s="4">
        <f t="shared" si="1"/>
        <v>0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1"/>
      <c r="B202" s="2" t="s">
        <v>117</v>
      </c>
      <c r="C202" s="3" t="s">
        <v>400</v>
      </c>
      <c r="D202" s="3" t="s">
        <v>120</v>
      </c>
      <c r="E202" s="3" t="s">
        <v>32</v>
      </c>
      <c r="F202" s="3" t="s">
        <v>385</v>
      </c>
      <c r="G202" s="3" t="s">
        <v>381</v>
      </c>
      <c r="H202" s="4"/>
      <c r="I202" s="4">
        <f t="shared" si="13"/>
        <v>0</v>
      </c>
      <c r="J202" s="4"/>
      <c r="K202" s="4">
        <f t="shared" si="1"/>
        <v>0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1"/>
      <c r="B203" s="2" t="s">
        <v>108</v>
      </c>
      <c r="C203" s="3" t="s">
        <v>400</v>
      </c>
      <c r="D203" s="3" t="s">
        <v>120</v>
      </c>
      <c r="E203" s="3" t="s">
        <v>32</v>
      </c>
      <c r="F203" s="3" t="s">
        <v>385</v>
      </c>
      <c r="G203" s="3" t="s">
        <v>381</v>
      </c>
      <c r="H203" s="4"/>
      <c r="I203" s="4">
        <f t="shared" si="13"/>
        <v>0</v>
      </c>
      <c r="J203" s="4"/>
      <c r="K203" s="4">
        <f t="shared" si="1"/>
        <v>0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1"/>
      <c r="B204" s="2" t="s">
        <v>94</v>
      </c>
      <c r="C204" s="3" t="s">
        <v>400</v>
      </c>
      <c r="D204" s="3" t="s">
        <v>120</v>
      </c>
      <c r="E204" s="3" t="s">
        <v>32</v>
      </c>
      <c r="F204" s="3" t="s">
        <v>385</v>
      </c>
      <c r="G204" s="3" t="s">
        <v>381</v>
      </c>
      <c r="H204" s="4"/>
      <c r="I204" s="4">
        <f t="shared" si="13"/>
        <v>0</v>
      </c>
      <c r="J204" s="4"/>
      <c r="K204" s="4">
        <f t="shared" si="1"/>
        <v>0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1">
        <v>95</v>
      </c>
      <c r="B205" s="13" t="s">
        <v>226</v>
      </c>
      <c r="C205" s="14" t="s">
        <v>401</v>
      </c>
      <c r="D205" s="14" t="s">
        <v>402</v>
      </c>
      <c r="E205" s="14" t="s">
        <v>403</v>
      </c>
      <c r="F205" s="14" t="s">
        <v>404</v>
      </c>
      <c r="G205" s="14" t="s">
        <v>381</v>
      </c>
      <c r="H205" s="4">
        <v>1</v>
      </c>
      <c r="I205" s="4">
        <f t="shared" ref="I205:I208" si="14">H205*2300</f>
        <v>2300</v>
      </c>
      <c r="J205" s="4"/>
      <c r="K205" s="4">
        <f t="shared" si="1"/>
        <v>0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1">
        <v>781</v>
      </c>
      <c r="B206" s="13" t="s">
        <v>405</v>
      </c>
      <c r="C206" s="14" t="s">
        <v>406</v>
      </c>
      <c r="D206" s="14" t="s">
        <v>407</v>
      </c>
      <c r="E206" s="14" t="s">
        <v>408</v>
      </c>
      <c r="F206" s="14" t="s">
        <v>409</v>
      </c>
      <c r="G206" s="14" t="s">
        <v>410</v>
      </c>
      <c r="H206" s="4">
        <v>1</v>
      </c>
      <c r="I206" s="4">
        <f t="shared" si="14"/>
        <v>2300</v>
      </c>
      <c r="J206" s="4"/>
      <c r="K206" s="4">
        <f t="shared" si="1"/>
        <v>0</v>
      </c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1">
        <v>17</v>
      </c>
      <c r="B207" s="13" t="s">
        <v>411</v>
      </c>
      <c r="C207" s="14" t="s">
        <v>412</v>
      </c>
      <c r="D207" s="14" t="s">
        <v>73</v>
      </c>
      <c r="E207" s="14" t="s">
        <v>413</v>
      </c>
      <c r="F207" s="14" t="s">
        <v>414</v>
      </c>
      <c r="G207" s="14" t="s">
        <v>410</v>
      </c>
      <c r="H207" s="4">
        <v>2</v>
      </c>
      <c r="I207" s="4">
        <f t="shared" si="14"/>
        <v>4600</v>
      </c>
      <c r="J207" s="4"/>
      <c r="K207" s="4">
        <f t="shared" si="1"/>
        <v>0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1">
        <v>109</v>
      </c>
      <c r="B208" s="13" t="s">
        <v>415</v>
      </c>
      <c r="C208" s="14" t="s">
        <v>412</v>
      </c>
      <c r="D208" s="14" t="s">
        <v>73</v>
      </c>
      <c r="E208" s="14" t="s">
        <v>413</v>
      </c>
      <c r="F208" s="14" t="s">
        <v>414</v>
      </c>
      <c r="G208" s="14" t="s">
        <v>410</v>
      </c>
      <c r="H208" s="4"/>
      <c r="I208" s="4">
        <f t="shared" si="14"/>
        <v>0</v>
      </c>
      <c r="J208" s="4"/>
      <c r="K208" s="4">
        <f t="shared" si="1"/>
        <v>0</v>
      </c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1"/>
      <c r="B209" s="2" t="s">
        <v>102</v>
      </c>
      <c r="C209" s="3" t="s">
        <v>416</v>
      </c>
      <c r="D209" s="3" t="s">
        <v>353</v>
      </c>
      <c r="E209" s="3" t="s">
        <v>251</v>
      </c>
      <c r="F209" s="3" t="s">
        <v>414</v>
      </c>
      <c r="G209" s="3" t="s">
        <v>410</v>
      </c>
      <c r="H209" s="4">
        <v>2</v>
      </c>
      <c r="I209" s="4">
        <f t="shared" ref="I209:I224" si="15">H209*1800</f>
        <v>3600</v>
      </c>
      <c r="J209" s="4"/>
      <c r="K209" s="4">
        <f t="shared" si="1"/>
        <v>0</v>
      </c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1"/>
      <c r="B210" s="2" t="s">
        <v>303</v>
      </c>
      <c r="C210" s="3" t="s">
        <v>412</v>
      </c>
      <c r="D210" s="3" t="s">
        <v>73</v>
      </c>
      <c r="E210" s="3" t="s">
        <v>413</v>
      </c>
      <c r="F210" s="3" t="s">
        <v>414</v>
      </c>
      <c r="G210" s="3" t="s">
        <v>410</v>
      </c>
      <c r="H210" s="4"/>
      <c r="I210" s="4">
        <f t="shared" si="15"/>
        <v>0</v>
      </c>
      <c r="J210" s="4"/>
      <c r="K210" s="4">
        <f t="shared" si="1"/>
        <v>0</v>
      </c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1"/>
      <c r="B211" s="2" t="s">
        <v>307</v>
      </c>
      <c r="C211" s="3" t="s">
        <v>417</v>
      </c>
      <c r="D211" s="3" t="s">
        <v>21</v>
      </c>
      <c r="E211" s="3" t="s">
        <v>306</v>
      </c>
      <c r="F211" s="3" t="s">
        <v>418</v>
      </c>
      <c r="G211" s="3" t="s">
        <v>419</v>
      </c>
      <c r="H211" s="4"/>
      <c r="I211" s="4">
        <f t="shared" si="15"/>
        <v>0</v>
      </c>
      <c r="J211" s="4"/>
      <c r="K211" s="4">
        <f t="shared" si="1"/>
        <v>0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1"/>
      <c r="B212" s="2" t="s">
        <v>232</v>
      </c>
      <c r="C212" s="3" t="s">
        <v>417</v>
      </c>
      <c r="D212" s="3" t="s">
        <v>21</v>
      </c>
      <c r="E212" s="3" t="s">
        <v>306</v>
      </c>
      <c r="F212" s="3" t="s">
        <v>418</v>
      </c>
      <c r="G212" s="3" t="s">
        <v>419</v>
      </c>
      <c r="H212" s="4"/>
      <c r="I212" s="4">
        <f t="shared" si="15"/>
        <v>0</v>
      </c>
      <c r="J212" s="4"/>
      <c r="K212" s="4">
        <f t="shared" si="1"/>
        <v>0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1"/>
      <c r="B213" s="2" t="s">
        <v>307</v>
      </c>
      <c r="C213" s="3" t="s">
        <v>420</v>
      </c>
      <c r="D213" s="3" t="s">
        <v>28</v>
      </c>
      <c r="E213" s="3" t="s">
        <v>32</v>
      </c>
      <c r="F213" s="3" t="s">
        <v>418</v>
      </c>
      <c r="G213" s="3" t="s">
        <v>419</v>
      </c>
      <c r="H213" s="4"/>
      <c r="I213" s="4">
        <f t="shared" si="15"/>
        <v>0</v>
      </c>
      <c r="J213" s="4"/>
      <c r="K213" s="4">
        <f t="shared" si="1"/>
        <v>0</v>
      </c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1"/>
      <c r="B214" s="2" t="s">
        <v>311</v>
      </c>
      <c r="C214" s="3" t="s">
        <v>420</v>
      </c>
      <c r="D214" s="3" t="s">
        <v>28</v>
      </c>
      <c r="E214" s="3" t="s">
        <v>32</v>
      </c>
      <c r="F214" s="3" t="s">
        <v>418</v>
      </c>
      <c r="G214" s="3" t="s">
        <v>419</v>
      </c>
      <c r="H214" s="4"/>
      <c r="I214" s="4">
        <f t="shared" si="15"/>
        <v>0</v>
      </c>
      <c r="J214" s="4"/>
      <c r="K214" s="4">
        <f t="shared" si="1"/>
        <v>0</v>
      </c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1"/>
      <c r="B215" s="2" t="s">
        <v>421</v>
      </c>
      <c r="C215" s="3" t="s">
        <v>422</v>
      </c>
      <c r="D215" s="3" t="s">
        <v>292</v>
      </c>
      <c r="E215" s="3" t="s">
        <v>125</v>
      </c>
      <c r="F215" s="3" t="s">
        <v>418</v>
      </c>
      <c r="G215" s="3" t="s">
        <v>419</v>
      </c>
      <c r="H215" s="4"/>
      <c r="I215" s="4">
        <f t="shared" si="15"/>
        <v>0</v>
      </c>
      <c r="J215" s="4"/>
      <c r="K215" s="4">
        <f t="shared" si="1"/>
        <v>0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1"/>
      <c r="B216" s="2" t="s">
        <v>307</v>
      </c>
      <c r="C216" s="3" t="s">
        <v>422</v>
      </c>
      <c r="D216" s="3" t="s">
        <v>292</v>
      </c>
      <c r="E216" s="3" t="s">
        <v>125</v>
      </c>
      <c r="F216" s="3" t="s">
        <v>418</v>
      </c>
      <c r="G216" s="3" t="s">
        <v>419</v>
      </c>
      <c r="H216" s="4"/>
      <c r="I216" s="4">
        <f t="shared" si="15"/>
        <v>0</v>
      </c>
      <c r="J216" s="4"/>
      <c r="K216" s="4">
        <f t="shared" si="1"/>
        <v>0</v>
      </c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1"/>
      <c r="B217" s="2" t="s">
        <v>121</v>
      </c>
      <c r="C217" s="3" t="s">
        <v>423</v>
      </c>
      <c r="D217" s="3" t="s">
        <v>58</v>
      </c>
      <c r="E217" s="3" t="s">
        <v>424</v>
      </c>
      <c r="F217" s="3" t="s">
        <v>418</v>
      </c>
      <c r="G217" s="3" t="s">
        <v>419</v>
      </c>
      <c r="H217" s="4"/>
      <c r="I217" s="4">
        <f t="shared" si="15"/>
        <v>0</v>
      </c>
      <c r="J217" s="4"/>
      <c r="K217" s="4">
        <f t="shared" si="1"/>
        <v>0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1"/>
      <c r="B218" s="2" t="s">
        <v>315</v>
      </c>
      <c r="C218" s="3" t="s">
        <v>423</v>
      </c>
      <c r="D218" s="3" t="s">
        <v>58</v>
      </c>
      <c r="E218" s="3" t="s">
        <v>424</v>
      </c>
      <c r="F218" s="3" t="s">
        <v>418</v>
      </c>
      <c r="G218" s="3" t="s">
        <v>419</v>
      </c>
      <c r="H218" s="4"/>
      <c r="I218" s="4">
        <f t="shared" si="15"/>
        <v>0</v>
      </c>
      <c r="J218" s="4"/>
      <c r="K218" s="4">
        <f t="shared" si="1"/>
        <v>0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1"/>
      <c r="B219" s="2" t="s">
        <v>126</v>
      </c>
      <c r="C219" s="3" t="s">
        <v>425</v>
      </c>
      <c r="D219" s="3" t="s">
        <v>426</v>
      </c>
      <c r="E219" s="3" t="s">
        <v>91</v>
      </c>
      <c r="F219" s="3" t="s">
        <v>418</v>
      </c>
      <c r="G219" s="3" t="s">
        <v>419</v>
      </c>
      <c r="H219" s="4"/>
      <c r="I219" s="4">
        <f t="shared" si="15"/>
        <v>0</v>
      </c>
      <c r="J219" s="4"/>
      <c r="K219" s="4">
        <f t="shared" si="1"/>
        <v>0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1"/>
      <c r="B220" s="2" t="s">
        <v>131</v>
      </c>
      <c r="C220" s="3" t="s">
        <v>425</v>
      </c>
      <c r="D220" s="3" t="s">
        <v>426</v>
      </c>
      <c r="E220" s="3" t="s">
        <v>91</v>
      </c>
      <c r="F220" s="3" t="s">
        <v>418</v>
      </c>
      <c r="G220" s="3" t="s">
        <v>419</v>
      </c>
      <c r="H220" s="4"/>
      <c r="I220" s="4">
        <f t="shared" si="15"/>
        <v>0</v>
      </c>
      <c r="J220" s="4"/>
      <c r="K220" s="4">
        <f t="shared" si="1"/>
        <v>0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1"/>
      <c r="B221" s="2" t="s">
        <v>311</v>
      </c>
      <c r="C221" s="3" t="s">
        <v>427</v>
      </c>
      <c r="D221" s="3" t="s">
        <v>58</v>
      </c>
      <c r="E221" s="3" t="s">
        <v>32</v>
      </c>
      <c r="F221" s="3" t="s">
        <v>418</v>
      </c>
      <c r="G221" s="3" t="s">
        <v>419</v>
      </c>
      <c r="H221" s="4"/>
      <c r="I221" s="4">
        <f t="shared" si="15"/>
        <v>0</v>
      </c>
      <c r="J221" s="4"/>
      <c r="K221" s="4">
        <f t="shared" si="1"/>
        <v>0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1"/>
      <c r="B222" s="2" t="s">
        <v>114</v>
      </c>
      <c r="C222" s="3" t="s">
        <v>427</v>
      </c>
      <c r="D222" s="3" t="s">
        <v>58</v>
      </c>
      <c r="E222" s="3" t="s">
        <v>32</v>
      </c>
      <c r="F222" s="3" t="s">
        <v>418</v>
      </c>
      <c r="G222" s="3" t="s">
        <v>419</v>
      </c>
      <c r="H222" s="4"/>
      <c r="I222" s="4">
        <f t="shared" si="15"/>
        <v>0</v>
      </c>
      <c r="J222" s="4"/>
      <c r="K222" s="4">
        <f t="shared" si="1"/>
        <v>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1"/>
      <c r="B223" s="2" t="s">
        <v>311</v>
      </c>
      <c r="C223" s="3" t="s">
        <v>427</v>
      </c>
      <c r="D223" s="3" t="s">
        <v>325</v>
      </c>
      <c r="E223" s="3" t="s">
        <v>32</v>
      </c>
      <c r="F223" s="3" t="s">
        <v>418</v>
      </c>
      <c r="G223" s="3" t="s">
        <v>419</v>
      </c>
      <c r="H223" s="4"/>
      <c r="I223" s="4">
        <f t="shared" si="15"/>
        <v>0</v>
      </c>
      <c r="J223" s="4"/>
      <c r="K223" s="4">
        <f t="shared" si="1"/>
        <v>0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1"/>
      <c r="B224" s="2" t="s">
        <v>114</v>
      </c>
      <c r="C224" s="3" t="s">
        <v>427</v>
      </c>
      <c r="D224" s="3" t="s">
        <v>325</v>
      </c>
      <c r="E224" s="3" t="s">
        <v>32</v>
      </c>
      <c r="F224" s="3" t="s">
        <v>418</v>
      </c>
      <c r="G224" s="3" t="s">
        <v>419</v>
      </c>
      <c r="H224" s="4"/>
      <c r="I224" s="4">
        <f t="shared" si="15"/>
        <v>0</v>
      </c>
      <c r="J224" s="4"/>
      <c r="K224" s="4">
        <f t="shared" si="1"/>
        <v>0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1">
        <v>611</v>
      </c>
      <c r="B225" s="13" t="s">
        <v>428</v>
      </c>
      <c r="C225" s="14" t="s">
        <v>429</v>
      </c>
      <c r="D225" s="14" t="s">
        <v>430</v>
      </c>
      <c r="E225" s="14" t="s">
        <v>259</v>
      </c>
      <c r="F225" s="14" t="s">
        <v>431</v>
      </c>
      <c r="G225" s="14" t="s">
        <v>432</v>
      </c>
      <c r="H225" s="4">
        <v>23</v>
      </c>
      <c r="I225" s="4">
        <f t="shared" ref="I225:I241" si="16">H225*2300</f>
        <v>52900</v>
      </c>
      <c r="J225" s="4"/>
      <c r="K225" s="4">
        <f t="shared" si="1"/>
        <v>0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1">
        <v>1157</v>
      </c>
      <c r="B226" s="13" t="s">
        <v>433</v>
      </c>
      <c r="C226" s="14" t="s">
        <v>429</v>
      </c>
      <c r="D226" s="14" t="s">
        <v>430</v>
      </c>
      <c r="E226" s="14" t="s">
        <v>259</v>
      </c>
      <c r="F226" s="14" t="s">
        <v>431</v>
      </c>
      <c r="G226" s="14" t="s">
        <v>432</v>
      </c>
      <c r="H226" s="4"/>
      <c r="I226" s="4">
        <f t="shared" si="16"/>
        <v>0</v>
      </c>
      <c r="J226" s="4"/>
      <c r="K226" s="4">
        <f t="shared" si="1"/>
        <v>0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1">
        <v>2507</v>
      </c>
      <c r="B227" s="13" t="s">
        <v>434</v>
      </c>
      <c r="C227" s="14" t="s">
        <v>429</v>
      </c>
      <c r="D227" s="14" t="s">
        <v>430</v>
      </c>
      <c r="E227" s="14" t="s">
        <v>259</v>
      </c>
      <c r="F227" s="14" t="s">
        <v>431</v>
      </c>
      <c r="G227" s="14" t="s">
        <v>432</v>
      </c>
      <c r="H227" s="4"/>
      <c r="I227" s="4">
        <f t="shared" si="16"/>
        <v>0</v>
      </c>
      <c r="J227" s="4"/>
      <c r="K227" s="4">
        <f t="shared" si="1"/>
        <v>0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1">
        <v>1657</v>
      </c>
      <c r="B228" s="13" t="s">
        <v>435</v>
      </c>
      <c r="C228" s="14" t="s">
        <v>436</v>
      </c>
      <c r="D228" s="14" t="s">
        <v>437</v>
      </c>
      <c r="E228" s="14" t="s">
        <v>337</v>
      </c>
      <c r="F228" s="14" t="s">
        <v>431</v>
      </c>
      <c r="G228" s="14" t="s">
        <v>432</v>
      </c>
      <c r="H228" s="4"/>
      <c r="I228" s="4">
        <f t="shared" si="16"/>
        <v>0</v>
      </c>
      <c r="J228" s="4"/>
      <c r="K228" s="4">
        <f t="shared" si="1"/>
        <v>0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1">
        <v>601</v>
      </c>
      <c r="B229" s="13" t="s">
        <v>428</v>
      </c>
      <c r="C229" s="14" t="s">
        <v>438</v>
      </c>
      <c r="D229" s="14" t="s">
        <v>104</v>
      </c>
      <c r="E229" s="14" t="s">
        <v>259</v>
      </c>
      <c r="F229" s="14" t="s">
        <v>431</v>
      </c>
      <c r="G229" s="14" t="s">
        <v>432</v>
      </c>
      <c r="H229" s="4"/>
      <c r="I229" s="4">
        <f t="shared" si="16"/>
        <v>0</v>
      </c>
      <c r="J229" s="4"/>
      <c r="K229" s="4">
        <f t="shared" si="1"/>
        <v>0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1">
        <v>1149</v>
      </c>
      <c r="B230" s="13" t="s">
        <v>433</v>
      </c>
      <c r="C230" s="14" t="s">
        <v>438</v>
      </c>
      <c r="D230" s="14" t="s">
        <v>104</v>
      </c>
      <c r="E230" s="14" t="s">
        <v>259</v>
      </c>
      <c r="F230" s="14" t="s">
        <v>431</v>
      </c>
      <c r="G230" s="14" t="s">
        <v>432</v>
      </c>
      <c r="H230" s="4"/>
      <c r="I230" s="4">
        <f t="shared" si="16"/>
        <v>0</v>
      </c>
      <c r="J230" s="4"/>
      <c r="K230" s="4">
        <f t="shared" si="1"/>
        <v>0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1">
        <v>1825</v>
      </c>
      <c r="B231" s="13" t="s">
        <v>439</v>
      </c>
      <c r="C231" s="14" t="s">
        <v>438</v>
      </c>
      <c r="D231" s="14" t="s">
        <v>104</v>
      </c>
      <c r="E231" s="14" t="s">
        <v>259</v>
      </c>
      <c r="F231" s="14" t="s">
        <v>431</v>
      </c>
      <c r="G231" s="14" t="s">
        <v>432</v>
      </c>
      <c r="H231" s="4"/>
      <c r="I231" s="4">
        <f t="shared" si="16"/>
        <v>0</v>
      </c>
      <c r="J231" s="4"/>
      <c r="K231" s="4">
        <f t="shared" si="1"/>
        <v>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1">
        <v>1665</v>
      </c>
      <c r="B232" s="13" t="s">
        <v>435</v>
      </c>
      <c r="C232" s="14" t="s">
        <v>440</v>
      </c>
      <c r="D232" s="14" t="s">
        <v>441</v>
      </c>
      <c r="E232" s="14" t="s">
        <v>40</v>
      </c>
      <c r="F232" s="14" t="s">
        <v>431</v>
      </c>
      <c r="G232" s="14" t="s">
        <v>432</v>
      </c>
      <c r="H232" s="4"/>
      <c r="I232" s="4">
        <f t="shared" si="16"/>
        <v>0</v>
      </c>
      <c r="J232" s="4"/>
      <c r="K232" s="4">
        <f t="shared" si="1"/>
        <v>0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1">
        <v>1943</v>
      </c>
      <c r="B233" s="13" t="s">
        <v>278</v>
      </c>
      <c r="C233" s="14" t="s">
        <v>440</v>
      </c>
      <c r="D233" s="14" t="s">
        <v>441</v>
      </c>
      <c r="E233" s="14" t="s">
        <v>40</v>
      </c>
      <c r="F233" s="14" t="s">
        <v>431</v>
      </c>
      <c r="G233" s="14" t="s">
        <v>432</v>
      </c>
      <c r="H233" s="4"/>
      <c r="I233" s="4">
        <f t="shared" si="16"/>
        <v>0</v>
      </c>
      <c r="J233" s="4"/>
      <c r="K233" s="4">
        <f t="shared" si="1"/>
        <v>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1">
        <v>1791</v>
      </c>
      <c r="B234" s="13" t="s">
        <v>442</v>
      </c>
      <c r="C234" s="14" t="s">
        <v>443</v>
      </c>
      <c r="D234" s="14" t="s">
        <v>124</v>
      </c>
      <c r="E234" s="14" t="s">
        <v>393</v>
      </c>
      <c r="F234" s="14" t="s">
        <v>431</v>
      </c>
      <c r="G234" s="14" t="s">
        <v>432</v>
      </c>
      <c r="H234" s="4"/>
      <c r="I234" s="4">
        <f t="shared" si="16"/>
        <v>0</v>
      </c>
      <c r="J234" s="4"/>
      <c r="K234" s="4">
        <f t="shared" si="1"/>
        <v>0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1">
        <v>2499</v>
      </c>
      <c r="B235" s="13" t="s">
        <v>444</v>
      </c>
      <c r="C235" s="14" t="s">
        <v>443</v>
      </c>
      <c r="D235" s="14" t="s">
        <v>124</v>
      </c>
      <c r="E235" s="14" t="s">
        <v>393</v>
      </c>
      <c r="F235" s="14" t="s">
        <v>431</v>
      </c>
      <c r="G235" s="14" t="s">
        <v>432</v>
      </c>
      <c r="H235" s="4"/>
      <c r="I235" s="4">
        <f t="shared" si="16"/>
        <v>0</v>
      </c>
      <c r="J235" s="4"/>
      <c r="K235" s="4">
        <f t="shared" si="1"/>
        <v>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1">
        <v>483</v>
      </c>
      <c r="B236" s="13" t="s">
        <v>445</v>
      </c>
      <c r="C236" s="14" t="s">
        <v>446</v>
      </c>
      <c r="D236" s="14" t="s">
        <v>447</v>
      </c>
      <c r="E236" s="14" t="s">
        <v>448</v>
      </c>
      <c r="F236" s="14" t="s">
        <v>431</v>
      </c>
      <c r="G236" s="14" t="s">
        <v>432</v>
      </c>
      <c r="H236" s="4"/>
      <c r="I236" s="4">
        <f t="shared" si="16"/>
        <v>0</v>
      </c>
      <c r="J236" s="4"/>
      <c r="K236" s="4">
        <f t="shared" si="1"/>
        <v>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1">
        <v>599</v>
      </c>
      <c r="B237" s="13" t="s">
        <v>428</v>
      </c>
      <c r="C237" s="14" t="s">
        <v>446</v>
      </c>
      <c r="D237" s="14" t="s">
        <v>447</v>
      </c>
      <c r="E237" s="14" t="s">
        <v>448</v>
      </c>
      <c r="F237" s="14" t="s">
        <v>431</v>
      </c>
      <c r="G237" s="14" t="s">
        <v>432</v>
      </c>
      <c r="H237" s="4"/>
      <c r="I237" s="4">
        <f t="shared" si="16"/>
        <v>0</v>
      </c>
      <c r="J237" s="4"/>
      <c r="K237" s="4">
        <f t="shared" si="1"/>
        <v>0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1">
        <v>1125</v>
      </c>
      <c r="B238" s="13" t="s">
        <v>449</v>
      </c>
      <c r="C238" s="14" t="s">
        <v>446</v>
      </c>
      <c r="D238" s="14" t="s">
        <v>447</v>
      </c>
      <c r="E238" s="14" t="s">
        <v>448</v>
      </c>
      <c r="F238" s="14" t="s">
        <v>431</v>
      </c>
      <c r="G238" s="14" t="s">
        <v>432</v>
      </c>
      <c r="H238" s="4"/>
      <c r="I238" s="4">
        <f t="shared" si="16"/>
        <v>0</v>
      </c>
      <c r="J238" s="4"/>
      <c r="K238" s="4">
        <f t="shared" si="1"/>
        <v>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1">
        <v>245</v>
      </c>
      <c r="B239" s="13" t="s">
        <v>243</v>
      </c>
      <c r="C239" s="14" t="s">
        <v>450</v>
      </c>
      <c r="D239" s="14" t="s">
        <v>451</v>
      </c>
      <c r="E239" s="14" t="s">
        <v>452</v>
      </c>
      <c r="F239" s="14" t="s">
        <v>431</v>
      </c>
      <c r="G239" s="14" t="s">
        <v>432</v>
      </c>
      <c r="H239" s="4"/>
      <c r="I239" s="4">
        <f t="shared" si="16"/>
        <v>0</v>
      </c>
      <c r="J239" s="4"/>
      <c r="K239" s="4">
        <f t="shared" si="1"/>
        <v>0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1">
        <v>1265</v>
      </c>
      <c r="B240" s="13" t="s">
        <v>453</v>
      </c>
      <c r="C240" s="14" t="s">
        <v>450</v>
      </c>
      <c r="D240" s="14" t="s">
        <v>451</v>
      </c>
      <c r="E240" s="14" t="s">
        <v>452</v>
      </c>
      <c r="F240" s="14" t="s">
        <v>431</v>
      </c>
      <c r="G240" s="14" t="s">
        <v>432</v>
      </c>
      <c r="H240" s="4"/>
      <c r="I240" s="4">
        <f t="shared" si="16"/>
        <v>0</v>
      </c>
      <c r="J240" s="4"/>
      <c r="K240" s="4">
        <f t="shared" si="1"/>
        <v>0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1">
        <v>1771</v>
      </c>
      <c r="B241" s="13" t="s">
        <v>442</v>
      </c>
      <c r="C241" s="14" t="s">
        <v>450</v>
      </c>
      <c r="D241" s="14" t="s">
        <v>451</v>
      </c>
      <c r="E241" s="14" t="s">
        <v>452</v>
      </c>
      <c r="F241" s="14" t="s">
        <v>431</v>
      </c>
      <c r="G241" s="14" t="s">
        <v>432</v>
      </c>
      <c r="H241" s="4"/>
      <c r="I241" s="4">
        <f t="shared" si="16"/>
        <v>0</v>
      </c>
      <c r="J241" s="4"/>
      <c r="K241" s="4">
        <f t="shared" si="1"/>
        <v>0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1">
        <v>863</v>
      </c>
      <c r="B242" s="13" t="s">
        <v>454</v>
      </c>
      <c r="C242" s="14" t="s">
        <v>455</v>
      </c>
      <c r="D242" s="14" t="s">
        <v>456</v>
      </c>
      <c r="E242" s="14" t="s">
        <v>457</v>
      </c>
      <c r="F242" s="14" t="s">
        <v>431</v>
      </c>
      <c r="G242" s="14" t="s">
        <v>432</v>
      </c>
      <c r="H242" s="4"/>
      <c r="I242" s="4">
        <f t="shared" ref="I242:I247" si="17">H242*1800</f>
        <v>0</v>
      </c>
      <c r="J242" s="4"/>
      <c r="K242" s="4">
        <f t="shared" si="1"/>
        <v>0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1">
        <v>1061</v>
      </c>
      <c r="B243" s="13" t="s">
        <v>458</v>
      </c>
      <c r="C243" s="14" t="s">
        <v>455</v>
      </c>
      <c r="D243" s="14" t="s">
        <v>75</v>
      </c>
      <c r="E243" s="14" t="s">
        <v>457</v>
      </c>
      <c r="F243" s="14" t="s">
        <v>431</v>
      </c>
      <c r="G243" s="14" t="s">
        <v>432</v>
      </c>
      <c r="H243" s="4"/>
      <c r="I243" s="4">
        <f t="shared" si="17"/>
        <v>0</v>
      </c>
      <c r="J243" s="4"/>
      <c r="K243" s="4">
        <f t="shared" si="1"/>
        <v>0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1">
        <v>1753</v>
      </c>
      <c r="B244" s="13" t="s">
        <v>459</v>
      </c>
      <c r="C244" s="14" t="s">
        <v>455</v>
      </c>
      <c r="D244" s="14" t="s">
        <v>75</v>
      </c>
      <c r="E244" s="14" t="s">
        <v>457</v>
      </c>
      <c r="F244" s="14" t="s">
        <v>431</v>
      </c>
      <c r="G244" s="14" t="s">
        <v>432</v>
      </c>
      <c r="H244" s="4"/>
      <c r="I244" s="4">
        <f t="shared" si="17"/>
        <v>0</v>
      </c>
      <c r="J244" s="4"/>
      <c r="K244" s="4">
        <f t="shared" si="1"/>
        <v>0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1">
        <v>141</v>
      </c>
      <c r="B245" s="13" t="s">
        <v>460</v>
      </c>
      <c r="C245" s="14" t="s">
        <v>461</v>
      </c>
      <c r="D245" s="14" t="s">
        <v>462</v>
      </c>
      <c r="E245" s="14" t="s">
        <v>463</v>
      </c>
      <c r="F245" s="14" t="s">
        <v>431</v>
      </c>
      <c r="G245" s="14" t="s">
        <v>432</v>
      </c>
      <c r="H245" s="4"/>
      <c r="I245" s="4">
        <f t="shared" si="17"/>
        <v>0</v>
      </c>
      <c r="J245" s="4"/>
      <c r="K245" s="4">
        <f t="shared" si="1"/>
        <v>0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1">
        <v>1031</v>
      </c>
      <c r="B246" s="13" t="s">
        <v>464</v>
      </c>
      <c r="C246" s="14" t="s">
        <v>461</v>
      </c>
      <c r="D246" s="14" t="s">
        <v>462</v>
      </c>
      <c r="E246" s="14" t="s">
        <v>463</v>
      </c>
      <c r="F246" s="14" t="s">
        <v>431</v>
      </c>
      <c r="G246" s="14" t="s">
        <v>432</v>
      </c>
      <c r="H246" s="4"/>
      <c r="I246" s="4">
        <f t="shared" si="17"/>
        <v>0</v>
      </c>
      <c r="J246" s="4"/>
      <c r="K246" s="4">
        <f t="shared" si="1"/>
        <v>0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1">
        <v>1725</v>
      </c>
      <c r="B247" s="13" t="s">
        <v>465</v>
      </c>
      <c r="C247" s="14" t="s">
        <v>461</v>
      </c>
      <c r="D247" s="14" t="s">
        <v>462</v>
      </c>
      <c r="E247" s="14" t="s">
        <v>463</v>
      </c>
      <c r="F247" s="14" t="s">
        <v>431</v>
      </c>
      <c r="G247" s="14" t="s">
        <v>432</v>
      </c>
      <c r="H247" s="4"/>
      <c r="I247" s="4">
        <f t="shared" si="17"/>
        <v>0</v>
      </c>
      <c r="J247" s="4"/>
      <c r="K247" s="4">
        <f t="shared" si="1"/>
        <v>0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1"/>
      <c r="B248" s="4" t="s">
        <v>466</v>
      </c>
      <c r="C248" s="2" t="s">
        <v>467</v>
      </c>
      <c r="D248" s="3" t="s">
        <v>468</v>
      </c>
      <c r="E248" s="3" t="s">
        <v>134</v>
      </c>
      <c r="F248" s="3" t="s">
        <v>469</v>
      </c>
      <c r="G248" s="3" t="s">
        <v>432</v>
      </c>
      <c r="H248" s="4">
        <v>2</v>
      </c>
      <c r="I248" s="4">
        <v>4600</v>
      </c>
      <c r="J248" s="4"/>
      <c r="K248" s="4">
        <f t="shared" si="1"/>
        <v>0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1"/>
      <c r="B249" s="2" t="s">
        <v>126</v>
      </c>
      <c r="C249" s="3" t="s">
        <v>470</v>
      </c>
      <c r="D249" s="3" t="s">
        <v>471</v>
      </c>
      <c r="E249" s="3" t="s">
        <v>348</v>
      </c>
      <c r="F249" s="3" t="s">
        <v>472</v>
      </c>
      <c r="G249" s="3" t="s">
        <v>432</v>
      </c>
      <c r="H249" s="4"/>
      <c r="I249" s="4">
        <f t="shared" ref="I249:I254" si="18">H249*2300</f>
        <v>0</v>
      </c>
      <c r="J249" s="4"/>
      <c r="K249" s="4">
        <f t="shared" si="1"/>
        <v>0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1"/>
      <c r="B250" s="2" t="s">
        <v>296</v>
      </c>
      <c r="C250" s="3" t="s">
        <v>473</v>
      </c>
      <c r="D250" s="3" t="s">
        <v>474</v>
      </c>
      <c r="E250" s="3" t="s">
        <v>319</v>
      </c>
      <c r="F250" s="3" t="s">
        <v>472</v>
      </c>
      <c r="G250" s="3" t="s">
        <v>432</v>
      </c>
      <c r="H250" s="4"/>
      <c r="I250" s="4">
        <f t="shared" si="18"/>
        <v>0</v>
      </c>
      <c r="J250" s="4"/>
      <c r="K250" s="4">
        <f t="shared" si="1"/>
        <v>0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1"/>
      <c r="B251" s="2" t="s">
        <v>307</v>
      </c>
      <c r="C251" s="3" t="s">
        <v>475</v>
      </c>
      <c r="D251" s="3" t="s">
        <v>476</v>
      </c>
      <c r="E251" s="3" t="s">
        <v>302</v>
      </c>
      <c r="F251" s="3" t="s">
        <v>472</v>
      </c>
      <c r="G251" s="3" t="s">
        <v>432</v>
      </c>
      <c r="H251" s="4"/>
      <c r="I251" s="4">
        <f t="shared" si="18"/>
        <v>0</v>
      </c>
      <c r="J251" s="4"/>
      <c r="K251" s="4">
        <f t="shared" si="1"/>
        <v>0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1"/>
      <c r="B252" s="2" t="s">
        <v>109</v>
      </c>
      <c r="C252" s="3" t="s">
        <v>440</v>
      </c>
      <c r="D252" s="3" t="s">
        <v>78</v>
      </c>
      <c r="E252" s="3" t="s">
        <v>40</v>
      </c>
      <c r="F252" s="3" t="s">
        <v>472</v>
      </c>
      <c r="G252" s="3" t="s">
        <v>432</v>
      </c>
      <c r="H252" s="4"/>
      <c r="I252" s="4">
        <f t="shared" si="18"/>
        <v>0</v>
      </c>
      <c r="J252" s="4"/>
      <c r="K252" s="4">
        <f t="shared" si="1"/>
        <v>0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1"/>
      <c r="B253" s="2" t="s">
        <v>126</v>
      </c>
      <c r="C253" s="23" t="s">
        <v>477</v>
      </c>
      <c r="D253" s="23" t="s">
        <v>266</v>
      </c>
      <c r="E253" s="3" t="s">
        <v>478</v>
      </c>
      <c r="F253" s="23" t="s">
        <v>472</v>
      </c>
      <c r="G253" s="3" t="s">
        <v>432</v>
      </c>
      <c r="H253" s="4"/>
      <c r="I253" s="4">
        <f t="shared" si="18"/>
        <v>0</v>
      </c>
      <c r="J253" s="4"/>
      <c r="K253" s="4">
        <f t="shared" si="1"/>
        <v>0</v>
      </c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1"/>
      <c r="B254" s="2" t="s">
        <v>102</v>
      </c>
      <c r="C254" s="3" t="s">
        <v>317</v>
      </c>
      <c r="D254" s="3" t="s">
        <v>353</v>
      </c>
      <c r="E254" s="3" t="s">
        <v>18</v>
      </c>
      <c r="F254" s="3" t="s">
        <v>472</v>
      </c>
      <c r="G254" s="3" t="s">
        <v>432</v>
      </c>
      <c r="H254" s="4"/>
      <c r="I254" s="4">
        <f t="shared" si="18"/>
        <v>0</v>
      </c>
      <c r="J254" s="4"/>
      <c r="K254" s="4">
        <f t="shared" si="1"/>
        <v>0</v>
      </c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1"/>
      <c r="B255" s="2" t="s">
        <v>102</v>
      </c>
      <c r="C255" s="3" t="s">
        <v>479</v>
      </c>
      <c r="D255" s="3" t="s">
        <v>86</v>
      </c>
      <c r="E255" s="3" t="s">
        <v>393</v>
      </c>
      <c r="F255" s="3" t="s">
        <v>472</v>
      </c>
      <c r="G255" s="3" t="s">
        <v>432</v>
      </c>
      <c r="H255" s="4"/>
      <c r="I255" s="4">
        <f t="shared" ref="I255:I268" si="19">H255*1800</f>
        <v>0</v>
      </c>
      <c r="J255" s="4"/>
      <c r="K255" s="4">
        <f t="shared" si="1"/>
        <v>0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1"/>
      <c r="B256" s="2" t="s">
        <v>315</v>
      </c>
      <c r="C256" s="3" t="s">
        <v>480</v>
      </c>
      <c r="D256" s="3" t="s">
        <v>481</v>
      </c>
      <c r="E256" s="3" t="s">
        <v>482</v>
      </c>
      <c r="F256" s="3" t="s">
        <v>472</v>
      </c>
      <c r="G256" s="3" t="s">
        <v>432</v>
      </c>
      <c r="H256" s="4"/>
      <c r="I256" s="4">
        <f t="shared" si="19"/>
        <v>0</v>
      </c>
      <c r="J256" s="4"/>
      <c r="K256" s="4">
        <f t="shared" si="1"/>
        <v>0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1"/>
      <c r="B257" s="2" t="s">
        <v>126</v>
      </c>
      <c r="C257" s="3" t="s">
        <v>483</v>
      </c>
      <c r="D257" s="3" t="s">
        <v>484</v>
      </c>
      <c r="E257" s="3" t="s">
        <v>134</v>
      </c>
      <c r="F257" s="3" t="s">
        <v>485</v>
      </c>
      <c r="G257" s="3" t="s">
        <v>486</v>
      </c>
      <c r="H257" s="4"/>
      <c r="I257" s="4">
        <f t="shared" si="19"/>
        <v>0</v>
      </c>
      <c r="J257" s="4"/>
      <c r="K257" s="4">
        <f t="shared" ref="K257:K350" si="20">J257*4000</f>
        <v>0</v>
      </c>
      <c r="L257" s="5" t="s">
        <v>487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1"/>
      <c r="B258" s="2" t="s">
        <v>41</v>
      </c>
      <c r="C258" s="3" t="s">
        <v>488</v>
      </c>
      <c r="D258" s="3" t="s">
        <v>295</v>
      </c>
      <c r="E258" s="3" t="s">
        <v>91</v>
      </c>
      <c r="F258" s="3" t="s">
        <v>485</v>
      </c>
      <c r="G258" s="3" t="s">
        <v>486</v>
      </c>
      <c r="H258" s="4"/>
      <c r="I258" s="4">
        <f t="shared" si="19"/>
        <v>0</v>
      </c>
      <c r="J258" s="4"/>
      <c r="K258" s="4">
        <f t="shared" si="20"/>
        <v>0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1"/>
      <c r="B259" s="2" t="s">
        <v>33</v>
      </c>
      <c r="C259" s="3" t="s">
        <v>489</v>
      </c>
      <c r="D259" s="3" t="s">
        <v>73</v>
      </c>
      <c r="E259" s="3" t="s">
        <v>40</v>
      </c>
      <c r="F259" s="3" t="s">
        <v>485</v>
      </c>
      <c r="G259" s="3" t="s">
        <v>486</v>
      </c>
      <c r="H259" s="4"/>
      <c r="I259" s="4">
        <f t="shared" si="19"/>
        <v>0</v>
      </c>
      <c r="J259" s="4"/>
      <c r="K259" s="4">
        <f t="shared" si="20"/>
        <v>0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1"/>
      <c r="B260" s="2" t="s">
        <v>37</v>
      </c>
      <c r="C260" s="3" t="s">
        <v>490</v>
      </c>
      <c r="D260" s="3" t="s">
        <v>491</v>
      </c>
      <c r="E260" s="3" t="s">
        <v>306</v>
      </c>
      <c r="F260" s="3" t="s">
        <v>485</v>
      </c>
      <c r="G260" s="3" t="s">
        <v>486</v>
      </c>
      <c r="H260" s="4"/>
      <c r="I260" s="4">
        <f t="shared" si="19"/>
        <v>0</v>
      </c>
      <c r="J260" s="4"/>
      <c r="K260" s="4">
        <f t="shared" si="20"/>
        <v>0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1"/>
      <c r="B261" s="2" t="s">
        <v>315</v>
      </c>
      <c r="C261" s="3" t="s">
        <v>492</v>
      </c>
      <c r="D261" s="3" t="s">
        <v>58</v>
      </c>
      <c r="E261" s="3" t="s">
        <v>273</v>
      </c>
      <c r="F261" s="3" t="s">
        <v>485</v>
      </c>
      <c r="G261" s="3" t="s">
        <v>486</v>
      </c>
      <c r="H261" s="4"/>
      <c r="I261" s="4">
        <f t="shared" si="19"/>
        <v>0</v>
      </c>
      <c r="J261" s="4"/>
      <c r="K261" s="4">
        <f t="shared" si="20"/>
        <v>0</v>
      </c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1"/>
      <c r="B262" s="2" t="s">
        <v>108</v>
      </c>
      <c r="C262" s="3" t="s">
        <v>492</v>
      </c>
      <c r="D262" s="3" t="s">
        <v>58</v>
      </c>
      <c r="E262" s="3" t="s">
        <v>273</v>
      </c>
      <c r="F262" s="3" t="s">
        <v>485</v>
      </c>
      <c r="G262" s="3" t="s">
        <v>486</v>
      </c>
      <c r="H262" s="4"/>
      <c r="I262" s="4">
        <f t="shared" si="19"/>
        <v>0</v>
      </c>
      <c r="J262" s="4"/>
      <c r="K262" s="4">
        <f t="shared" si="20"/>
        <v>0</v>
      </c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1"/>
      <c r="B263" s="2" t="s">
        <v>71</v>
      </c>
      <c r="C263" s="3" t="s">
        <v>493</v>
      </c>
      <c r="D263" s="3" t="s">
        <v>494</v>
      </c>
      <c r="E263" s="3" t="s">
        <v>40</v>
      </c>
      <c r="F263" s="3" t="s">
        <v>485</v>
      </c>
      <c r="G263" s="3" t="s">
        <v>486</v>
      </c>
      <c r="H263" s="4"/>
      <c r="I263" s="4">
        <f t="shared" si="19"/>
        <v>0</v>
      </c>
      <c r="J263" s="4"/>
      <c r="K263" s="4">
        <f t="shared" si="20"/>
        <v>0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1"/>
      <c r="B264" s="2" t="s">
        <v>94</v>
      </c>
      <c r="C264" s="3" t="s">
        <v>495</v>
      </c>
      <c r="D264" s="3" t="s">
        <v>496</v>
      </c>
      <c r="E264" s="3" t="s">
        <v>452</v>
      </c>
      <c r="F264" s="3" t="s">
        <v>485</v>
      </c>
      <c r="G264" s="3" t="s">
        <v>486</v>
      </c>
      <c r="H264" s="4"/>
      <c r="I264" s="4">
        <f t="shared" si="19"/>
        <v>0</v>
      </c>
      <c r="J264" s="4"/>
      <c r="K264" s="4">
        <f t="shared" si="20"/>
        <v>0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1"/>
      <c r="B265" s="2" t="s">
        <v>33</v>
      </c>
      <c r="C265" s="3" t="s">
        <v>497</v>
      </c>
      <c r="D265" s="3" t="s">
        <v>28</v>
      </c>
      <c r="E265" s="3" t="s">
        <v>498</v>
      </c>
      <c r="F265" s="23" t="s">
        <v>485</v>
      </c>
      <c r="G265" s="3" t="s">
        <v>486</v>
      </c>
      <c r="H265" s="4"/>
      <c r="I265" s="4">
        <f t="shared" si="19"/>
        <v>0</v>
      </c>
      <c r="J265" s="4"/>
      <c r="K265" s="4">
        <f t="shared" si="20"/>
        <v>0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1"/>
      <c r="B266" s="2" t="s">
        <v>102</v>
      </c>
      <c r="C266" s="3" t="s">
        <v>499</v>
      </c>
      <c r="D266" s="3" t="s">
        <v>86</v>
      </c>
      <c r="E266" s="3" t="s">
        <v>32</v>
      </c>
      <c r="F266" s="3" t="s">
        <v>485</v>
      </c>
      <c r="G266" s="3" t="s">
        <v>486</v>
      </c>
      <c r="H266" s="4"/>
      <c r="I266" s="4">
        <f t="shared" si="19"/>
        <v>0</v>
      </c>
      <c r="J266" s="4"/>
      <c r="K266" s="4">
        <f t="shared" si="20"/>
        <v>0</v>
      </c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1"/>
      <c r="B267" s="2" t="s">
        <v>297</v>
      </c>
      <c r="C267" s="3" t="s">
        <v>500</v>
      </c>
      <c r="D267" s="3" t="s">
        <v>501</v>
      </c>
      <c r="E267" s="3" t="s">
        <v>502</v>
      </c>
      <c r="F267" s="23" t="s">
        <v>485</v>
      </c>
      <c r="G267" s="3" t="s">
        <v>486</v>
      </c>
      <c r="H267" s="4"/>
      <c r="I267" s="4">
        <f t="shared" si="19"/>
        <v>0</v>
      </c>
      <c r="J267" s="4"/>
      <c r="K267" s="4">
        <f t="shared" si="20"/>
        <v>0</v>
      </c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1"/>
      <c r="B268" s="2" t="s">
        <v>94</v>
      </c>
      <c r="C268" s="3" t="s">
        <v>503</v>
      </c>
      <c r="D268" s="3" t="s">
        <v>139</v>
      </c>
      <c r="E268" s="3" t="s">
        <v>40</v>
      </c>
      <c r="F268" s="3" t="s">
        <v>485</v>
      </c>
      <c r="G268" s="3" t="s">
        <v>486</v>
      </c>
      <c r="H268" s="4"/>
      <c r="I268" s="4">
        <f t="shared" si="19"/>
        <v>0</v>
      </c>
      <c r="J268" s="4"/>
      <c r="K268" s="4">
        <f t="shared" si="20"/>
        <v>0</v>
      </c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1">
        <v>131</v>
      </c>
      <c r="B269" s="13" t="s">
        <v>504</v>
      </c>
      <c r="C269" s="14" t="s">
        <v>505</v>
      </c>
      <c r="D269" s="14" t="s">
        <v>506</v>
      </c>
      <c r="E269" s="14" t="s">
        <v>79</v>
      </c>
      <c r="F269" s="14" t="s">
        <v>507</v>
      </c>
      <c r="G269" s="14" t="s">
        <v>508</v>
      </c>
      <c r="H269" s="4">
        <v>15</v>
      </c>
      <c r="I269" s="4">
        <f t="shared" ref="I269:I283" si="21">H269*2300</f>
        <v>34500</v>
      </c>
      <c r="J269" s="4"/>
      <c r="K269" s="4">
        <f t="shared" si="20"/>
        <v>0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1">
        <v>519</v>
      </c>
      <c r="B270" s="13" t="s">
        <v>509</v>
      </c>
      <c r="C270" s="14" t="s">
        <v>510</v>
      </c>
      <c r="D270" s="14" t="s">
        <v>511</v>
      </c>
      <c r="E270" s="14" t="s">
        <v>357</v>
      </c>
      <c r="F270" s="14" t="s">
        <v>507</v>
      </c>
      <c r="G270" s="14" t="s">
        <v>508</v>
      </c>
      <c r="H270" s="4"/>
      <c r="I270" s="4">
        <f t="shared" si="21"/>
        <v>0</v>
      </c>
      <c r="J270" s="4"/>
      <c r="K270" s="4">
        <f t="shared" si="20"/>
        <v>0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>
      <c r="A271" s="1">
        <v>569</v>
      </c>
      <c r="B271" s="13" t="s">
        <v>368</v>
      </c>
      <c r="C271" s="14" t="s">
        <v>512</v>
      </c>
      <c r="D271" s="14" t="s">
        <v>513</v>
      </c>
      <c r="E271" s="14" t="s">
        <v>357</v>
      </c>
      <c r="F271" s="14" t="s">
        <v>507</v>
      </c>
      <c r="G271" s="14" t="s">
        <v>508</v>
      </c>
      <c r="H271" s="4"/>
      <c r="I271" s="4">
        <f t="shared" si="21"/>
        <v>0</v>
      </c>
      <c r="J271" s="4"/>
      <c r="K271" s="4">
        <f t="shared" si="20"/>
        <v>0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">
      <c r="A272" s="1">
        <v>1051</v>
      </c>
      <c r="B272" s="13" t="s">
        <v>464</v>
      </c>
      <c r="C272" s="14" t="s">
        <v>505</v>
      </c>
      <c r="D272" s="14" t="s">
        <v>506</v>
      </c>
      <c r="E272" s="14" t="s">
        <v>79</v>
      </c>
      <c r="F272" s="14" t="s">
        <v>507</v>
      </c>
      <c r="G272" s="14" t="s">
        <v>508</v>
      </c>
      <c r="H272" s="4"/>
      <c r="I272" s="4">
        <f t="shared" si="21"/>
        <v>0</v>
      </c>
      <c r="J272" s="4"/>
      <c r="K272" s="4">
        <f t="shared" si="20"/>
        <v>0</v>
      </c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">
      <c r="A273" s="1">
        <v>1163</v>
      </c>
      <c r="B273" s="13" t="s">
        <v>433</v>
      </c>
      <c r="C273" s="14" t="s">
        <v>510</v>
      </c>
      <c r="D273" s="14" t="s">
        <v>511</v>
      </c>
      <c r="E273" s="14" t="s">
        <v>357</v>
      </c>
      <c r="F273" s="14" t="s">
        <v>507</v>
      </c>
      <c r="G273" s="14" t="s">
        <v>508</v>
      </c>
      <c r="H273" s="4"/>
      <c r="I273" s="4">
        <f t="shared" si="21"/>
        <v>0</v>
      </c>
      <c r="J273" s="4"/>
      <c r="K273" s="4">
        <f t="shared" si="20"/>
        <v>0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">
      <c r="A274" s="1">
        <v>1185</v>
      </c>
      <c r="B274" s="13" t="s">
        <v>256</v>
      </c>
      <c r="C274" s="14" t="s">
        <v>514</v>
      </c>
      <c r="D274" s="14" t="s">
        <v>376</v>
      </c>
      <c r="E274" s="14" t="s">
        <v>259</v>
      </c>
      <c r="F274" s="14" t="s">
        <v>507</v>
      </c>
      <c r="G274" s="14" t="s">
        <v>508</v>
      </c>
      <c r="H274" s="4"/>
      <c r="I274" s="4">
        <f t="shared" si="21"/>
        <v>0</v>
      </c>
      <c r="J274" s="4"/>
      <c r="K274" s="4">
        <f t="shared" si="20"/>
        <v>0</v>
      </c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">
      <c r="A275" s="1">
        <v>1669</v>
      </c>
      <c r="B275" s="13" t="s">
        <v>435</v>
      </c>
      <c r="C275" s="14" t="s">
        <v>515</v>
      </c>
      <c r="D275" s="14" t="s">
        <v>516</v>
      </c>
      <c r="E275" s="14" t="s">
        <v>129</v>
      </c>
      <c r="F275" s="14" t="s">
        <v>507</v>
      </c>
      <c r="G275" s="14" t="s">
        <v>508</v>
      </c>
      <c r="H275" s="4"/>
      <c r="I275" s="4">
        <f t="shared" si="21"/>
        <v>0</v>
      </c>
      <c r="J275" s="4"/>
      <c r="K275" s="4">
        <f t="shared" si="20"/>
        <v>0</v>
      </c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">
      <c r="A276" s="1">
        <v>1743</v>
      </c>
      <c r="B276" s="13" t="s">
        <v>465</v>
      </c>
      <c r="C276" s="14" t="s">
        <v>505</v>
      </c>
      <c r="D276" s="14" t="s">
        <v>506</v>
      </c>
      <c r="E276" s="14" t="s">
        <v>79</v>
      </c>
      <c r="F276" s="14" t="s">
        <v>507</v>
      </c>
      <c r="G276" s="14" t="s">
        <v>508</v>
      </c>
      <c r="H276" s="4"/>
      <c r="I276" s="4">
        <f t="shared" si="21"/>
        <v>0</v>
      </c>
      <c r="J276" s="4"/>
      <c r="K276" s="4">
        <f t="shared" si="20"/>
        <v>0</v>
      </c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">
      <c r="A277" s="1">
        <v>1837</v>
      </c>
      <c r="B277" s="13" t="s">
        <v>439</v>
      </c>
      <c r="C277" s="14" t="s">
        <v>510</v>
      </c>
      <c r="D277" s="14" t="s">
        <v>511</v>
      </c>
      <c r="E277" s="14" t="s">
        <v>357</v>
      </c>
      <c r="F277" s="14" t="s">
        <v>507</v>
      </c>
      <c r="G277" s="14" t="s">
        <v>508</v>
      </c>
      <c r="H277" s="4"/>
      <c r="I277" s="4">
        <f t="shared" si="21"/>
        <v>0</v>
      </c>
      <c r="J277" s="4"/>
      <c r="K277" s="4">
        <f t="shared" si="20"/>
        <v>0</v>
      </c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">
      <c r="A278" s="1">
        <v>1949</v>
      </c>
      <c r="B278" s="13" t="s">
        <v>278</v>
      </c>
      <c r="C278" s="14" t="s">
        <v>515</v>
      </c>
      <c r="D278" s="14" t="s">
        <v>516</v>
      </c>
      <c r="E278" s="14" t="s">
        <v>129</v>
      </c>
      <c r="F278" s="14" t="s">
        <v>507</v>
      </c>
      <c r="G278" s="14" t="s">
        <v>508</v>
      </c>
      <c r="H278" s="4"/>
      <c r="I278" s="4">
        <f t="shared" si="21"/>
        <v>0</v>
      </c>
      <c r="J278" s="4"/>
      <c r="K278" s="4">
        <f t="shared" si="20"/>
        <v>0</v>
      </c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">
      <c r="A279" s="1">
        <v>2209</v>
      </c>
      <c r="B279" s="13" t="s">
        <v>282</v>
      </c>
      <c r="C279" s="14" t="s">
        <v>515</v>
      </c>
      <c r="D279" s="14" t="s">
        <v>516</v>
      </c>
      <c r="E279" s="14" t="s">
        <v>129</v>
      </c>
      <c r="F279" s="14" t="s">
        <v>507</v>
      </c>
      <c r="G279" s="14" t="s">
        <v>508</v>
      </c>
      <c r="H279" s="4"/>
      <c r="I279" s="4">
        <f t="shared" si="21"/>
        <v>0</v>
      </c>
      <c r="J279" s="4"/>
      <c r="K279" s="4">
        <f t="shared" si="20"/>
        <v>0</v>
      </c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">
      <c r="A280" s="1">
        <v>2259</v>
      </c>
      <c r="B280" s="13" t="s">
        <v>517</v>
      </c>
      <c r="C280" s="14" t="s">
        <v>514</v>
      </c>
      <c r="D280" s="14" t="s">
        <v>376</v>
      </c>
      <c r="E280" s="14" t="s">
        <v>259</v>
      </c>
      <c r="F280" s="14" t="s">
        <v>507</v>
      </c>
      <c r="G280" s="14" t="s">
        <v>508</v>
      </c>
      <c r="H280" s="4"/>
      <c r="I280" s="4">
        <f t="shared" si="21"/>
        <v>0</v>
      </c>
      <c r="J280" s="4"/>
      <c r="K280" s="4">
        <f t="shared" si="20"/>
        <v>0</v>
      </c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">
      <c r="A281" s="1">
        <v>2309</v>
      </c>
      <c r="B281" s="13" t="s">
        <v>284</v>
      </c>
      <c r="C281" s="14" t="s">
        <v>512</v>
      </c>
      <c r="D281" s="14" t="s">
        <v>513</v>
      </c>
      <c r="E281" s="14" t="s">
        <v>357</v>
      </c>
      <c r="F281" s="14" t="s">
        <v>507</v>
      </c>
      <c r="G281" s="14" t="s">
        <v>508</v>
      </c>
      <c r="H281" s="4"/>
      <c r="I281" s="4">
        <f t="shared" si="21"/>
        <v>0</v>
      </c>
      <c r="J281" s="4"/>
      <c r="K281" s="4">
        <f t="shared" si="20"/>
        <v>0</v>
      </c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">
      <c r="A282" s="1">
        <v>2833</v>
      </c>
      <c r="B282" s="13" t="s">
        <v>518</v>
      </c>
      <c r="C282" s="14" t="s">
        <v>514</v>
      </c>
      <c r="D282" s="14" t="s">
        <v>376</v>
      </c>
      <c r="E282" s="14" t="s">
        <v>259</v>
      </c>
      <c r="F282" s="14" t="s">
        <v>507</v>
      </c>
      <c r="G282" s="14" t="s">
        <v>508</v>
      </c>
      <c r="H282" s="4"/>
      <c r="I282" s="4">
        <f t="shared" si="21"/>
        <v>0</v>
      </c>
      <c r="J282" s="4"/>
      <c r="K282" s="4">
        <f t="shared" si="20"/>
        <v>0</v>
      </c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">
      <c r="A283" s="1">
        <v>2871</v>
      </c>
      <c r="B283" s="13" t="s">
        <v>519</v>
      </c>
      <c r="C283" s="14" t="s">
        <v>512</v>
      </c>
      <c r="D283" s="14" t="s">
        <v>513</v>
      </c>
      <c r="E283" s="14" t="s">
        <v>357</v>
      </c>
      <c r="F283" s="14" t="s">
        <v>507</v>
      </c>
      <c r="G283" s="14" t="s">
        <v>508</v>
      </c>
      <c r="H283" s="4"/>
      <c r="I283" s="4">
        <f t="shared" si="21"/>
        <v>0</v>
      </c>
      <c r="J283" s="4"/>
      <c r="K283" s="4">
        <f t="shared" si="20"/>
        <v>0</v>
      </c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">
      <c r="A284" s="1"/>
      <c r="B284" s="2" t="s">
        <v>300</v>
      </c>
      <c r="C284" s="3" t="s">
        <v>520</v>
      </c>
      <c r="D284" s="3" t="s">
        <v>39</v>
      </c>
      <c r="E284" s="3" t="s">
        <v>424</v>
      </c>
      <c r="F284" s="3" t="s">
        <v>507</v>
      </c>
      <c r="G284" s="3" t="s">
        <v>508</v>
      </c>
      <c r="H284" s="4"/>
      <c r="I284" s="4">
        <f t="shared" ref="I284:I291" si="22">H284*1800</f>
        <v>0</v>
      </c>
      <c r="J284" s="4"/>
      <c r="K284" s="4">
        <f t="shared" si="20"/>
        <v>0</v>
      </c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">
      <c r="A285" s="1"/>
      <c r="B285" s="2" t="s">
        <v>102</v>
      </c>
      <c r="C285" s="3" t="s">
        <v>520</v>
      </c>
      <c r="D285" s="3" t="s">
        <v>39</v>
      </c>
      <c r="E285" s="3" t="s">
        <v>424</v>
      </c>
      <c r="F285" s="3" t="s">
        <v>507</v>
      </c>
      <c r="G285" s="3" t="s">
        <v>508</v>
      </c>
      <c r="H285" s="4">
        <v>6</v>
      </c>
      <c r="I285" s="4">
        <f t="shared" si="22"/>
        <v>10800</v>
      </c>
      <c r="J285" s="4"/>
      <c r="K285" s="4">
        <f t="shared" si="20"/>
        <v>0</v>
      </c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">
      <c r="A286" s="1"/>
      <c r="B286" s="2" t="s">
        <v>300</v>
      </c>
      <c r="C286" s="3" t="s">
        <v>521</v>
      </c>
      <c r="D286" s="3" t="s">
        <v>522</v>
      </c>
      <c r="E286" s="3" t="s">
        <v>87</v>
      </c>
      <c r="F286" s="3" t="s">
        <v>507</v>
      </c>
      <c r="G286" s="3" t="s">
        <v>508</v>
      </c>
      <c r="H286" s="4"/>
      <c r="I286" s="4">
        <f t="shared" si="22"/>
        <v>0</v>
      </c>
      <c r="J286" s="4"/>
      <c r="K286" s="4">
        <f t="shared" si="20"/>
        <v>0</v>
      </c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">
      <c r="A287" s="1"/>
      <c r="B287" s="2" t="s">
        <v>523</v>
      </c>
      <c r="C287" s="3" t="s">
        <v>521</v>
      </c>
      <c r="D287" s="3" t="s">
        <v>522</v>
      </c>
      <c r="E287" s="3" t="s">
        <v>87</v>
      </c>
      <c r="F287" s="3" t="s">
        <v>507</v>
      </c>
      <c r="G287" s="3" t="s">
        <v>508</v>
      </c>
      <c r="H287" s="4"/>
      <c r="I287" s="4">
        <f t="shared" si="22"/>
        <v>0</v>
      </c>
      <c r="J287" s="4"/>
      <c r="K287" s="4">
        <f t="shared" si="20"/>
        <v>0</v>
      </c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">
      <c r="A288" s="1"/>
      <c r="B288" s="2" t="s">
        <v>297</v>
      </c>
      <c r="C288" s="3" t="s">
        <v>524</v>
      </c>
      <c r="D288" s="3" t="s">
        <v>139</v>
      </c>
      <c r="E288" s="3" t="s">
        <v>87</v>
      </c>
      <c r="F288" s="3" t="s">
        <v>507</v>
      </c>
      <c r="G288" s="3" t="s">
        <v>508</v>
      </c>
      <c r="H288" s="4"/>
      <c r="I288" s="4">
        <f t="shared" si="22"/>
        <v>0</v>
      </c>
      <c r="J288" s="4"/>
      <c r="K288" s="4">
        <f t="shared" si="20"/>
        <v>0</v>
      </c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">
      <c r="A289" s="1"/>
      <c r="B289" s="2" t="s">
        <v>300</v>
      </c>
      <c r="C289" s="3" t="s">
        <v>524</v>
      </c>
      <c r="D289" s="3" t="s">
        <v>139</v>
      </c>
      <c r="E289" s="3" t="s">
        <v>87</v>
      </c>
      <c r="F289" s="3" t="s">
        <v>507</v>
      </c>
      <c r="G289" s="3" t="s">
        <v>508</v>
      </c>
      <c r="H289" s="4"/>
      <c r="I289" s="4">
        <f t="shared" si="22"/>
        <v>0</v>
      </c>
      <c r="J289" s="4"/>
      <c r="K289" s="4">
        <f t="shared" si="20"/>
        <v>0</v>
      </c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">
      <c r="A290" s="1"/>
      <c r="B290" s="2" t="s">
        <v>121</v>
      </c>
      <c r="C290" s="3" t="s">
        <v>525</v>
      </c>
      <c r="D290" s="3" t="s">
        <v>526</v>
      </c>
      <c r="E290" s="3" t="s">
        <v>134</v>
      </c>
      <c r="F290" s="3" t="s">
        <v>507</v>
      </c>
      <c r="G290" s="3" t="s">
        <v>508</v>
      </c>
      <c r="H290" s="4"/>
      <c r="I290" s="4">
        <f t="shared" si="22"/>
        <v>0</v>
      </c>
      <c r="J290" s="4"/>
      <c r="K290" s="4">
        <f t="shared" si="20"/>
        <v>0</v>
      </c>
      <c r="L290" s="5" t="s">
        <v>527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">
      <c r="A291" s="1"/>
      <c r="B291" s="2" t="s">
        <v>315</v>
      </c>
      <c r="C291" s="3" t="s">
        <v>525</v>
      </c>
      <c r="D291" s="3" t="s">
        <v>526</v>
      </c>
      <c r="E291" s="3" t="s">
        <v>134</v>
      </c>
      <c r="F291" s="3" t="s">
        <v>507</v>
      </c>
      <c r="G291" s="3" t="s">
        <v>508</v>
      </c>
      <c r="H291" s="4"/>
      <c r="I291" s="4">
        <f t="shared" si="22"/>
        <v>0</v>
      </c>
      <c r="J291" s="4"/>
      <c r="K291" s="4">
        <f t="shared" si="20"/>
        <v>0</v>
      </c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">
      <c r="A292" s="1">
        <v>339</v>
      </c>
      <c r="B292" s="13" t="s">
        <v>100</v>
      </c>
      <c r="C292" s="14" t="s">
        <v>528</v>
      </c>
      <c r="D292" s="14" t="s">
        <v>529</v>
      </c>
      <c r="E292" s="14" t="s">
        <v>530</v>
      </c>
      <c r="F292" s="14" t="s">
        <v>531</v>
      </c>
      <c r="G292" s="14" t="s">
        <v>532</v>
      </c>
      <c r="H292" s="4"/>
      <c r="I292" s="4">
        <f>H292*2300</f>
        <v>0</v>
      </c>
      <c r="J292" s="4"/>
      <c r="K292" s="4">
        <f t="shared" si="20"/>
        <v>0</v>
      </c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">
      <c r="A293" s="1"/>
      <c r="B293" s="2" t="s">
        <v>102</v>
      </c>
      <c r="C293" s="3" t="s">
        <v>533</v>
      </c>
      <c r="D293" s="3" t="s">
        <v>534</v>
      </c>
      <c r="E293" s="3" t="s">
        <v>251</v>
      </c>
      <c r="F293" s="3" t="s">
        <v>531</v>
      </c>
      <c r="G293" s="3" t="s">
        <v>532</v>
      </c>
      <c r="H293" s="4"/>
      <c r="I293" s="4">
        <f t="shared" ref="I293:I306" si="23">H293*1800</f>
        <v>0</v>
      </c>
      <c r="J293" s="4"/>
      <c r="K293" s="4">
        <f t="shared" si="20"/>
        <v>0</v>
      </c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">
      <c r="A294" s="1"/>
      <c r="B294" s="2" t="s">
        <v>108</v>
      </c>
      <c r="C294" s="3" t="s">
        <v>533</v>
      </c>
      <c r="D294" s="3" t="s">
        <v>534</v>
      </c>
      <c r="E294" s="3" t="s">
        <v>251</v>
      </c>
      <c r="F294" s="3" t="s">
        <v>531</v>
      </c>
      <c r="G294" s="3" t="s">
        <v>532</v>
      </c>
      <c r="H294" s="4"/>
      <c r="I294" s="4">
        <f t="shared" si="23"/>
        <v>0</v>
      </c>
      <c r="J294" s="4"/>
      <c r="K294" s="4">
        <f t="shared" si="20"/>
        <v>0</v>
      </c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">
      <c r="A295" s="1"/>
      <c r="B295" s="2" t="s">
        <v>300</v>
      </c>
      <c r="C295" s="3" t="s">
        <v>535</v>
      </c>
      <c r="D295" s="3" t="s">
        <v>58</v>
      </c>
      <c r="E295" s="3" t="s">
        <v>306</v>
      </c>
      <c r="F295" s="3" t="s">
        <v>531</v>
      </c>
      <c r="G295" s="3" t="s">
        <v>532</v>
      </c>
      <c r="H295" s="4"/>
      <c r="I295" s="4">
        <f t="shared" si="23"/>
        <v>0</v>
      </c>
      <c r="J295" s="4"/>
      <c r="K295" s="4">
        <f t="shared" si="20"/>
        <v>0</v>
      </c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">
      <c r="A296" s="1"/>
      <c r="B296" s="19" t="s">
        <v>102</v>
      </c>
      <c r="C296" s="3" t="s">
        <v>535</v>
      </c>
      <c r="D296" s="3" t="s">
        <v>58</v>
      </c>
      <c r="E296" s="3" t="s">
        <v>306</v>
      </c>
      <c r="F296" s="3" t="s">
        <v>531</v>
      </c>
      <c r="G296" s="3" t="s">
        <v>532</v>
      </c>
      <c r="H296" s="4"/>
      <c r="I296" s="4">
        <f t="shared" si="23"/>
        <v>0</v>
      </c>
      <c r="J296" s="4"/>
      <c r="K296" s="4">
        <f t="shared" si="20"/>
        <v>0</v>
      </c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">
      <c r="A297" s="1"/>
      <c r="B297" s="2" t="s">
        <v>102</v>
      </c>
      <c r="C297" s="3" t="s">
        <v>536</v>
      </c>
      <c r="D297" s="3" t="s">
        <v>133</v>
      </c>
      <c r="E297" s="3" t="s">
        <v>134</v>
      </c>
      <c r="F297" s="3" t="s">
        <v>531</v>
      </c>
      <c r="G297" s="3" t="s">
        <v>532</v>
      </c>
      <c r="H297" s="4"/>
      <c r="I297" s="4">
        <f t="shared" si="23"/>
        <v>0</v>
      </c>
      <c r="J297" s="4"/>
      <c r="K297" s="4">
        <f t="shared" si="20"/>
        <v>0</v>
      </c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">
      <c r="A298" s="1"/>
      <c r="B298" s="2" t="s">
        <v>421</v>
      </c>
      <c r="C298" s="3" t="s">
        <v>536</v>
      </c>
      <c r="D298" s="3" t="s">
        <v>133</v>
      </c>
      <c r="E298" s="3" t="s">
        <v>134</v>
      </c>
      <c r="F298" s="3" t="s">
        <v>531</v>
      </c>
      <c r="G298" s="3" t="s">
        <v>532</v>
      </c>
      <c r="H298" s="4"/>
      <c r="I298" s="4">
        <f t="shared" si="23"/>
        <v>0</v>
      </c>
      <c r="J298" s="4"/>
      <c r="K298" s="4">
        <f t="shared" si="20"/>
        <v>0</v>
      </c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">
      <c r="A299" s="1"/>
      <c r="B299" s="2" t="s">
        <v>94</v>
      </c>
      <c r="C299" s="3" t="s">
        <v>536</v>
      </c>
      <c r="D299" s="3" t="s">
        <v>133</v>
      </c>
      <c r="E299" s="3" t="s">
        <v>134</v>
      </c>
      <c r="F299" s="3" t="s">
        <v>531</v>
      </c>
      <c r="G299" s="3" t="s">
        <v>532</v>
      </c>
      <c r="H299" s="4"/>
      <c r="I299" s="4">
        <f t="shared" si="23"/>
        <v>0</v>
      </c>
      <c r="J299" s="4"/>
      <c r="K299" s="4">
        <f t="shared" si="20"/>
        <v>0</v>
      </c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">
      <c r="A300" s="1"/>
      <c r="B300" s="2" t="s">
        <v>316</v>
      </c>
      <c r="C300" s="3" t="s">
        <v>528</v>
      </c>
      <c r="D300" s="3" t="s">
        <v>529</v>
      </c>
      <c r="E300" s="3" t="s">
        <v>530</v>
      </c>
      <c r="F300" s="3" t="s">
        <v>531</v>
      </c>
      <c r="G300" s="3" t="s">
        <v>532</v>
      </c>
      <c r="H300" s="4"/>
      <c r="I300" s="4">
        <f t="shared" si="23"/>
        <v>0</v>
      </c>
      <c r="J300" s="4"/>
      <c r="K300" s="4">
        <f t="shared" si="20"/>
        <v>0</v>
      </c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">
      <c r="A301" s="1"/>
      <c r="B301" s="2" t="s">
        <v>94</v>
      </c>
      <c r="C301" s="3" t="s">
        <v>528</v>
      </c>
      <c r="D301" s="3" t="s">
        <v>529</v>
      </c>
      <c r="E301" s="3" t="s">
        <v>530</v>
      </c>
      <c r="F301" s="3" t="s">
        <v>531</v>
      </c>
      <c r="G301" s="3" t="s">
        <v>532</v>
      </c>
      <c r="H301" s="4"/>
      <c r="I301" s="4">
        <f t="shared" si="23"/>
        <v>0</v>
      </c>
      <c r="J301" s="4"/>
      <c r="K301" s="4">
        <f t="shared" si="20"/>
        <v>0</v>
      </c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">
      <c r="A302" s="1"/>
      <c r="B302" s="2" t="s">
        <v>88</v>
      </c>
      <c r="C302" s="3" t="s">
        <v>537</v>
      </c>
      <c r="D302" s="3" t="s">
        <v>538</v>
      </c>
      <c r="E302" s="3" t="s">
        <v>539</v>
      </c>
      <c r="F302" s="3" t="s">
        <v>540</v>
      </c>
      <c r="G302" s="3" t="s">
        <v>541</v>
      </c>
      <c r="H302" s="4"/>
      <c r="I302" s="4">
        <f t="shared" si="23"/>
        <v>0</v>
      </c>
      <c r="J302" s="4"/>
      <c r="K302" s="4">
        <f t="shared" si="20"/>
        <v>0</v>
      </c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">
      <c r="A303" s="1"/>
      <c r="B303" s="2" t="s">
        <v>94</v>
      </c>
      <c r="C303" s="3" t="s">
        <v>542</v>
      </c>
      <c r="D303" s="3" t="s">
        <v>272</v>
      </c>
      <c r="E303" s="3" t="s">
        <v>32</v>
      </c>
      <c r="F303" s="3" t="s">
        <v>540</v>
      </c>
      <c r="G303" s="3" t="s">
        <v>541</v>
      </c>
      <c r="H303" s="4"/>
      <c r="I303" s="4">
        <f t="shared" si="23"/>
        <v>0</v>
      </c>
      <c r="J303" s="4"/>
      <c r="K303" s="4">
        <f t="shared" si="20"/>
        <v>0</v>
      </c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">
      <c r="A304" s="1"/>
      <c r="B304" s="2" t="s">
        <v>88</v>
      </c>
      <c r="C304" s="3" t="s">
        <v>543</v>
      </c>
      <c r="D304" s="3" t="s">
        <v>116</v>
      </c>
      <c r="E304" s="3" t="s">
        <v>87</v>
      </c>
      <c r="F304" s="3" t="s">
        <v>544</v>
      </c>
      <c r="G304" s="3" t="s">
        <v>541</v>
      </c>
      <c r="H304" s="4"/>
      <c r="I304" s="4">
        <f t="shared" si="23"/>
        <v>0</v>
      </c>
      <c r="J304" s="4"/>
      <c r="K304" s="4">
        <f t="shared" si="20"/>
        <v>0</v>
      </c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">
      <c r="A305" s="1"/>
      <c r="B305" s="2" t="s">
        <v>88</v>
      </c>
      <c r="C305" s="3" t="s">
        <v>545</v>
      </c>
      <c r="D305" s="3" t="s">
        <v>339</v>
      </c>
      <c r="E305" s="3" t="s">
        <v>546</v>
      </c>
      <c r="F305" s="3" t="s">
        <v>547</v>
      </c>
      <c r="G305" s="3" t="s">
        <v>541</v>
      </c>
      <c r="H305" s="4"/>
      <c r="I305" s="4">
        <f t="shared" si="23"/>
        <v>0</v>
      </c>
      <c r="J305" s="4"/>
      <c r="K305" s="4">
        <f t="shared" si="20"/>
        <v>0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">
      <c r="A306" s="1"/>
      <c r="B306" s="2" t="s">
        <v>548</v>
      </c>
      <c r="C306" s="3" t="s">
        <v>545</v>
      </c>
      <c r="D306" s="3" t="s">
        <v>339</v>
      </c>
      <c r="E306" s="3" t="s">
        <v>546</v>
      </c>
      <c r="F306" s="3" t="s">
        <v>547</v>
      </c>
      <c r="G306" s="3" t="s">
        <v>541</v>
      </c>
      <c r="H306" s="4"/>
      <c r="I306" s="4">
        <f t="shared" si="23"/>
        <v>0</v>
      </c>
      <c r="J306" s="4"/>
      <c r="K306" s="4">
        <f t="shared" si="20"/>
        <v>0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">
      <c r="A307" s="1">
        <v>167</v>
      </c>
      <c r="B307" s="13" t="s">
        <v>549</v>
      </c>
      <c r="C307" s="14" t="s">
        <v>550</v>
      </c>
      <c r="D307" s="14" t="s">
        <v>272</v>
      </c>
      <c r="E307" s="14" t="s">
        <v>112</v>
      </c>
      <c r="F307" s="14" t="s">
        <v>551</v>
      </c>
      <c r="G307" s="14" t="s">
        <v>541</v>
      </c>
      <c r="H307" s="4"/>
      <c r="I307" s="4">
        <f t="shared" ref="I307:I312" si="24">H307*2300</f>
        <v>0</v>
      </c>
      <c r="J307" s="4"/>
      <c r="K307" s="4">
        <f t="shared" si="20"/>
        <v>0</v>
      </c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">
      <c r="A308" s="1">
        <v>169</v>
      </c>
      <c r="B308" s="13" t="s">
        <v>549</v>
      </c>
      <c r="C308" s="14" t="s">
        <v>550</v>
      </c>
      <c r="D308" s="14" t="s">
        <v>120</v>
      </c>
      <c r="E308" s="14" t="s">
        <v>112</v>
      </c>
      <c r="F308" s="14" t="s">
        <v>551</v>
      </c>
      <c r="G308" s="14" t="s">
        <v>541</v>
      </c>
      <c r="H308" s="4"/>
      <c r="I308" s="4">
        <f t="shared" si="24"/>
        <v>0</v>
      </c>
      <c r="J308" s="4"/>
      <c r="K308" s="4">
        <f t="shared" si="20"/>
        <v>0</v>
      </c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">
      <c r="A309" s="1">
        <v>295</v>
      </c>
      <c r="B309" s="13" t="s">
        <v>552</v>
      </c>
      <c r="C309" s="14" t="s">
        <v>550</v>
      </c>
      <c r="D309" s="14" t="s">
        <v>272</v>
      </c>
      <c r="E309" s="14" t="s">
        <v>112</v>
      </c>
      <c r="F309" s="14" t="s">
        <v>551</v>
      </c>
      <c r="G309" s="14" t="s">
        <v>541</v>
      </c>
      <c r="H309" s="4"/>
      <c r="I309" s="4">
        <f t="shared" si="24"/>
        <v>0</v>
      </c>
      <c r="J309" s="4"/>
      <c r="K309" s="4">
        <f t="shared" si="20"/>
        <v>0</v>
      </c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">
      <c r="A310" s="1">
        <v>297</v>
      </c>
      <c r="B310" s="13" t="s">
        <v>552</v>
      </c>
      <c r="C310" s="14" t="s">
        <v>550</v>
      </c>
      <c r="D310" s="14" t="s">
        <v>120</v>
      </c>
      <c r="E310" s="14" t="s">
        <v>112</v>
      </c>
      <c r="F310" s="14" t="s">
        <v>551</v>
      </c>
      <c r="G310" s="14" t="s">
        <v>541</v>
      </c>
      <c r="H310" s="4"/>
      <c r="I310" s="4">
        <f t="shared" si="24"/>
        <v>0</v>
      </c>
      <c r="J310" s="4"/>
      <c r="K310" s="4">
        <f t="shared" si="20"/>
        <v>0</v>
      </c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">
      <c r="A311" s="1">
        <v>387</v>
      </c>
      <c r="B311" s="13" t="s">
        <v>246</v>
      </c>
      <c r="C311" s="14" t="s">
        <v>553</v>
      </c>
      <c r="D311" s="14" t="s">
        <v>554</v>
      </c>
      <c r="E311" s="14" t="s">
        <v>393</v>
      </c>
      <c r="F311" s="14" t="s">
        <v>555</v>
      </c>
      <c r="G311" s="14" t="s">
        <v>541</v>
      </c>
      <c r="H311" s="4"/>
      <c r="I311" s="4">
        <f t="shared" si="24"/>
        <v>0</v>
      </c>
      <c r="J311" s="4"/>
      <c r="K311" s="4">
        <f t="shared" si="20"/>
        <v>0</v>
      </c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">
      <c r="A312" s="20">
        <v>3011</v>
      </c>
      <c r="B312" s="21" t="s">
        <v>290</v>
      </c>
      <c r="C312" s="22" t="s">
        <v>553</v>
      </c>
      <c r="D312" s="22" t="s">
        <v>554</v>
      </c>
      <c r="E312" s="22" t="s">
        <v>393</v>
      </c>
      <c r="F312" s="14" t="s">
        <v>555</v>
      </c>
      <c r="G312" s="14" t="s">
        <v>541</v>
      </c>
      <c r="H312" s="4"/>
      <c r="I312" s="4">
        <f t="shared" si="24"/>
        <v>0</v>
      </c>
      <c r="J312" s="4"/>
      <c r="K312" s="4">
        <f t="shared" si="20"/>
        <v>0</v>
      </c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">
      <c r="A313" s="1"/>
      <c r="B313" s="2" t="s">
        <v>303</v>
      </c>
      <c r="C313" s="3" t="s">
        <v>556</v>
      </c>
      <c r="D313" s="3" t="s">
        <v>557</v>
      </c>
      <c r="E313" s="3" t="s">
        <v>393</v>
      </c>
      <c r="F313" s="3" t="s">
        <v>558</v>
      </c>
      <c r="G313" s="3" t="s">
        <v>541</v>
      </c>
      <c r="H313" s="4"/>
      <c r="I313" s="4">
        <f t="shared" ref="I313:I333" si="25">H313*1800</f>
        <v>0</v>
      </c>
      <c r="J313" s="4"/>
      <c r="K313" s="4">
        <f t="shared" si="20"/>
        <v>0</v>
      </c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">
      <c r="A314" s="1"/>
      <c r="B314" s="2" t="s">
        <v>94</v>
      </c>
      <c r="C314" s="3" t="s">
        <v>556</v>
      </c>
      <c r="D314" s="3" t="s">
        <v>557</v>
      </c>
      <c r="E314" s="3" t="s">
        <v>393</v>
      </c>
      <c r="F314" s="3" t="s">
        <v>558</v>
      </c>
      <c r="G314" s="3" t="s">
        <v>541</v>
      </c>
      <c r="H314" s="4"/>
      <c r="I314" s="4">
        <f t="shared" si="25"/>
        <v>0</v>
      </c>
      <c r="J314" s="4"/>
      <c r="K314" s="4">
        <f t="shared" si="20"/>
        <v>0</v>
      </c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">
      <c r="A315" s="1"/>
      <c r="B315" s="2" t="s">
        <v>88</v>
      </c>
      <c r="C315" s="3" t="s">
        <v>559</v>
      </c>
      <c r="D315" s="3" t="s">
        <v>353</v>
      </c>
      <c r="E315" s="3" t="s">
        <v>539</v>
      </c>
      <c r="F315" s="3" t="s">
        <v>560</v>
      </c>
      <c r="G315" s="3" t="s">
        <v>541</v>
      </c>
      <c r="H315" s="4"/>
      <c r="I315" s="4">
        <f t="shared" si="25"/>
        <v>0</v>
      </c>
      <c r="J315" s="4"/>
      <c r="K315" s="4">
        <f t="shared" si="20"/>
        <v>0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">
      <c r="A316" s="1"/>
      <c r="B316" s="2" t="s">
        <v>94</v>
      </c>
      <c r="C316" s="3" t="s">
        <v>561</v>
      </c>
      <c r="D316" s="3" t="s">
        <v>562</v>
      </c>
      <c r="E316" s="3" t="s">
        <v>563</v>
      </c>
      <c r="F316" s="3" t="s">
        <v>564</v>
      </c>
      <c r="G316" s="3" t="s">
        <v>541</v>
      </c>
      <c r="H316" s="4"/>
      <c r="I316" s="4">
        <f t="shared" si="25"/>
        <v>0</v>
      </c>
      <c r="J316" s="4"/>
      <c r="K316" s="4">
        <f t="shared" si="20"/>
        <v>0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">
      <c r="A317" s="1"/>
      <c r="B317" s="2" t="s">
        <v>88</v>
      </c>
      <c r="C317" s="3" t="s">
        <v>565</v>
      </c>
      <c r="D317" s="3" t="s">
        <v>566</v>
      </c>
      <c r="E317" s="3" t="s">
        <v>567</v>
      </c>
      <c r="F317" s="3" t="s">
        <v>568</v>
      </c>
      <c r="G317" s="3" t="s">
        <v>541</v>
      </c>
      <c r="H317" s="4"/>
      <c r="I317" s="4">
        <f t="shared" si="25"/>
        <v>0</v>
      </c>
      <c r="J317" s="4"/>
      <c r="K317" s="4">
        <f t="shared" si="20"/>
        <v>0</v>
      </c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">
      <c r="A318" s="1"/>
      <c r="B318" s="2" t="s">
        <v>94</v>
      </c>
      <c r="C318" s="3" t="s">
        <v>565</v>
      </c>
      <c r="D318" s="3" t="s">
        <v>566</v>
      </c>
      <c r="E318" s="3" t="s">
        <v>567</v>
      </c>
      <c r="F318" s="3" t="s">
        <v>568</v>
      </c>
      <c r="G318" s="3" t="s">
        <v>541</v>
      </c>
      <c r="H318" s="4"/>
      <c r="I318" s="4">
        <f t="shared" si="25"/>
        <v>0</v>
      </c>
      <c r="J318" s="4"/>
      <c r="K318" s="4">
        <f t="shared" si="20"/>
        <v>0</v>
      </c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">
      <c r="A319" s="1"/>
      <c r="B319" s="2" t="s">
        <v>88</v>
      </c>
      <c r="C319" s="3" t="s">
        <v>569</v>
      </c>
      <c r="D319" s="3" t="s">
        <v>333</v>
      </c>
      <c r="E319" s="3" t="s">
        <v>87</v>
      </c>
      <c r="F319" s="3" t="s">
        <v>568</v>
      </c>
      <c r="G319" s="3" t="s">
        <v>541</v>
      </c>
      <c r="H319" s="4"/>
      <c r="I319" s="4">
        <f t="shared" si="25"/>
        <v>0</v>
      </c>
      <c r="J319" s="4"/>
      <c r="K319" s="4">
        <f t="shared" si="20"/>
        <v>0</v>
      </c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">
      <c r="A320" s="1"/>
      <c r="B320" s="2" t="s">
        <v>303</v>
      </c>
      <c r="C320" s="3" t="s">
        <v>569</v>
      </c>
      <c r="D320" s="3" t="s">
        <v>333</v>
      </c>
      <c r="E320" s="3" t="s">
        <v>87</v>
      </c>
      <c r="F320" s="3" t="s">
        <v>568</v>
      </c>
      <c r="G320" s="3" t="s">
        <v>541</v>
      </c>
      <c r="H320" s="4"/>
      <c r="I320" s="4">
        <f t="shared" si="25"/>
        <v>0</v>
      </c>
      <c r="J320" s="4"/>
      <c r="K320" s="4">
        <f t="shared" si="20"/>
        <v>0</v>
      </c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">
      <c r="A321" s="1"/>
      <c r="B321" s="2" t="s">
        <v>94</v>
      </c>
      <c r="C321" s="3" t="s">
        <v>569</v>
      </c>
      <c r="D321" s="3" t="s">
        <v>333</v>
      </c>
      <c r="E321" s="3" t="s">
        <v>87</v>
      </c>
      <c r="F321" s="3" t="s">
        <v>568</v>
      </c>
      <c r="G321" s="3" t="s">
        <v>541</v>
      </c>
      <c r="H321" s="4"/>
      <c r="I321" s="4">
        <f t="shared" si="25"/>
        <v>0</v>
      </c>
      <c r="J321" s="4"/>
      <c r="K321" s="4">
        <f t="shared" si="20"/>
        <v>0</v>
      </c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">
      <c r="A322" s="1"/>
      <c r="B322" s="2" t="s">
        <v>108</v>
      </c>
      <c r="C322" s="3" t="s">
        <v>570</v>
      </c>
      <c r="D322" s="3" t="s">
        <v>292</v>
      </c>
      <c r="E322" s="3" t="s">
        <v>571</v>
      </c>
      <c r="F322" s="3" t="s">
        <v>568</v>
      </c>
      <c r="G322" s="3" t="s">
        <v>541</v>
      </c>
      <c r="H322" s="4"/>
      <c r="I322" s="4">
        <f t="shared" si="25"/>
        <v>0</v>
      </c>
      <c r="J322" s="4"/>
      <c r="K322" s="4">
        <f t="shared" si="20"/>
        <v>0</v>
      </c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">
      <c r="A323" s="1"/>
      <c r="B323" s="2" t="s">
        <v>88</v>
      </c>
      <c r="C323" s="3" t="s">
        <v>570</v>
      </c>
      <c r="D323" s="3" t="s">
        <v>292</v>
      </c>
      <c r="E323" s="3" t="s">
        <v>571</v>
      </c>
      <c r="F323" s="3" t="s">
        <v>568</v>
      </c>
      <c r="G323" s="3" t="s">
        <v>541</v>
      </c>
      <c r="H323" s="4"/>
      <c r="I323" s="4">
        <f t="shared" si="25"/>
        <v>0</v>
      </c>
      <c r="J323" s="4"/>
      <c r="K323" s="4">
        <f t="shared" si="20"/>
        <v>0</v>
      </c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">
      <c r="A324" s="1"/>
      <c r="B324" s="2" t="s">
        <v>303</v>
      </c>
      <c r="C324" s="3" t="s">
        <v>570</v>
      </c>
      <c r="D324" s="3" t="s">
        <v>292</v>
      </c>
      <c r="E324" s="3" t="s">
        <v>571</v>
      </c>
      <c r="F324" s="3" t="s">
        <v>568</v>
      </c>
      <c r="G324" s="3" t="s">
        <v>541</v>
      </c>
      <c r="H324" s="4"/>
      <c r="I324" s="4">
        <f t="shared" si="25"/>
        <v>0</v>
      </c>
      <c r="J324" s="4"/>
      <c r="K324" s="4">
        <f t="shared" si="20"/>
        <v>0</v>
      </c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 x14ac:dyDescent="0.2">
      <c r="A325" s="1"/>
      <c r="B325" s="2" t="s">
        <v>94</v>
      </c>
      <c r="C325" s="3" t="s">
        <v>570</v>
      </c>
      <c r="D325" s="3" t="s">
        <v>292</v>
      </c>
      <c r="E325" s="3" t="s">
        <v>571</v>
      </c>
      <c r="F325" s="3" t="s">
        <v>568</v>
      </c>
      <c r="G325" s="3" t="s">
        <v>541</v>
      </c>
      <c r="H325" s="4"/>
      <c r="I325" s="4">
        <f t="shared" si="25"/>
        <v>0</v>
      </c>
      <c r="J325" s="4"/>
      <c r="K325" s="4">
        <f t="shared" si="20"/>
        <v>0</v>
      </c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 x14ac:dyDescent="0.2">
      <c r="A326" s="1"/>
      <c r="B326" s="2" t="s">
        <v>117</v>
      </c>
      <c r="C326" s="3" t="s">
        <v>572</v>
      </c>
      <c r="D326" s="3" t="s">
        <v>116</v>
      </c>
      <c r="E326" s="3" t="s">
        <v>79</v>
      </c>
      <c r="F326" s="3" t="s">
        <v>568</v>
      </c>
      <c r="G326" s="3" t="s">
        <v>541</v>
      </c>
      <c r="H326" s="4"/>
      <c r="I326" s="4">
        <f t="shared" si="25"/>
        <v>0</v>
      </c>
      <c r="J326" s="4"/>
      <c r="K326" s="4">
        <f t="shared" si="20"/>
        <v>0</v>
      </c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 x14ac:dyDescent="0.2">
      <c r="A327" s="1"/>
      <c r="B327" s="2" t="s">
        <v>88</v>
      </c>
      <c r="C327" s="3" t="s">
        <v>572</v>
      </c>
      <c r="D327" s="3" t="s">
        <v>116</v>
      </c>
      <c r="E327" s="3" t="s">
        <v>79</v>
      </c>
      <c r="F327" s="3" t="s">
        <v>568</v>
      </c>
      <c r="G327" s="3" t="s">
        <v>541</v>
      </c>
      <c r="H327" s="4"/>
      <c r="I327" s="4">
        <f t="shared" si="25"/>
        <v>0</v>
      </c>
      <c r="J327" s="4"/>
      <c r="K327" s="4">
        <f t="shared" si="20"/>
        <v>0</v>
      </c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 x14ac:dyDescent="0.2">
      <c r="A328" s="1"/>
      <c r="B328" s="2" t="s">
        <v>303</v>
      </c>
      <c r="C328" s="3" t="s">
        <v>572</v>
      </c>
      <c r="D328" s="3" t="s">
        <v>116</v>
      </c>
      <c r="E328" s="3" t="s">
        <v>79</v>
      </c>
      <c r="F328" s="3" t="s">
        <v>568</v>
      </c>
      <c r="G328" s="3" t="s">
        <v>541</v>
      </c>
      <c r="H328" s="4"/>
      <c r="I328" s="4">
        <f t="shared" si="25"/>
        <v>0</v>
      </c>
      <c r="J328" s="4"/>
      <c r="K328" s="4">
        <f t="shared" si="20"/>
        <v>0</v>
      </c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">
      <c r="A329" s="1"/>
      <c r="B329" s="2" t="s">
        <v>94</v>
      </c>
      <c r="C329" s="3" t="s">
        <v>572</v>
      </c>
      <c r="D329" s="3" t="s">
        <v>116</v>
      </c>
      <c r="E329" s="3" t="s">
        <v>79</v>
      </c>
      <c r="F329" s="3" t="s">
        <v>568</v>
      </c>
      <c r="G329" s="3" t="s">
        <v>541</v>
      </c>
      <c r="H329" s="4"/>
      <c r="I329" s="4">
        <f t="shared" si="25"/>
        <v>0</v>
      </c>
      <c r="J329" s="4"/>
      <c r="K329" s="4">
        <f t="shared" si="20"/>
        <v>0</v>
      </c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 x14ac:dyDescent="0.2">
      <c r="A330" s="1"/>
      <c r="B330" s="2" t="s">
        <v>108</v>
      </c>
      <c r="C330" s="3" t="s">
        <v>573</v>
      </c>
      <c r="D330" s="3" t="s">
        <v>574</v>
      </c>
      <c r="E330" s="3" t="s">
        <v>575</v>
      </c>
      <c r="F330" s="3" t="s">
        <v>568</v>
      </c>
      <c r="G330" s="3" t="s">
        <v>541</v>
      </c>
      <c r="H330" s="4"/>
      <c r="I330" s="4">
        <f t="shared" si="25"/>
        <v>0</v>
      </c>
      <c r="J330" s="4"/>
      <c r="K330" s="4">
        <f t="shared" si="20"/>
        <v>0</v>
      </c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 x14ac:dyDescent="0.2">
      <c r="A331" s="1"/>
      <c r="B331" s="2" t="s">
        <v>88</v>
      </c>
      <c r="C331" s="3" t="s">
        <v>573</v>
      </c>
      <c r="D331" s="3" t="s">
        <v>574</v>
      </c>
      <c r="E331" s="3" t="s">
        <v>575</v>
      </c>
      <c r="F331" s="3" t="s">
        <v>568</v>
      </c>
      <c r="G331" s="3" t="s">
        <v>541</v>
      </c>
      <c r="H331" s="4"/>
      <c r="I331" s="4">
        <f t="shared" si="25"/>
        <v>0</v>
      </c>
      <c r="J331" s="4"/>
      <c r="K331" s="4">
        <f t="shared" si="20"/>
        <v>0</v>
      </c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 x14ac:dyDescent="0.2">
      <c r="A332" s="1"/>
      <c r="B332" s="2" t="s">
        <v>303</v>
      </c>
      <c r="C332" s="3" t="s">
        <v>573</v>
      </c>
      <c r="D332" s="3" t="s">
        <v>574</v>
      </c>
      <c r="E332" s="3" t="s">
        <v>575</v>
      </c>
      <c r="F332" s="3" t="s">
        <v>568</v>
      </c>
      <c r="G332" s="3" t="s">
        <v>541</v>
      </c>
      <c r="H332" s="4"/>
      <c r="I332" s="4">
        <f t="shared" si="25"/>
        <v>0</v>
      </c>
      <c r="J332" s="4"/>
      <c r="K332" s="4">
        <f t="shared" si="20"/>
        <v>0</v>
      </c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 x14ac:dyDescent="0.2">
      <c r="A333" s="1"/>
      <c r="B333" s="2" t="s">
        <v>94</v>
      </c>
      <c r="C333" s="3" t="s">
        <v>573</v>
      </c>
      <c r="D333" s="3" t="s">
        <v>574</v>
      </c>
      <c r="E333" s="3" t="s">
        <v>575</v>
      </c>
      <c r="F333" s="3" t="s">
        <v>568</v>
      </c>
      <c r="G333" s="3" t="s">
        <v>541</v>
      </c>
      <c r="H333" s="4"/>
      <c r="I333" s="4">
        <f t="shared" si="25"/>
        <v>0</v>
      </c>
      <c r="J333" s="4"/>
      <c r="K333" s="4">
        <f t="shared" si="20"/>
        <v>0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 x14ac:dyDescent="0.2">
      <c r="A334" s="1">
        <v>1457</v>
      </c>
      <c r="B334" s="13" t="s">
        <v>261</v>
      </c>
      <c r="C334" s="14" t="s">
        <v>576</v>
      </c>
      <c r="D334" s="14" t="s">
        <v>139</v>
      </c>
      <c r="E334" s="14" t="s">
        <v>40</v>
      </c>
      <c r="F334" s="14" t="s">
        <v>577</v>
      </c>
      <c r="G334" s="14" t="s">
        <v>541</v>
      </c>
      <c r="H334" s="4"/>
      <c r="I334" s="4">
        <f t="shared" ref="I334:I336" si="26">H334*2300</f>
        <v>0</v>
      </c>
      <c r="J334" s="4"/>
      <c r="K334" s="4">
        <f t="shared" si="20"/>
        <v>0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 x14ac:dyDescent="0.2">
      <c r="A335" s="1">
        <v>1903</v>
      </c>
      <c r="B335" s="13" t="s">
        <v>277</v>
      </c>
      <c r="C335" s="14" t="s">
        <v>576</v>
      </c>
      <c r="D335" s="14" t="s">
        <v>139</v>
      </c>
      <c r="E335" s="14" t="s">
        <v>40</v>
      </c>
      <c r="F335" s="14" t="s">
        <v>577</v>
      </c>
      <c r="G335" s="14" t="s">
        <v>541</v>
      </c>
      <c r="H335" s="4"/>
      <c r="I335" s="4">
        <f t="shared" si="26"/>
        <v>0</v>
      </c>
      <c r="J335" s="4"/>
      <c r="K335" s="4">
        <f t="shared" si="20"/>
        <v>0</v>
      </c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 x14ac:dyDescent="0.2">
      <c r="A336" s="1">
        <v>2155</v>
      </c>
      <c r="B336" s="13" t="s">
        <v>281</v>
      </c>
      <c r="C336" s="14" t="s">
        <v>576</v>
      </c>
      <c r="D336" s="14" t="s">
        <v>139</v>
      </c>
      <c r="E336" s="14" t="s">
        <v>40</v>
      </c>
      <c r="F336" s="14" t="s">
        <v>577</v>
      </c>
      <c r="G336" s="14" t="s">
        <v>541</v>
      </c>
      <c r="H336" s="4"/>
      <c r="I336" s="4">
        <f t="shared" si="26"/>
        <v>0</v>
      </c>
      <c r="J336" s="4"/>
      <c r="K336" s="4">
        <f t="shared" si="20"/>
        <v>0</v>
      </c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 x14ac:dyDescent="0.2">
      <c r="A337" s="1"/>
      <c r="B337" s="2" t="s">
        <v>297</v>
      </c>
      <c r="C337" s="3" t="s">
        <v>578</v>
      </c>
      <c r="D337" s="3" t="s">
        <v>272</v>
      </c>
      <c r="E337" s="3" t="s">
        <v>424</v>
      </c>
      <c r="F337" s="3" t="s">
        <v>579</v>
      </c>
      <c r="G337" s="3" t="s">
        <v>541</v>
      </c>
      <c r="H337" s="4"/>
      <c r="I337" s="4">
        <f t="shared" ref="I337:I350" si="27">H337*1800</f>
        <v>0</v>
      </c>
      <c r="J337" s="4"/>
      <c r="K337" s="4">
        <f t="shared" si="20"/>
        <v>0</v>
      </c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 x14ac:dyDescent="0.2">
      <c r="A338" s="1"/>
      <c r="B338" s="2" t="s">
        <v>300</v>
      </c>
      <c r="C338" s="3" t="s">
        <v>578</v>
      </c>
      <c r="D338" s="3" t="s">
        <v>272</v>
      </c>
      <c r="E338" s="3" t="s">
        <v>424</v>
      </c>
      <c r="F338" s="3" t="s">
        <v>579</v>
      </c>
      <c r="G338" s="3" t="s">
        <v>541</v>
      </c>
      <c r="H338" s="4"/>
      <c r="I338" s="4">
        <f t="shared" si="27"/>
        <v>0</v>
      </c>
      <c r="J338" s="4"/>
      <c r="K338" s="4">
        <f t="shared" si="20"/>
        <v>0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 x14ac:dyDescent="0.2">
      <c r="A339" s="1"/>
      <c r="B339" s="2" t="s">
        <v>108</v>
      </c>
      <c r="C339" s="3" t="s">
        <v>578</v>
      </c>
      <c r="D339" s="3" t="s">
        <v>272</v>
      </c>
      <c r="E339" s="3" t="s">
        <v>424</v>
      </c>
      <c r="F339" s="3" t="s">
        <v>579</v>
      </c>
      <c r="G339" s="3" t="s">
        <v>541</v>
      </c>
      <c r="H339" s="4"/>
      <c r="I339" s="4">
        <f t="shared" si="27"/>
        <v>0</v>
      </c>
      <c r="J339" s="4"/>
      <c r="K339" s="4">
        <f t="shared" si="20"/>
        <v>0</v>
      </c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 x14ac:dyDescent="0.2">
      <c r="A340" s="1"/>
      <c r="B340" s="2" t="s">
        <v>232</v>
      </c>
      <c r="C340" s="3" t="s">
        <v>580</v>
      </c>
      <c r="D340" s="3" t="s">
        <v>581</v>
      </c>
      <c r="E340" s="3" t="s">
        <v>259</v>
      </c>
      <c r="F340" s="3" t="s">
        <v>579</v>
      </c>
      <c r="G340" s="3" t="s">
        <v>541</v>
      </c>
      <c r="H340" s="4"/>
      <c r="I340" s="4">
        <f t="shared" si="27"/>
        <v>0</v>
      </c>
      <c r="J340" s="4"/>
      <c r="K340" s="4">
        <f t="shared" si="20"/>
        <v>0</v>
      </c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 x14ac:dyDescent="0.2">
      <c r="A341" s="1"/>
      <c r="B341" s="2" t="s">
        <v>296</v>
      </c>
      <c r="C341" s="3" t="s">
        <v>580</v>
      </c>
      <c r="D341" s="3" t="s">
        <v>581</v>
      </c>
      <c r="E341" s="3" t="s">
        <v>259</v>
      </c>
      <c r="F341" s="3" t="s">
        <v>579</v>
      </c>
      <c r="G341" s="3" t="s">
        <v>541</v>
      </c>
      <c r="H341" s="4"/>
      <c r="I341" s="4">
        <f t="shared" si="27"/>
        <v>0</v>
      </c>
      <c r="J341" s="4"/>
      <c r="K341" s="4">
        <f t="shared" si="20"/>
        <v>0</v>
      </c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 x14ac:dyDescent="0.2">
      <c r="A342" s="1"/>
      <c r="B342" s="2" t="s">
        <v>108</v>
      </c>
      <c r="C342" s="3" t="s">
        <v>580</v>
      </c>
      <c r="D342" s="3" t="s">
        <v>581</v>
      </c>
      <c r="E342" s="3" t="s">
        <v>259</v>
      </c>
      <c r="F342" s="3" t="s">
        <v>579</v>
      </c>
      <c r="G342" s="3" t="s">
        <v>541</v>
      </c>
      <c r="H342" s="4"/>
      <c r="I342" s="4">
        <f t="shared" si="27"/>
        <v>0</v>
      </c>
      <c r="J342" s="4"/>
      <c r="K342" s="4">
        <f t="shared" si="20"/>
        <v>0</v>
      </c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 x14ac:dyDescent="0.2">
      <c r="A343" s="1"/>
      <c r="B343" s="2" t="s">
        <v>307</v>
      </c>
      <c r="C343" s="3" t="s">
        <v>582</v>
      </c>
      <c r="D343" s="3" t="s">
        <v>309</v>
      </c>
      <c r="E343" s="3" t="s">
        <v>125</v>
      </c>
      <c r="F343" s="3" t="s">
        <v>579</v>
      </c>
      <c r="G343" s="3" t="s">
        <v>541</v>
      </c>
      <c r="H343" s="4"/>
      <c r="I343" s="4">
        <f t="shared" si="27"/>
        <v>0</v>
      </c>
      <c r="J343" s="4"/>
      <c r="K343" s="4">
        <f t="shared" si="20"/>
        <v>0</v>
      </c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 x14ac:dyDescent="0.2">
      <c r="A344" s="1"/>
      <c r="B344" s="2" t="s">
        <v>311</v>
      </c>
      <c r="C344" s="3" t="s">
        <v>582</v>
      </c>
      <c r="D344" s="3" t="s">
        <v>309</v>
      </c>
      <c r="E344" s="3" t="s">
        <v>125</v>
      </c>
      <c r="F344" s="3" t="s">
        <v>579</v>
      </c>
      <c r="G344" s="3" t="s">
        <v>541</v>
      </c>
      <c r="H344" s="4"/>
      <c r="I344" s="4">
        <f t="shared" si="27"/>
        <v>0</v>
      </c>
      <c r="J344" s="4"/>
      <c r="K344" s="4">
        <f t="shared" si="20"/>
        <v>0</v>
      </c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 x14ac:dyDescent="0.2">
      <c r="A345" s="1"/>
      <c r="B345" s="2" t="s">
        <v>108</v>
      </c>
      <c r="C345" s="3" t="s">
        <v>582</v>
      </c>
      <c r="D345" s="3" t="s">
        <v>309</v>
      </c>
      <c r="E345" s="3" t="s">
        <v>125</v>
      </c>
      <c r="F345" s="3" t="s">
        <v>579</v>
      </c>
      <c r="G345" s="3" t="s">
        <v>541</v>
      </c>
      <c r="H345" s="4"/>
      <c r="I345" s="4">
        <f t="shared" si="27"/>
        <v>0</v>
      </c>
      <c r="J345" s="4"/>
      <c r="K345" s="4">
        <f t="shared" si="20"/>
        <v>0</v>
      </c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 x14ac:dyDescent="0.2">
      <c r="A346" s="1"/>
      <c r="B346" s="2" t="s">
        <v>121</v>
      </c>
      <c r="C346" s="3" t="s">
        <v>583</v>
      </c>
      <c r="D346" s="3" t="s">
        <v>474</v>
      </c>
      <c r="E346" s="3" t="s">
        <v>348</v>
      </c>
      <c r="F346" s="3" t="s">
        <v>579</v>
      </c>
      <c r="G346" s="3" t="s">
        <v>541</v>
      </c>
      <c r="H346" s="4"/>
      <c r="I346" s="4">
        <f t="shared" si="27"/>
        <v>0</v>
      </c>
      <c r="J346" s="4"/>
      <c r="K346" s="4">
        <f t="shared" si="20"/>
        <v>0</v>
      </c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 x14ac:dyDescent="0.2">
      <c r="A347" s="1"/>
      <c r="B347" s="2" t="s">
        <v>315</v>
      </c>
      <c r="C347" s="3" t="s">
        <v>583</v>
      </c>
      <c r="D347" s="3" t="s">
        <v>474</v>
      </c>
      <c r="E347" s="3" t="s">
        <v>348</v>
      </c>
      <c r="F347" s="3" t="s">
        <v>579</v>
      </c>
      <c r="G347" s="3" t="s">
        <v>541</v>
      </c>
      <c r="H347" s="4"/>
      <c r="I347" s="4">
        <f t="shared" si="27"/>
        <v>0</v>
      </c>
      <c r="J347" s="4"/>
      <c r="K347" s="4">
        <f t="shared" si="20"/>
        <v>0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 x14ac:dyDescent="0.2">
      <c r="A348" s="1"/>
      <c r="B348" s="2" t="s">
        <v>307</v>
      </c>
      <c r="C348" s="3" t="s">
        <v>584</v>
      </c>
      <c r="D348" s="3" t="s">
        <v>58</v>
      </c>
      <c r="E348" s="3" t="s">
        <v>306</v>
      </c>
      <c r="F348" s="3" t="s">
        <v>579</v>
      </c>
      <c r="G348" s="3" t="s">
        <v>541</v>
      </c>
      <c r="H348" s="4"/>
      <c r="I348" s="4">
        <f t="shared" si="27"/>
        <v>0</v>
      </c>
      <c r="J348" s="4"/>
      <c r="K348" s="4">
        <f t="shared" si="20"/>
        <v>0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 x14ac:dyDescent="0.2">
      <c r="A349" s="1"/>
      <c r="B349" s="2" t="s">
        <v>311</v>
      </c>
      <c r="C349" s="3" t="s">
        <v>584</v>
      </c>
      <c r="D349" s="3" t="s">
        <v>58</v>
      </c>
      <c r="E349" s="3" t="s">
        <v>306</v>
      </c>
      <c r="F349" s="3" t="s">
        <v>579</v>
      </c>
      <c r="G349" s="3" t="s">
        <v>541</v>
      </c>
      <c r="H349" s="4"/>
      <c r="I349" s="4">
        <f t="shared" si="27"/>
        <v>0</v>
      </c>
      <c r="J349" s="4"/>
      <c r="K349" s="4">
        <f t="shared" si="20"/>
        <v>0</v>
      </c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 x14ac:dyDescent="0.2">
      <c r="A350" s="1"/>
      <c r="B350" s="2" t="s">
        <v>108</v>
      </c>
      <c r="C350" s="3" t="s">
        <v>584</v>
      </c>
      <c r="D350" s="3" t="s">
        <v>58</v>
      </c>
      <c r="E350" s="3" t="s">
        <v>306</v>
      </c>
      <c r="F350" s="3" t="s">
        <v>579</v>
      </c>
      <c r="G350" s="3" t="s">
        <v>541</v>
      </c>
      <c r="H350" s="4"/>
      <c r="I350" s="4">
        <f t="shared" si="27"/>
        <v>0</v>
      </c>
      <c r="J350" s="4"/>
      <c r="K350" s="4">
        <f t="shared" si="20"/>
        <v>0</v>
      </c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 x14ac:dyDescent="0.2">
      <c r="A351" s="1">
        <v>1575</v>
      </c>
      <c r="B351" s="13" t="s">
        <v>585</v>
      </c>
      <c r="C351" s="14" t="s">
        <v>586</v>
      </c>
      <c r="D351" s="14" t="s">
        <v>513</v>
      </c>
      <c r="E351" s="14" t="s">
        <v>587</v>
      </c>
      <c r="F351" s="14" t="s">
        <v>588</v>
      </c>
      <c r="G351" s="14" t="s">
        <v>541</v>
      </c>
      <c r="H351" s="4">
        <v>11</v>
      </c>
      <c r="I351" s="4">
        <f t="shared" ref="I351:I353" si="28">H351*2300</f>
        <v>25300</v>
      </c>
      <c r="J351" s="4">
        <v>2</v>
      </c>
      <c r="K351" s="4">
        <f>J351*4000+1300</f>
        <v>9300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">
      <c r="A352" s="1">
        <v>2331</v>
      </c>
      <c r="B352" s="13" t="s">
        <v>285</v>
      </c>
      <c r="C352" s="14" t="s">
        <v>586</v>
      </c>
      <c r="D352" s="14" t="s">
        <v>513</v>
      </c>
      <c r="E352" s="14" t="s">
        <v>587</v>
      </c>
      <c r="F352" s="14" t="s">
        <v>588</v>
      </c>
      <c r="G352" s="14" t="s">
        <v>541</v>
      </c>
      <c r="H352" s="4"/>
      <c r="I352" s="4">
        <f t="shared" si="28"/>
        <v>0</v>
      </c>
      <c r="J352" s="4"/>
      <c r="K352" s="4">
        <f t="shared" ref="K352:K474" si="29">J352*4000</f>
        <v>0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">
      <c r="A353" s="1">
        <v>2581</v>
      </c>
      <c r="B353" s="13" t="s">
        <v>287</v>
      </c>
      <c r="C353" s="14" t="s">
        <v>586</v>
      </c>
      <c r="D353" s="14" t="s">
        <v>513</v>
      </c>
      <c r="E353" s="14" t="s">
        <v>587</v>
      </c>
      <c r="F353" s="14" t="s">
        <v>588</v>
      </c>
      <c r="G353" s="14" t="s">
        <v>541</v>
      </c>
      <c r="H353" s="4"/>
      <c r="I353" s="4">
        <f t="shared" si="28"/>
        <v>0</v>
      </c>
      <c r="J353" s="4"/>
      <c r="K353" s="4">
        <f t="shared" si="29"/>
        <v>0</v>
      </c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">
      <c r="A354" s="1"/>
      <c r="B354" s="2" t="s">
        <v>102</v>
      </c>
      <c r="C354" s="3" t="s">
        <v>589</v>
      </c>
      <c r="D354" s="3" t="s">
        <v>116</v>
      </c>
      <c r="E354" s="3" t="s">
        <v>87</v>
      </c>
      <c r="F354" s="3" t="s">
        <v>590</v>
      </c>
      <c r="G354" s="3" t="s">
        <v>541</v>
      </c>
      <c r="H354" s="4"/>
      <c r="I354" s="4">
        <f t="shared" ref="I354:I358" si="30">H354*1800</f>
        <v>0</v>
      </c>
      <c r="J354" s="4"/>
      <c r="K354" s="4">
        <f t="shared" si="29"/>
        <v>0</v>
      </c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">
      <c r="A355" s="1"/>
      <c r="B355" s="2" t="s">
        <v>102</v>
      </c>
      <c r="C355" s="3" t="s">
        <v>591</v>
      </c>
      <c r="D355" s="3" t="s">
        <v>78</v>
      </c>
      <c r="E355" s="3" t="s">
        <v>310</v>
      </c>
      <c r="F355" s="3" t="s">
        <v>590</v>
      </c>
      <c r="G355" s="3" t="s">
        <v>541</v>
      </c>
      <c r="H355" s="4"/>
      <c r="I355" s="4">
        <f t="shared" si="30"/>
        <v>0</v>
      </c>
      <c r="J355" s="4"/>
      <c r="K355" s="4">
        <f t="shared" si="29"/>
        <v>0</v>
      </c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 x14ac:dyDescent="0.2">
      <c r="A356" s="1"/>
      <c r="B356" s="2" t="s">
        <v>232</v>
      </c>
      <c r="C356" s="3" t="s">
        <v>592</v>
      </c>
      <c r="D356" s="3" t="s">
        <v>593</v>
      </c>
      <c r="E356" s="3" t="s">
        <v>357</v>
      </c>
      <c r="F356" s="3" t="s">
        <v>594</v>
      </c>
      <c r="G356" s="3" t="s">
        <v>541</v>
      </c>
      <c r="H356" s="4"/>
      <c r="I356" s="4">
        <f t="shared" si="30"/>
        <v>0</v>
      </c>
      <c r="J356" s="4"/>
      <c r="K356" s="4">
        <f t="shared" si="29"/>
        <v>0</v>
      </c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 x14ac:dyDescent="0.2">
      <c r="A357" s="1"/>
      <c r="B357" s="2" t="s">
        <v>303</v>
      </c>
      <c r="C357" s="3" t="s">
        <v>592</v>
      </c>
      <c r="D357" s="3" t="s">
        <v>593</v>
      </c>
      <c r="E357" s="3" t="s">
        <v>357</v>
      </c>
      <c r="F357" s="3" t="s">
        <v>594</v>
      </c>
      <c r="G357" s="3" t="s">
        <v>541</v>
      </c>
      <c r="H357" s="4"/>
      <c r="I357" s="4">
        <f t="shared" si="30"/>
        <v>0</v>
      </c>
      <c r="J357" s="4"/>
      <c r="K357" s="4">
        <f t="shared" si="29"/>
        <v>0</v>
      </c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 x14ac:dyDescent="0.2">
      <c r="A358" s="1"/>
      <c r="B358" s="2" t="s">
        <v>94</v>
      </c>
      <c r="C358" s="3" t="s">
        <v>592</v>
      </c>
      <c r="D358" s="3" t="s">
        <v>593</v>
      </c>
      <c r="E358" s="3" t="s">
        <v>357</v>
      </c>
      <c r="F358" s="3" t="s">
        <v>594</v>
      </c>
      <c r="G358" s="3" t="s">
        <v>541</v>
      </c>
      <c r="H358" s="4"/>
      <c r="I358" s="4">
        <f t="shared" si="30"/>
        <v>0</v>
      </c>
      <c r="J358" s="4"/>
      <c r="K358" s="4">
        <f t="shared" si="29"/>
        <v>0</v>
      </c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 x14ac:dyDescent="0.2">
      <c r="A359" s="1">
        <v>77</v>
      </c>
      <c r="B359" s="13" t="s">
        <v>226</v>
      </c>
      <c r="C359" s="14" t="s">
        <v>379</v>
      </c>
      <c r="D359" s="14" t="s">
        <v>325</v>
      </c>
      <c r="E359" s="14" t="s">
        <v>79</v>
      </c>
      <c r="F359" s="14" t="s">
        <v>594</v>
      </c>
      <c r="G359" s="14" t="s">
        <v>541</v>
      </c>
      <c r="H359" s="4"/>
      <c r="I359" s="4">
        <f>H359*2300</f>
        <v>0</v>
      </c>
      <c r="J359" s="4"/>
      <c r="K359" s="4">
        <f t="shared" si="29"/>
        <v>0</v>
      </c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 x14ac:dyDescent="0.2">
      <c r="A360" s="1"/>
      <c r="B360" s="2" t="s">
        <v>121</v>
      </c>
      <c r="C360" s="3" t="s">
        <v>595</v>
      </c>
      <c r="D360" s="3" t="s">
        <v>468</v>
      </c>
      <c r="E360" s="3" t="s">
        <v>596</v>
      </c>
      <c r="F360" s="3" t="s">
        <v>597</v>
      </c>
      <c r="G360" s="3" t="s">
        <v>541</v>
      </c>
      <c r="H360" s="4"/>
      <c r="I360" s="4">
        <f t="shared" ref="I360:I361" si="31">H360*1800</f>
        <v>0</v>
      </c>
      <c r="J360" s="4"/>
      <c r="K360" s="4">
        <f t="shared" si="29"/>
        <v>0</v>
      </c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 x14ac:dyDescent="0.2">
      <c r="A361" s="1"/>
      <c r="B361" s="2" t="s">
        <v>315</v>
      </c>
      <c r="C361" s="3" t="s">
        <v>595</v>
      </c>
      <c r="D361" s="3" t="s">
        <v>468</v>
      </c>
      <c r="E361" s="3" t="s">
        <v>596</v>
      </c>
      <c r="F361" s="3" t="s">
        <v>597</v>
      </c>
      <c r="G361" s="3" t="s">
        <v>541</v>
      </c>
      <c r="H361" s="4"/>
      <c r="I361" s="4">
        <f t="shared" si="31"/>
        <v>0</v>
      </c>
      <c r="J361" s="4"/>
      <c r="K361" s="4">
        <f t="shared" si="29"/>
        <v>0</v>
      </c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 x14ac:dyDescent="0.2">
      <c r="A362" s="1">
        <v>1643</v>
      </c>
      <c r="B362" s="13" t="s">
        <v>267</v>
      </c>
      <c r="C362" s="14" t="s">
        <v>598</v>
      </c>
      <c r="D362" s="14" t="s">
        <v>236</v>
      </c>
      <c r="E362" s="14" t="s">
        <v>306</v>
      </c>
      <c r="F362" s="14" t="s">
        <v>597</v>
      </c>
      <c r="G362" s="14" t="s">
        <v>541</v>
      </c>
      <c r="H362" s="4"/>
      <c r="I362" s="4">
        <f t="shared" ref="I362:I364" si="32">H362*2300</f>
        <v>0</v>
      </c>
      <c r="J362" s="4"/>
      <c r="K362" s="4">
        <f t="shared" si="29"/>
        <v>0</v>
      </c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 x14ac:dyDescent="0.2">
      <c r="A363" s="1">
        <v>2213</v>
      </c>
      <c r="B363" s="13" t="s">
        <v>282</v>
      </c>
      <c r="C363" s="14" t="s">
        <v>598</v>
      </c>
      <c r="D363" s="14" t="s">
        <v>236</v>
      </c>
      <c r="E363" s="14" t="s">
        <v>306</v>
      </c>
      <c r="F363" s="14" t="s">
        <v>597</v>
      </c>
      <c r="G363" s="14" t="s">
        <v>541</v>
      </c>
      <c r="H363" s="4"/>
      <c r="I363" s="4">
        <f t="shared" si="32"/>
        <v>0</v>
      </c>
      <c r="J363" s="4"/>
      <c r="K363" s="4">
        <f t="shared" si="29"/>
        <v>0</v>
      </c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 x14ac:dyDescent="0.2">
      <c r="A364" s="1">
        <v>2795</v>
      </c>
      <c r="B364" s="13" t="s">
        <v>288</v>
      </c>
      <c r="C364" s="14" t="s">
        <v>598</v>
      </c>
      <c r="D364" s="14" t="s">
        <v>236</v>
      </c>
      <c r="E364" s="14" t="s">
        <v>306</v>
      </c>
      <c r="F364" s="14" t="s">
        <v>597</v>
      </c>
      <c r="G364" s="14" t="s">
        <v>541</v>
      </c>
      <c r="H364" s="4"/>
      <c r="I364" s="4">
        <f t="shared" si="32"/>
        <v>0</v>
      </c>
      <c r="J364" s="4"/>
      <c r="K364" s="4">
        <f t="shared" si="29"/>
        <v>0</v>
      </c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 x14ac:dyDescent="0.2">
      <c r="A365" s="1"/>
      <c r="B365" s="2" t="s">
        <v>316</v>
      </c>
      <c r="C365" s="3" t="s">
        <v>599</v>
      </c>
      <c r="D365" s="3" t="s">
        <v>600</v>
      </c>
      <c r="E365" s="3" t="s">
        <v>348</v>
      </c>
      <c r="F365" s="3" t="s">
        <v>597</v>
      </c>
      <c r="G365" s="3" t="s">
        <v>541</v>
      </c>
      <c r="H365" s="4"/>
      <c r="I365" s="4">
        <f t="shared" ref="I365:I366" si="33">H365*1800</f>
        <v>0</v>
      </c>
      <c r="J365" s="4"/>
      <c r="K365" s="4">
        <f t="shared" si="29"/>
        <v>0</v>
      </c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 x14ac:dyDescent="0.2">
      <c r="A366" s="1"/>
      <c r="B366" s="2" t="s">
        <v>102</v>
      </c>
      <c r="C366" s="3" t="s">
        <v>599</v>
      </c>
      <c r="D366" s="3" t="s">
        <v>600</v>
      </c>
      <c r="E366" s="3" t="s">
        <v>348</v>
      </c>
      <c r="F366" s="3" t="s">
        <v>597</v>
      </c>
      <c r="G366" s="3" t="s">
        <v>541</v>
      </c>
      <c r="H366" s="4"/>
      <c r="I366" s="4">
        <f t="shared" si="33"/>
        <v>0</v>
      </c>
      <c r="J366" s="4"/>
      <c r="K366" s="4">
        <f t="shared" si="29"/>
        <v>0</v>
      </c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 x14ac:dyDescent="0.2">
      <c r="A367" s="1">
        <v>1375</v>
      </c>
      <c r="B367" s="13" t="s">
        <v>601</v>
      </c>
      <c r="C367" s="14" t="s">
        <v>602</v>
      </c>
      <c r="D367" s="14" t="s">
        <v>603</v>
      </c>
      <c r="E367" s="14" t="s">
        <v>306</v>
      </c>
      <c r="F367" s="14" t="s">
        <v>597</v>
      </c>
      <c r="G367" s="14" t="s">
        <v>541</v>
      </c>
      <c r="H367" s="4"/>
      <c r="I367" s="4">
        <f t="shared" ref="I367:I368" si="34">H367*2300</f>
        <v>0</v>
      </c>
      <c r="J367" s="4"/>
      <c r="K367" s="4">
        <f t="shared" si="29"/>
        <v>0</v>
      </c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 x14ac:dyDescent="0.2">
      <c r="A368" s="1">
        <v>1861</v>
      </c>
      <c r="B368" s="13" t="s">
        <v>604</v>
      </c>
      <c r="C368" s="14" t="s">
        <v>602</v>
      </c>
      <c r="D368" s="14" t="s">
        <v>603</v>
      </c>
      <c r="E368" s="14" t="s">
        <v>306</v>
      </c>
      <c r="F368" s="14" t="s">
        <v>597</v>
      </c>
      <c r="G368" s="14" t="s">
        <v>541</v>
      </c>
      <c r="H368" s="4"/>
      <c r="I368" s="4">
        <f t="shared" si="34"/>
        <v>0</v>
      </c>
      <c r="J368" s="4"/>
      <c r="K368" s="4">
        <f t="shared" si="29"/>
        <v>0</v>
      </c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 x14ac:dyDescent="0.2">
      <c r="A369" s="1"/>
      <c r="B369" s="2" t="s">
        <v>297</v>
      </c>
      <c r="C369" s="3" t="s">
        <v>537</v>
      </c>
      <c r="D369" s="3" t="s">
        <v>605</v>
      </c>
      <c r="E369" s="3" t="s">
        <v>134</v>
      </c>
      <c r="F369" s="3" t="s">
        <v>606</v>
      </c>
      <c r="G369" s="3" t="s">
        <v>541</v>
      </c>
      <c r="H369" s="4"/>
      <c r="I369" s="4">
        <f t="shared" ref="I369:I373" si="35">H369*1800</f>
        <v>0</v>
      </c>
      <c r="J369" s="4"/>
      <c r="K369" s="4">
        <f t="shared" si="29"/>
        <v>0</v>
      </c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 x14ac:dyDescent="0.2">
      <c r="A370" s="1"/>
      <c r="B370" s="2" t="s">
        <v>316</v>
      </c>
      <c r="C370" s="3" t="s">
        <v>537</v>
      </c>
      <c r="D370" s="3" t="s">
        <v>605</v>
      </c>
      <c r="E370" s="3" t="s">
        <v>134</v>
      </c>
      <c r="F370" s="3" t="s">
        <v>606</v>
      </c>
      <c r="G370" s="3" t="s">
        <v>541</v>
      </c>
      <c r="H370" s="4"/>
      <c r="I370" s="4">
        <f t="shared" si="35"/>
        <v>0</v>
      </c>
      <c r="J370" s="4"/>
      <c r="K370" s="4">
        <f t="shared" si="29"/>
        <v>0</v>
      </c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 x14ac:dyDescent="0.2">
      <c r="A371" s="1"/>
      <c r="B371" s="2" t="s">
        <v>108</v>
      </c>
      <c r="C371" s="3" t="s">
        <v>537</v>
      </c>
      <c r="D371" s="3" t="s">
        <v>605</v>
      </c>
      <c r="E371" s="3" t="s">
        <v>134</v>
      </c>
      <c r="F371" s="3" t="s">
        <v>606</v>
      </c>
      <c r="G371" s="3" t="s">
        <v>541</v>
      </c>
      <c r="H371" s="4"/>
      <c r="I371" s="4">
        <f t="shared" si="35"/>
        <v>0</v>
      </c>
      <c r="J371" s="4"/>
      <c r="K371" s="4">
        <f t="shared" si="29"/>
        <v>0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 x14ac:dyDescent="0.2">
      <c r="A372" s="1"/>
      <c r="B372" s="2" t="s">
        <v>94</v>
      </c>
      <c r="C372" s="3" t="s">
        <v>301</v>
      </c>
      <c r="D372" s="3" t="s">
        <v>292</v>
      </c>
      <c r="E372" s="3" t="s">
        <v>306</v>
      </c>
      <c r="F372" s="3" t="s">
        <v>607</v>
      </c>
      <c r="G372" s="3" t="s">
        <v>541</v>
      </c>
      <c r="H372" s="4"/>
      <c r="I372" s="4">
        <f t="shared" si="35"/>
        <v>0</v>
      </c>
      <c r="J372" s="4"/>
      <c r="K372" s="4">
        <f t="shared" si="29"/>
        <v>0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 x14ac:dyDescent="0.2">
      <c r="A373" s="1"/>
      <c r="B373" s="2" t="s">
        <v>45</v>
      </c>
      <c r="C373" s="3" t="s">
        <v>608</v>
      </c>
      <c r="D373" s="3" t="s">
        <v>474</v>
      </c>
      <c r="E373" s="3" t="s">
        <v>357</v>
      </c>
      <c r="F373" s="3" t="s">
        <v>609</v>
      </c>
      <c r="G373" s="3" t="s">
        <v>541</v>
      </c>
      <c r="H373" s="4"/>
      <c r="I373" s="4">
        <f t="shared" si="35"/>
        <v>0</v>
      </c>
      <c r="J373" s="4"/>
      <c r="K373" s="4">
        <f t="shared" si="29"/>
        <v>0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 x14ac:dyDescent="0.2">
      <c r="A374" s="1">
        <v>797</v>
      </c>
      <c r="B374" s="13" t="s">
        <v>610</v>
      </c>
      <c r="C374" s="14" t="s">
        <v>611</v>
      </c>
      <c r="D374" s="14" t="s">
        <v>430</v>
      </c>
      <c r="E374" s="14" t="s">
        <v>612</v>
      </c>
      <c r="F374" s="14" t="s">
        <v>609</v>
      </c>
      <c r="G374" s="14" t="s">
        <v>541</v>
      </c>
      <c r="H374" s="4">
        <v>1</v>
      </c>
      <c r="I374" s="4">
        <v>1300</v>
      </c>
      <c r="J374" s="24">
        <v>1</v>
      </c>
      <c r="K374" s="4">
        <f t="shared" si="29"/>
        <v>4000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 x14ac:dyDescent="0.2">
      <c r="A375" s="1">
        <v>393</v>
      </c>
      <c r="B375" s="13" t="s">
        <v>613</v>
      </c>
      <c r="C375" s="14" t="s">
        <v>614</v>
      </c>
      <c r="D375" s="14" t="s">
        <v>615</v>
      </c>
      <c r="E375" s="14" t="s">
        <v>616</v>
      </c>
      <c r="F375" s="14" t="s">
        <v>609</v>
      </c>
      <c r="G375" s="14" t="s">
        <v>541</v>
      </c>
      <c r="H375" s="4"/>
      <c r="I375" s="4">
        <f>H375*2300</f>
        <v>0</v>
      </c>
      <c r="J375" s="4"/>
      <c r="K375" s="4">
        <f t="shared" si="29"/>
        <v>0</v>
      </c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 x14ac:dyDescent="0.2">
      <c r="A376" s="1"/>
      <c r="B376" s="2" t="s">
        <v>323</v>
      </c>
      <c r="C376" s="3" t="s">
        <v>617</v>
      </c>
      <c r="D376" s="3" t="s">
        <v>309</v>
      </c>
      <c r="E376" s="3" t="s">
        <v>618</v>
      </c>
      <c r="F376" s="3" t="s">
        <v>619</v>
      </c>
      <c r="G376" s="3" t="s">
        <v>541</v>
      </c>
      <c r="H376" s="4"/>
      <c r="I376" s="4">
        <f t="shared" ref="I376:I377" si="36">H376*1800</f>
        <v>0</v>
      </c>
      <c r="J376" s="4"/>
      <c r="K376" s="4">
        <f t="shared" si="29"/>
        <v>0</v>
      </c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 x14ac:dyDescent="0.2">
      <c r="A377" s="1"/>
      <c r="B377" s="2" t="s">
        <v>297</v>
      </c>
      <c r="C377" s="3" t="s">
        <v>617</v>
      </c>
      <c r="D377" s="3" t="s">
        <v>309</v>
      </c>
      <c r="E377" s="3" t="s">
        <v>618</v>
      </c>
      <c r="F377" s="3" t="s">
        <v>619</v>
      </c>
      <c r="G377" s="3" t="s">
        <v>541</v>
      </c>
      <c r="H377" s="4"/>
      <c r="I377" s="4">
        <f t="shared" si="36"/>
        <v>0</v>
      </c>
      <c r="J377" s="4"/>
      <c r="K377" s="4">
        <f t="shared" si="29"/>
        <v>0</v>
      </c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 x14ac:dyDescent="0.2">
      <c r="A378" s="1">
        <v>1151</v>
      </c>
      <c r="B378" s="13" t="s">
        <v>433</v>
      </c>
      <c r="C378" s="14" t="s">
        <v>620</v>
      </c>
      <c r="D378" s="14" t="s">
        <v>388</v>
      </c>
      <c r="E378" s="14" t="s">
        <v>348</v>
      </c>
      <c r="F378" s="14" t="s">
        <v>619</v>
      </c>
      <c r="G378" s="14" t="s">
        <v>541</v>
      </c>
      <c r="H378" s="4"/>
      <c r="I378" s="4">
        <f t="shared" ref="I378:I385" si="37">H378*2300</f>
        <v>0</v>
      </c>
      <c r="J378" s="4"/>
      <c r="K378" s="4">
        <f t="shared" si="29"/>
        <v>0</v>
      </c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 x14ac:dyDescent="0.2">
      <c r="A379" s="1">
        <v>1827</v>
      </c>
      <c r="B379" s="13" t="s">
        <v>439</v>
      </c>
      <c r="C379" s="14" t="s">
        <v>620</v>
      </c>
      <c r="D379" s="14" t="s">
        <v>388</v>
      </c>
      <c r="E379" s="14" t="s">
        <v>348</v>
      </c>
      <c r="F379" s="14" t="s">
        <v>619</v>
      </c>
      <c r="G379" s="14" t="s">
        <v>541</v>
      </c>
      <c r="H379" s="4"/>
      <c r="I379" s="4">
        <f t="shared" si="37"/>
        <v>0</v>
      </c>
      <c r="J379" s="4"/>
      <c r="K379" s="4">
        <f t="shared" si="29"/>
        <v>0</v>
      </c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 x14ac:dyDescent="0.2">
      <c r="A380" s="1">
        <v>2273</v>
      </c>
      <c r="B380" s="13" t="s">
        <v>283</v>
      </c>
      <c r="C380" s="14" t="s">
        <v>620</v>
      </c>
      <c r="D380" s="14" t="s">
        <v>388</v>
      </c>
      <c r="E380" s="14" t="s">
        <v>348</v>
      </c>
      <c r="F380" s="14" t="s">
        <v>619</v>
      </c>
      <c r="G380" s="14" t="s">
        <v>541</v>
      </c>
      <c r="H380" s="4"/>
      <c r="I380" s="4">
        <f t="shared" si="37"/>
        <v>0</v>
      </c>
      <c r="J380" s="4"/>
      <c r="K380" s="4">
        <f t="shared" si="29"/>
        <v>0</v>
      </c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 x14ac:dyDescent="0.2">
      <c r="A381" s="1">
        <v>1597</v>
      </c>
      <c r="B381" s="13" t="s">
        <v>264</v>
      </c>
      <c r="C381" s="14" t="s">
        <v>621</v>
      </c>
      <c r="D381" s="14" t="s">
        <v>75</v>
      </c>
      <c r="E381" s="14" t="s">
        <v>622</v>
      </c>
      <c r="F381" s="14" t="s">
        <v>619</v>
      </c>
      <c r="G381" s="14" t="s">
        <v>541</v>
      </c>
      <c r="H381" s="4">
        <v>8</v>
      </c>
      <c r="I381" s="4">
        <f t="shared" si="37"/>
        <v>18400</v>
      </c>
      <c r="J381" s="4">
        <v>3</v>
      </c>
      <c r="K381" s="4">
        <f t="shared" si="29"/>
        <v>12000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 x14ac:dyDescent="0.2">
      <c r="A382" s="1">
        <v>2191</v>
      </c>
      <c r="B382" s="13" t="s">
        <v>282</v>
      </c>
      <c r="C382" s="14" t="s">
        <v>621</v>
      </c>
      <c r="D382" s="14" t="s">
        <v>75</v>
      </c>
      <c r="E382" s="14" t="s">
        <v>622</v>
      </c>
      <c r="F382" s="14" t="s">
        <v>619</v>
      </c>
      <c r="G382" s="14" t="s">
        <v>541</v>
      </c>
      <c r="H382" s="4"/>
      <c r="I382" s="4">
        <f t="shared" si="37"/>
        <v>0</v>
      </c>
      <c r="J382" s="4"/>
      <c r="K382" s="4">
        <f t="shared" si="29"/>
        <v>0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 x14ac:dyDescent="0.2">
      <c r="A383" s="1">
        <v>2765</v>
      </c>
      <c r="B383" s="13" t="s">
        <v>623</v>
      </c>
      <c r="C383" s="14" t="s">
        <v>621</v>
      </c>
      <c r="D383" s="14" t="s">
        <v>75</v>
      </c>
      <c r="E383" s="14" t="s">
        <v>622</v>
      </c>
      <c r="F383" s="14" t="s">
        <v>619</v>
      </c>
      <c r="G383" s="14" t="s">
        <v>541</v>
      </c>
      <c r="H383" s="4"/>
      <c r="I383" s="4">
        <f t="shared" si="37"/>
        <v>0</v>
      </c>
      <c r="J383" s="4"/>
      <c r="K383" s="4">
        <f t="shared" si="29"/>
        <v>0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 x14ac:dyDescent="0.2">
      <c r="A384" s="1">
        <v>995</v>
      </c>
      <c r="B384" s="13" t="s">
        <v>624</v>
      </c>
      <c r="C384" s="14" t="s">
        <v>625</v>
      </c>
      <c r="D384" s="14" t="s">
        <v>350</v>
      </c>
      <c r="E384" s="14" t="s">
        <v>626</v>
      </c>
      <c r="F384" s="14" t="s">
        <v>619</v>
      </c>
      <c r="G384" s="14" t="s">
        <v>541</v>
      </c>
      <c r="H384" s="4"/>
      <c r="I384" s="4">
        <f t="shared" si="37"/>
        <v>0</v>
      </c>
      <c r="J384" s="4"/>
      <c r="K384" s="4">
        <f t="shared" si="29"/>
        <v>0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 x14ac:dyDescent="0.2">
      <c r="A385" s="1">
        <v>2247</v>
      </c>
      <c r="B385" s="13" t="s">
        <v>627</v>
      </c>
      <c r="C385" s="14" t="s">
        <v>625</v>
      </c>
      <c r="D385" s="14" t="s">
        <v>350</v>
      </c>
      <c r="E385" s="14" t="s">
        <v>626</v>
      </c>
      <c r="F385" s="14" t="s">
        <v>619</v>
      </c>
      <c r="G385" s="14" t="s">
        <v>541</v>
      </c>
      <c r="H385" s="4"/>
      <c r="I385" s="4">
        <f t="shared" si="37"/>
        <v>0</v>
      </c>
      <c r="J385" s="4"/>
      <c r="K385" s="4">
        <f t="shared" si="29"/>
        <v>0</v>
      </c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 x14ac:dyDescent="0.2">
      <c r="A386" s="1"/>
      <c r="B386" s="2" t="s">
        <v>315</v>
      </c>
      <c r="C386" s="3" t="s">
        <v>625</v>
      </c>
      <c r="D386" s="3" t="s">
        <v>474</v>
      </c>
      <c r="E386" s="3" t="s">
        <v>626</v>
      </c>
      <c r="F386" s="3" t="s">
        <v>619</v>
      </c>
      <c r="G386" s="3" t="s">
        <v>541</v>
      </c>
      <c r="H386" s="4"/>
      <c r="I386" s="4">
        <f t="shared" ref="I386:I387" si="38">H386*1800</f>
        <v>0</v>
      </c>
      <c r="J386" s="4"/>
      <c r="K386" s="4">
        <f t="shared" si="29"/>
        <v>0</v>
      </c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 x14ac:dyDescent="0.2">
      <c r="A387" s="1"/>
      <c r="B387" s="2" t="s">
        <v>316</v>
      </c>
      <c r="C387" s="3" t="s">
        <v>625</v>
      </c>
      <c r="D387" s="3" t="s">
        <v>474</v>
      </c>
      <c r="E387" s="3" t="s">
        <v>626</v>
      </c>
      <c r="F387" s="3" t="s">
        <v>619</v>
      </c>
      <c r="G387" s="3" t="s">
        <v>541</v>
      </c>
      <c r="H387" s="4"/>
      <c r="I387" s="4">
        <f t="shared" si="38"/>
        <v>0</v>
      </c>
      <c r="J387" s="4"/>
      <c r="K387" s="4">
        <f t="shared" si="29"/>
        <v>0</v>
      </c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 x14ac:dyDescent="0.2">
      <c r="A388" s="1">
        <v>271</v>
      </c>
      <c r="B388" s="13" t="s">
        <v>628</v>
      </c>
      <c r="C388" s="14" t="s">
        <v>629</v>
      </c>
      <c r="D388" s="14" t="s">
        <v>339</v>
      </c>
      <c r="E388" s="14" t="s">
        <v>630</v>
      </c>
      <c r="F388" s="14" t="s">
        <v>631</v>
      </c>
      <c r="G388" s="14" t="s">
        <v>632</v>
      </c>
      <c r="H388" s="4"/>
      <c r="I388" s="4">
        <f t="shared" ref="I388:I421" si="39">H388*2300</f>
        <v>0</v>
      </c>
      <c r="J388" s="4"/>
      <c r="K388" s="4">
        <f t="shared" si="29"/>
        <v>0</v>
      </c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 x14ac:dyDescent="0.2">
      <c r="A389" s="1">
        <v>275</v>
      </c>
      <c r="B389" s="13" t="s">
        <v>628</v>
      </c>
      <c r="C389" s="14" t="s">
        <v>633</v>
      </c>
      <c r="D389" s="14" t="s">
        <v>86</v>
      </c>
      <c r="E389" s="14" t="s">
        <v>40</v>
      </c>
      <c r="F389" s="14" t="s">
        <v>631</v>
      </c>
      <c r="G389" s="14" t="s">
        <v>632</v>
      </c>
      <c r="H389" s="4"/>
      <c r="I389" s="4">
        <f t="shared" si="39"/>
        <v>0</v>
      </c>
      <c r="J389" s="4"/>
      <c r="K389" s="4">
        <f t="shared" si="29"/>
        <v>0</v>
      </c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 x14ac:dyDescent="0.2">
      <c r="A390" s="1">
        <v>889</v>
      </c>
      <c r="B390" s="13" t="s">
        <v>634</v>
      </c>
      <c r="C390" s="14" t="s">
        <v>635</v>
      </c>
      <c r="D390" s="14" t="s">
        <v>636</v>
      </c>
      <c r="E390" s="14" t="s">
        <v>637</v>
      </c>
      <c r="F390" s="14" t="s">
        <v>631</v>
      </c>
      <c r="G390" s="14" t="s">
        <v>632</v>
      </c>
      <c r="H390" s="4"/>
      <c r="I390" s="4">
        <f t="shared" si="39"/>
        <v>0</v>
      </c>
      <c r="J390" s="4"/>
      <c r="K390" s="4">
        <f t="shared" si="29"/>
        <v>0</v>
      </c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 x14ac:dyDescent="0.2">
      <c r="A391" s="1">
        <v>989</v>
      </c>
      <c r="B391" s="13" t="s">
        <v>624</v>
      </c>
      <c r="C391" s="14" t="s">
        <v>638</v>
      </c>
      <c r="D391" s="14" t="s">
        <v>574</v>
      </c>
      <c r="E391" s="14" t="s">
        <v>639</v>
      </c>
      <c r="F391" s="14" t="s">
        <v>631</v>
      </c>
      <c r="G391" s="14" t="s">
        <v>632</v>
      </c>
      <c r="H391" s="4"/>
      <c r="I391" s="4">
        <f t="shared" si="39"/>
        <v>0</v>
      </c>
      <c r="J391" s="4"/>
      <c r="K391" s="4">
        <f t="shared" si="29"/>
        <v>0</v>
      </c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 x14ac:dyDescent="0.2">
      <c r="A392" s="1">
        <v>1029</v>
      </c>
      <c r="B392" s="13" t="s">
        <v>464</v>
      </c>
      <c r="C392" s="14" t="s">
        <v>629</v>
      </c>
      <c r="D392" s="14" t="s">
        <v>339</v>
      </c>
      <c r="E392" s="14" t="s">
        <v>630</v>
      </c>
      <c r="F392" s="14" t="s">
        <v>631</v>
      </c>
      <c r="G392" s="14" t="s">
        <v>632</v>
      </c>
      <c r="H392" s="4"/>
      <c r="I392" s="4">
        <f t="shared" si="39"/>
        <v>0</v>
      </c>
      <c r="J392" s="4"/>
      <c r="K392" s="4">
        <f t="shared" si="29"/>
        <v>0</v>
      </c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 x14ac:dyDescent="0.2">
      <c r="A393" s="1">
        <v>1043</v>
      </c>
      <c r="B393" s="13" t="s">
        <v>464</v>
      </c>
      <c r="C393" s="14" t="s">
        <v>633</v>
      </c>
      <c r="D393" s="14" t="s">
        <v>86</v>
      </c>
      <c r="E393" s="14" t="s">
        <v>40</v>
      </c>
      <c r="F393" s="14" t="s">
        <v>631</v>
      </c>
      <c r="G393" s="14" t="s">
        <v>632</v>
      </c>
      <c r="H393" s="4"/>
      <c r="I393" s="4">
        <f t="shared" si="39"/>
        <v>0</v>
      </c>
      <c r="J393" s="4"/>
      <c r="K393" s="4">
        <f t="shared" si="29"/>
        <v>0</v>
      </c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 x14ac:dyDescent="0.2">
      <c r="A394" s="1">
        <v>1045</v>
      </c>
      <c r="B394" s="13" t="s">
        <v>464</v>
      </c>
      <c r="C394" s="14" t="s">
        <v>640</v>
      </c>
      <c r="D394" s="14" t="s">
        <v>516</v>
      </c>
      <c r="E394" s="14" t="s">
        <v>40</v>
      </c>
      <c r="F394" s="14" t="s">
        <v>631</v>
      </c>
      <c r="G394" s="14" t="s">
        <v>632</v>
      </c>
      <c r="H394" s="4"/>
      <c r="I394" s="4">
        <f t="shared" si="39"/>
        <v>0</v>
      </c>
      <c r="J394" s="4"/>
      <c r="K394" s="4">
        <f t="shared" si="29"/>
        <v>0</v>
      </c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 x14ac:dyDescent="0.2">
      <c r="A395" s="1">
        <v>1069</v>
      </c>
      <c r="B395" s="13" t="s">
        <v>458</v>
      </c>
      <c r="C395" s="14" t="s">
        <v>436</v>
      </c>
      <c r="D395" s="14" t="s">
        <v>236</v>
      </c>
      <c r="E395" s="14" t="s">
        <v>630</v>
      </c>
      <c r="F395" s="14" t="s">
        <v>631</v>
      </c>
      <c r="G395" s="14" t="s">
        <v>632</v>
      </c>
      <c r="H395" s="4"/>
      <c r="I395" s="4">
        <f t="shared" si="39"/>
        <v>0</v>
      </c>
      <c r="J395" s="4"/>
      <c r="K395" s="4">
        <f t="shared" si="29"/>
        <v>0</v>
      </c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 x14ac:dyDescent="0.2">
      <c r="A396" s="1">
        <v>1101</v>
      </c>
      <c r="B396" s="13" t="s">
        <v>641</v>
      </c>
      <c r="C396" s="14" t="s">
        <v>642</v>
      </c>
      <c r="D396" s="14" t="s">
        <v>643</v>
      </c>
      <c r="E396" s="14" t="s">
        <v>424</v>
      </c>
      <c r="F396" s="14" t="s">
        <v>631</v>
      </c>
      <c r="G396" s="14" t="s">
        <v>632</v>
      </c>
      <c r="H396" s="4"/>
      <c r="I396" s="4">
        <f t="shared" si="39"/>
        <v>0</v>
      </c>
      <c r="J396" s="4"/>
      <c r="K396" s="4">
        <f t="shared" si="29"/>
        <v>0</v>
      </c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 x14ac:dyDescent="0.2">
      <c r="A397" s="1">
        <v>1129</v>
      </c>
      <c r="B397" s="13" t="s">
        <v>449</v>
      </c>
      <c r="C397" s="14" t="s">
        <v>644</v>
      </c>
      <c r="D397" s="14" t="s">
        <v>133</v>
      </c>
      <c r="E397" s="14" t="s">
        <v>645</v>
      </c>
      <c r="F397" s="14" t="s">
        <v>631</v>
      </c>
      <c r="G397" s="14" t="s">
        <v>632</v>
      </c>
      <c r="H397" s="4"/>
      <c r="I397" s="4">
        <f t="shared" si="39"/>
        <v>0</v>
      </c>
      <c r="J397" s="4"/>
      <c r="K397" s="4">
        <f t="shared" si="29"/>
        <v>0</v>
      </c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 x14ac:dyDescent="0.2">
      <c r="A398" s="1">
        <v>1161</v>
      </c>
      <c r="B398" s="13" t="s">
        <v>433</v>
      </c>
      <c r="C398" s="14" t="s">
        <v>646</v>
      </c>
      <c r="D398" s="14" t="s">
        <v>647</v>
      </c>
      <c r="E398" s="14" t="s">
        <v>255</v>
      </c>
      <c r="F398" s="14" t="s">
        <v>631</v>
      </c>
      <c r="G398" s="14" t="s">
        <v>632</v>
      </c>
      <c r="H398" s="4"/>
      <c r="I398" s="4">
        <f t="shared" si="39"/>
        <v>0</v>
      </c>
      <c r="J398" s="4"/>
      <c r="K398" s="4">
        <f t="shared" si="29"/>
        <v>0</v>
      </c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 x14ac:dyDescent="0.2">
      <c r="A399" s="1">
        <v>1329</v>
      </c>
      <c r="B399" s="13" t="s">
        <v>260</v>
      </c>
      <c r="C399" s="14" t="s">
        <v>648</v>
      </c>
      <c r="D399" s="14" t="s">
        <v>75</v>
      </c>
      <c r="E399" s="14" t="s">
        <v>40</v>
      </c>
      <c r="F399" s="14" t="s">
        <v>631</v>
      </c>
      <c r="G399" s="14" t="s">
        <v>632</v>
      </c>
      <c r="H399" s="4"/>
      <c r="I399" s="4">
        <f t="shared" si="39"/>
        <v>0</v>
      </c>
      <c r="J399" s="4"/>
      <c r="K399" s="4">
        <f t="shared" si="29"/>
        <v>0</v>
      </c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 x14ac:dyDescent="0.2">
      <c r="A400" s="1">
        <v>1385</v>
      </c>
      <c r="B400" s="13" t="s">
        <v>601</v>
      </c>
      <c r="C400" s="14" t="s">
        <v>649</v>
      </c>
      <c r="D400" s="14" t="s">
        <v>75</v>
      </c>
      <c r="E400" s="14" t="s">
        <v>650</v>
      </c>
      <c r="F400" s="14" t="s">
        <v>631</v>
      </c>
      <c r="G400" s="14" t="s">
        <v>632</v>
      </c>
      <c r="H400" s="4"/>
      <c r="I400" s="4">
        <f t="shared" si="39"/>
        <v>0</v>
      </c>
      <c r="J400" s="4"/>
      <c r="K400" s="4">
        <f t="shared" si="29"/>
        <v>0</v>
      </c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 x14ac:dyDescent="0.2">
      <c r="A401" s="1">
        <v>1635</v>
      </c>
      <c r="B401" s="13" t="s">
        <v>267</v>
      </c>
      <c r="C401" s="14" t="s">
        <v>651</v>
      </c>
      <c r="D401" s="14" t="s">
        <v>183</v>
      </c>
      <c r="E401" s="14" t="s">
        <v>40</v>
      </c>
      <c r="F401" s="14" t="s">
        <v>631</v>
      </c>
      <c r="G401" s="14" t="s">
        <v>632</v>
      </c>
      <c r="H401" s="4"/>
      <c r="I401" s="4">
        <f t="shared" si="39"/>
        <v>0</v>
      </c>
      <c r="J401" s="4"/>
      <c r="K401" s="4">
        <f t="shared" si="29"/>
        <v>0</v>
      </c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 x14ac:dyDescent="0.2">
      <c r="A402" s="1">
        <v>1723</v>
      </c>
      <c r="B402" s="13" t="s">
        <v>465</v>
      </c>
      <c r="C402" s="14" t="s">
        <v>629</v>
      </c>
      <c r="D402" s="14" t="s">
        <v>339</v>
      </c>
      <c r="E402" s="14" t="s">
        <v>630</v>
      </c>
      <c r="F402" s="14" t="s">
        <v>631</v>
      </c>
      <c r="G402" s="14" t="s">
        <v>632</v>
      </c>
      <c r="H402" s="4"/>
      <c r="I402" s="4">
        <f t="shared" si="39"/>
        <v>0</v>
      </c>
      <c r="J402" s="4"/>
      <c r="K402" s="4">
        <f t="shared" si="29"/>
        <v>0</v>
      </c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 x14ac:dyDescent="0.2">
      <c r="A403" s="1">
        <v>1805</v>
      </c>
      <c r="B403" s="13" t="s">
        <v>276</v>
      </c>
      <c r="C403" s="14" t="s">
        <v>642</v>
      </c>
      <c r="D403" s="14" t="s">
        <v>643</v>
      </c>
      <c r="E403" s="14" t="s">
        <v>424</v>
      </c>
      <c r="F403" s="14" t="s">
        <v>631</v>
      </c>
      <c r="G403" s="14" t="s">
        <v>632</v>
      </c>
      <c r="H403" s="4"/>
      <c r="I403" s="4">
        <f t="shared" si="39"/>
        <v>0</v>
      </c>
      <c r="J403" s="4"/>
      <c r="K403" s="4">
        <f t="shared" si="29"/>
        <v>0</v>
      </c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 x14ac:dyDescent="0.2">
      <c r="A404" s="1">
        <v>1807</v>
      </c>
      <c r="B404" s="13" t="s">
        <v>276</v>
      </c>
      <c r="C404" s="14" t="s">
        <v>648</v>
      </c>
      <c r="D404" s="14" t="s">
        <v>75</v>
      </c>
      <c r="E404" s="14" t="s">
        <v>40</v>
      </c>
      <c r="F404" s="14" t="s">
        <v>631</v>
      </c>
      <c r="G404" s="14" t="s">
        <v>632</v>
      </c>
      <c r="H404" s="4"/>
      <c r="I404" s="4">
        <f t="shared" si="39"/>
        <v>0</v>
      </c>
      <c r="J404" s="4"/>
      <c r="K404" s="4">
        <f t="shared" si="29"/>
        <v>0</v>
      </c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 x14ac:dyDescent="0.2">
      <c r="A405" s="1">
        <v>1835</v>
      </c>
      <c r="B405" s="13" t="s">
        <v>439</v>
      </c>
      <c r="C405" s="14" t="s">
        <v>646</v>
      </c>
      <c r="D405" s="14" t="s">
        <v>647</v>
      </c>
      <c r="E405" s="14" t="s">
        <v>255</v>
      </c>
      <c r="F405" s="14" t="s">
        <v>631</v>
      </c>
      <c r="G405" s="14" t="s">
        <v>632</v>
      </c>
      <c r="H405" s="4"/>
      <c r="I405" s="4">
        <f t="shared" si="39"/>
        <v>0</v>
      </c>
      <c r="J405" s="4"/>
      <c r="K405" s="4">
        <f t="shared" si="29"/>
        <v>0</v>
      </c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 x14ac:dyDescent="0.2">
      <c r="A406" s="1">
        <v>1865</v>
      </c>
      <c r="B406" s="13" t="s">
        <v>604</v>
      </c>
      <c r="C406" s="14" t="s">
        <v>649</v>
      </c>
      <c r="D406" s="14" t="s">
        <v>75</v>
      </c>
      <c r="E406" s="14" t="s">
        <v>650</v>
      </c>
      <c r="F406" s="14" t="s">
        <v>631</v>
      </c>
      <c r="G406" s="14" t="s">
        <v>632</v>
      </c>
      <c r="H406" s="4"/>
      <c r="I406" s="4">
        <f t="shared" si="39"/>
        <v>0</v>
      </c>
      <c r="J406" s="4"/>
      <c r="K406" s="4">
        <f t="shared" si="29"/>
        <v>0</v>
      </c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 x14ac:dyDescent="0.2">
      <c r="A407" s="1">
        <v>1993</v>
      </c>
      <c r="B407" s="13" t="s">
        <v>652</v>
      </c>
      <c r="C407" s="14" t="s">
        <v>635</v>
      </c>
      <c r="D407" s="14" t="s">
        <v>636</v>
      </c>
      <c r="E407" s="14" t="s">
        <v>637</v>
      </c>
      <c r="F407" s="14" t="s">
        <v>631</v>
      </c>
      <c r="G407" s="14" t="s">
        <v>632</v>
      </c>
      <c r="H407" s="4"/>
      <c r="I407" s="4">
        <f t="shared" si="39"/>
        <v>0</v>
      </c>
      <c r="J407" s="4"/>
      <c r="K407" s="4">
        <f t="shared" si="29"/>
        <v>0</v>
      </c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 x14ac:dyDescent="0.2">
      <c r="A408" s="1">
        <v>2057</v>
      </c>
      <c r="B408" s="13" t="s">
        <v>653</v>
      </c>
      <c r="C408" s="14" t="s">
        <v>629</v>
      </c>
      <c r="D408" s="14" t="s">
        <v>339</v>
      </c>
      <c r="E408" s="14" t="s">
        <v>630</v>
      </c>
      <c r="F408" s="14" t="s">
        <v>631</v>
      </c>
      <c r="G408" s="14" t="s">
        <v>632</v>
      </c>
      <c r="H408" s="4"/>
      <c r="I408" s="4">
        <f t="shared" si="39"/>
        <v>0</v>
      </c>
      <c r="J408" s="4"/>
      <c r="K408" s="4">
        <f t="shared" si="29"/>
        <v>0</v>
      </c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 x14ac:dyDescent="0.2">
      <c r="A409" s="1">
        <v>2063</v>
      </c>
      <c r="B409" s="13" t="s">
        <v>653</v>
      </c>
      <c r="C409" s="14" t="s">
        <v>633</v>
      </c>
      <c r="D409" s="14" t="s">
        <v>86</v>
      </c>
      <c r="E409" s="14" t="s">
        <v>40</v>
      </c>
      <c r="F409" s="14" t="s">
        <v>631</v>
      </c>
      <c r="G409" s="14" t="s">
        <v>632</v>
      </c>
      <c r="H409" s="4"/>
      <c r="I409" s="4">
        <f t="shared" si="39"/>
        <v>0</v>
      </c>
      <c r="J409" s="4"/>
      <c r="K409" s="4">
        <f t="shared" si="29"/>
        <v>0</v>
      </c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 x14ac:dyDescent="0.2">
      <c r="A410" s="1">
        <v>2065</v>
      </c>
      <c r="B410" s="13" t="s">
        <v>653</v>
      </c>
      <c r="C410" s="14" t="s">
        <v>640</v>
      </c>
      <c r="D410" s="14" t="s">
        <v>516</v>
      </c>
      <c r="E410" s="14" t="s">
        <v>40</v>
      </c>
      <c r="F410" s="14" t="s">
        <v>631</v>
      </c>
      <c r="G410" s="14" t="s">
        <v>632</v>
      </c>
      <c r="H410" s="4"/>
      <c r="I410" s="4">
        <f t="shared" si="39"/>
        <v>0</v>
      </c>
      <c r="J410" s="4"/>
      <c r="K410" s="4">
        <f t="shared" si="29"/>
        <v>0</v>
      </c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 x14ac:dyDescent="0.2">
      <c r="A411" s="1">
        <v>2067</v>
      </c>
      <c r="B411" s="13" t="s">
        <v>653</v>
      </c>
      <c r="C411" s="14" t="s">
        <v>436</v>
      </c>
      <c r="D411" s="14" t="s">
        <v>236</v>
      </c>
      <c r="E411" s="14" t="s">
        <v>630</v>
      </c>
      <c r="F411" s="14" t="s">
        <v>631</v>
      </c>
      <c r="G411" s="14" t="s">
        <v>632</v>
      </c>
      <c r="H411" s="4"/>
      <c r="I411" s="4">
        <f t="shared" si="39"/>
        <v>0</v>
      </c>
      <c r="J411" s="4"/>
      <c r="K411" s="4">
        <f t="shared" si="29"/>
        <v>0</v>
      </c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 x14ac:dyDescent="0.2">
      <c r="A412" s="1">
        <v>2073</v>
      </c>
      <c r="B412" s="13" t="s">
        <v>653</v>
      </c>
      <c r="C412" s="14" t="s">
        <v>642</v>
      </c>
      <c r="D412" s="14" t="s">
        <v>643</v>
      </c>
      <c r="E412" s="14" t="s">
        <v>424</v>
      </c>
      <c r="F412" s="14" t="s">
        <v>631</v>
      </c>
      <c r="G412" s="14" t="s">
        <v>632</v>
      </c>
      <c r="H412" s="4"/>
      <c r="I412" s="4">
        <f t="shared" si="39"/>
        <v>0</v>
      </c>
      <c r="J412" s="4"/>
      <c r="K412" s="4">
        <f t="shared" si="29"/>
        <v>0</v>
      </c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 x14ac:dyDescent="0.2">
      <c r="A413" s="1">
        <v>2119</v>
      </c>
      <c r="B413" s="13" t="s">
        <v>280</v>
      </c>
      <c r="C413" s="14" t="s">
        <v>648</v>
      </c>
      <c r="D413" s="14" t="s">
        <v>75</v>
      </c>
      <c r="E413" s="14" t="s">
        <v>40</v>
      </c>
      <c r="F413" s="14" t="s">
        <v>631</v>
      </c>
      <c r="G413" s="14" t="s">
        <v>632</v>
      </c>
      <c r="H413" s="4"/>
      <c r="I413" s="4">
        <f t="shared" si="39"/>
        <v>0</v>
      </c>
      <c r="J413" s="4"/>
      <c r="K413" s="4">
        <f t="shared" si="29"/>
        <v>0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 x14ac:dyDescent="0.2">
      <c r="A414" s="1">
        <v>2163</v>
      </c>
      <c r="B414" s="13" t="s">
        <v>281</v>
      </c>
      <c r="C414" s="14" t="s">
        <v>649</v>
      </c>
      <c r="D414" s="14" t="s">
        <v>75</v>
      </c>
      <c r="E414" s="14" t="s">
        <v>650</v>
      </c>
      <c r="F414" s="14" t="s">
        <v>631</v>
      </c>
      <c r="G414" s="14" t="s">
        <v>632</v>
      </c>
      <c r="H414" s="4"/>
      <c r="I414" s="4">
        <f t="shared" si="39"/>
        <v>0</v>
      </c>
      <c r="J414" s="4"/>
      <c r="K414" s="4">
        <f t="shared" si="29"/>
        <v>0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 x14ac:dyDescent="0.2">
      <c r="A415" s="1">
        <v>2201</v>
      </c>
      <c r="B415" s="13" t="s">
        <v>282</v>
      </c>
      <c r="C415" s="14" t="s">
        <v>651</v>
      </c>
      <c r="D415" s="14" t="s">
        <v>183</v>
      </c>
      <c r="E415" s="14" t="s">
        <v>40</v>
      </c>
      <c r="F415" s="14" t="s">
        <v>631</v>
      </c>
      <c r="G415" s="14" t="s">
        <v>632</v>
      </c>
      <c r="H415" s="4"/>
      <c r="I415" s="4">
        <f t="shared" si="39"/>
        <v>0</v>
      </c>
      <c r="J415" s="4"/>
      <c r="K415" s="4">
        <f t="shared" si="29"/>
        <v>0</v>
      </c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 x14ac:dyDescent="0.2">
      <c r="A416" s="1">
        <v>2243</v>
      </c>
      <c r="B416" s="13" t="s">
        <v>627</v>
      </c>
      <c r="C416" s="14" t="s">
        <v>638</v>
      </c>
      <c r="D416" s="14" t="s">
        <v>574</v>
      </c>
      <c r="E416" s="14" t="s">
        <v>639</v>
      </c>
      <c r="F416" s="14" t="s">
        <v>631</v>
      </c>
      <c r="G416" s="14" t="s">
        <v>632</v>
      </c>
      <c r="H416" s="4"/>
      <c r="I416" s="4">
        <f t="shared" si="39"/>
        <v>0</v>
      </c>
      <c r="J416" s="4"/>
      <c r="K416" s="4">
        <f t="shared" si="29"/>
        <v>0</v>
      </c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 x14ac:dyDescent="0.2">
      <c r="A417" s="1">
        <v>2277</v>
      </c>
      <c r="B417" s="13" t="s">
        <v>283</v>
      </c>
      <c r="C417" s="14" t="s">
        <v>644</v>
      </c>
      <c r="D417" s="14" t="s">
        <v>133</v>
      </c>
      <c r="E417" s="14" t="s">
        <v>645</v>
      </c>
      <c r="F417" s="14" t="s">
        <v>631</v>
      </c>
      <c r="G417" s="14" t="s">
        <v>632</v>
      </c>
      <c r="H417" s="4"/>
      <c r="I417" s="4">
        <f t="shared" si="39"/>
        <v>0</v>
      </c>
      <c r="J417" s="4"/>
      <c r="K417" s="4">
        <f t="shared" si="29"/>
        <v>0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 x14ac:dyDescent="0.2">
      <c r="A418" s="1">
        <v>2279</v>
      </c>
      <c r="B418" s="13" t="s">
        <v>283</v>
      </c>
      <c r="C418" s="14" t="s">
        <v>646</v>
      </c>
      <c r="D418" s="14" t="s">
        <v>647</v>
      </c>
      <c r="E418" s="14" t="s">
        <v>255</v>
      </c>
      <c r="F418" s="14" t="s">
        <v>631</v>
      </c>
      <c r="G418" s="14" t="s">
        <v>632</v>
      </c>
      <c r="H418" s="4"/>
      <c r="I418" s="4">
        <f t="shared" si="39"/>
        <v>0</v>
      </c>
      <c r="J418" s="4"/>
      <c r="K418" s="4">
        <f t="shared" si="29"/>
        <v>0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 x14ac:dyDescent="0.2">
      <c r="A419" s="1">
        <v>2789</v>
      </c>
      <c r="B419" s="13" t="s">
        <v>288</v>
      </c>
      <c r="C419" s="14" t="s">
        <v>651</v>
      </c>
      <c r="D419" s="14" t="s">
        <v>183</v>
      </c>
      <c r="E419" s="14" t="s">
        <v>40</v>
      </c>
      <c r="F419" s="14" t="s">
        <v>631</v>
      </c>
      <c r="G419" s="14" t="s">
        <v>632</v>
      </c>
      <c r="H419" s="4"/>
      <c r="I419" s="4">
        <f t="shared" si="39"/>
        <v>0</v>
      </c>
      <c r="J419" s="4"/>
      <c r="K419" s="4">
        <f t="shared" si="29"/>
        <v>0</v>
      </c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 x14ac:dyDescent="0.2">
      <c r="A420" s="1">
        <v>2841</v>
      </c>
      <c r="B420" s="13" t="s">
        <v>654</v>
      </c>
      <c r="C420" s="14" t="s">
        <v>635</v>
      </c>
      <c r="D420" s="14" t="s">
        <v>636</v>
      </c>
      <c r="E420" s="14" t="s">
        <v>637</v>
      </c>
      <c r="F420" s="14" t="s">
        <v>631</v>
      </c>
      <c r="G420" s="14" t="s">
        <v>632</v>
      </c>
      <c r="H420" s="4"/>
      <c r="I420" s="4">
        <f t="shared" si="39"/>
        <v>0</v>
      </c>
      <c r="J420" s="4"/>
      <c r="K420" s="4">
        <f t="shared" si="29"/>
        <v>0</v>
      </c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 x14ac:dyDescent="0.2">
      <c r="A421" s="1">
        <v>2985</v>
      </c>
      <c r="B421" s="13" t="s">
        <v>289</v>
      </c>
      <c r="C421" s="14" t="s">
        <v>644</v>
      </c>
      <c r="D421" s="14" t="s">
        <v>133</v>
      </c>
      <c r="E421" s="14" t="s">
        <v>645</v>
      </c>
      <c r="F421" s="14" t="s">
        <v>631</v>
      </c>
      <c r="G421" s="14" t="s">
        <v>632</v>
      </c>
      <c r="H421" s="4"/>
      <c r="I421" s="4">
        <f t="shared" si="39"/>
        <v>0</v>
      </c>
      <c r="J421" s="4"/>
      <c r="K421" s="4">
        <f t="shared" si="29"/>
        <v>0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 x14ac:dyDescent="0.2">
      <c r="A422" s="1"/>
      <c r="B422" s="2" t="s">
        <v>315</v>
      </c>
      <c r="C422" s="3" t="s">
        <v>657</v>
      </c>
      <c r="D422" s="3" t="s">
        <v>399</v>
      </c>
      <c r="E422" s="3" t="s">
        <v>91</v>
      </c>
      <c r="F422" s="3" t="s">
        <v>631</v>
      </c>
      <c r="G422" s="3" t="s">
        <v>632</v>
      </c>
      <c r="H422" s="4"/>
      <c r="I422" s="4">
        <f t="shared" ref="I422:I433" si="40">H422*1800</f>
        <v>0</v>
      </c>
      <c r="J422" s="4"/>
      <c r="K422" s="4">
        <f t="shared" si="29"/>
        <v>0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 x14ac:dyDescent="0.2">
      <c r="A423" s="1"/>
      <c r="B423" s="2" t="s">
        <v>316</v>
      </c>
      <c r="C423" s="3" t="s">
        <v>657</v>
      </c>
      <c r="D423" s="3" t="s">
        <v>399</v>
      </c>
      <c r="E423" s="3" t="s">
        <v>91</v>
      </c>
      <c r="F423" s="3" t="s">
        <v>631</v>
      </c>
      <c r="G423" s="3" t="s">
        <v>632</v>
      </c>
      <c r="H423" s="4"/>
      <c r="I423" s="4">
        <f t="shared" si="40"/>
        <v>0</v>
      </c>
      <c r="J423" s="4"/>
      <c r="K423" s="4">
        <f t="shared" si="29"/>
        <v>0</v>
      </c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 x14ac:dyDescent="0.2">
      <c r="A424" s="1"/>
      <c r="B424" s="2" t="s">
        <v>421</v>
      </c>
      <c r="C424" s="3" t="s">
        <v>658</v>
      </c>
      <c r="D424" s="3" t="s">
        <v>116</v>
      </c>
      <c r="E424" s="3" t="s">
        <v>546</v>
      </c>
      <c r="F424" s="3" t="s">
        <v>631</v>
      </c>
      <c r="G424" s="3" t="s">
        <v>632</v>
      </c>
      <c r="H424" s="4"/>
      <c r="I424" s="4">
        <f t="shared" si="40"/>
        <v>0</v>
      </c>
      <c r="J424" s="4"/>
      <c r="K424" s="4">
        <f t="shared" si="29"/>
        <v>0</v>
      </c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 x14ac:dyDescent="0.2">
      <c r="A425" s="1"/>
      <c r="B425" s="2" t="s">
        <v>307</v>
      </c>
      <c r="C425" s="3" t="s">
        <v>658</v>
      </c>
      <c r="D425" s="3" t="s">
        <v>116</v>
      </c>
      <c r="E425" s="3" t="s">
        <v>546</v>
      </c>
      <c r="F425" s="3" t="s">
        <v>631</v>
      </c>
      <c r="G425" s="3" t="s">
        <v>632</v>
      </c>
      <c r="H425" s="4"/>
      <c r="I425" s="4">
        <f t="shared" si="40"/>
        <v>0</v>
      </c>
      <c r="J425" s="4"/>
      <c r="K425" s="4">
        <f t="shared" si="29"/>
        <v>0</v>
      </c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 x14ac:dyDescent="0.2">
      <c r="A426" s="1"/>
      <c r="B426" s="2" t="s">
        <v>315</v>
      </c>
      <c r="C426" s="3" t="s">
        <v>659</v>
      </c>
      <c r="D426" s="3" t="s">
        <v>339</v>
      </c>
      <c r="E426" s="3" t="s">
        <v>79</v>
      </c>
      <c r="F426" s="3" t="s">
        <v>631</v>
      </c>
      <c r="G426" s="3" t="s">
        <v>632</v>
      </c>
      <c r="H426" s="4"/>
      <c r="I426" s="4">
        <f t="shared" si="40"/>
        <v>0</v>
      </c>
      <c r="J426" s="4"/>
      <c r="K426" s="4">
        <f t="shared" si="29"/>
        <v>0</v>
      </c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 x14ac:dyDescent="0.2">
      <c r="A427" s="1"/>
      <c r="B427" s="2" t="s">
        <v>108</v>
      </c>
      <c r="C427" s="3" t="s">
        <v>659</v>
      </c>
      <c r="D427" s="3" t="s">
        <v>339</v>
      </c>
      <c r="E427" s="3" t="s">
        <v>79</v>
      </c>
      <c r="F427" s="3" t="s">
        <v>631</v>
      </c>
      <c r="G427" s="3" t="s">
        <v>632</v>
      </c>
      <c r="H427" s="4"/>
      <c r="I427" s="4">
        <f t="shared" si="40"/>
        <v>0</v>
      </c>
      <c r="J427" s="4"/>
      <c r="K427" s="4">
        <f t="shared" si="29"/>
        <v>0</v>
      </c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 x14ac:dyDescent="0.2">
      <c r="A428" s="1"/>
      <c r="B428" s="2" t="s">
        <v>121</v>
      </c>
      <c r="C428" s="3" t="s">
        <v>660</v>
      </c>
      <c r="D428" s="3" t="s">
        <v>183</v>
      </c>
      <c r="E428" s="3" t="s">
        <v>310</v>
      </c>
      <c r="F428" s="3" t="s">
        <v>631</v>
      </c>
      <c r="G428" s="3" t="s">
        <v>632</v>
      </c>
      <c r="H428" s="4"/>
      <c r="I428" s="4">
        <f t="shared" si="40"/>
        <v>0</v>
      </c>
      <c r="J428" s="4"/>
      <c r="K428" s="4">
        <f t="shared" si="29"/>
        <v>0</v>
      </c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 x14ac:dyDescent="0.2">
      <c r="A429" s="1"/>
      <c r="B429" s="2" t="s">
        <v>315</v>
      </c>
      <c r="C429" s="3" t="s">
        <v>660</v>
      </c>
      <c r="D429" s="3" t="s">
        <v>183</v>
      </c>
      <c r="E429" s="3" t="s">
        <v>310</v>
      </c>
      <c r="F429" s="3" t="s">
        <v>631</v>
      </c>
      <c r="G429" s="3" t="s">
        <v>632</v>
      </c>
      <c r="H429" s="4"/>
      <c r="I429" s="4">
        <f t="shared" si="40"/>
        <v>0</v>
      </c>
      <c r="J429" s="4"/>
      <c r="K429" s="4">
        <f t="shared" si="29"/>
        <v>0</v>
      </c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 x14ac:dyDescent="0.2">
      <c r="A430" s="1"/>
      <c r="B430" s="2" t="s">
        <v>421</v>
      </c>
      <c r="C430" s="3" t="s">
        <v>661</v>
      </c>
      <c r="D430" s="3" t="s">
        <v>39</v>
      </c>
      <c r="E430" s="3" t="s">
        <v>87</v>
      </c>
      <c r="F430" s="3" t="s">
        <v>631</v>
      </c>
      <c r="G430" s="3" t="s">
        <v>632</v>
      </c>
      <c r="H430" s="4"/>
      <c r="I430" s="4">
        <f t="shared" si="40"/>
        <v>0</v>
      </c>
      <c r="J430" s="4"/>
      <c r="K430" s="4">
        <f t="shared" si="29"/>
        <v>0</v>
      </c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 x14ac:dyDescent="0.2">
      <c r="A431" s="1"/>
      <c r="B431" s="2" t="s">
        <v>307</v>
      </c>
      <c r="C431" s="3" t="s">
        <v>661</v>
      </c>
      <c r="D431" s="3" t="s">
        <v>39</v>
      </c>
      <c r="E431" s="3" t="s">
        <v>87</v>
      </c>
      <c r="F431" s="3" t="s">
        <v>631</v>
      </c>
      <c r="G431" s="3" t="s">
        <v>632</v>
      </c>
      <c r="H431" s="4"/>
      <c r="I431" s="4">
        <f t="shared" si="40"/>
        <v>0</v>
      </c>
      <c r="J431" s="4"/>
      <c r="K431" s="4">
        <f t="shared" si="29"/>
        <v>0</v>
      </c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 x14ac:dyDescent="0.2">
      <c r="A432" s="1"/>
      <c r="B432" s="2" t="s">
        <v>109</v>
      </c>
      <c r="C432" s="3" t="s">
        <v>662</v>
      </c>
      <c r="D432" s="3" t="s">
        <v>39</v>
      </c>
      <c r="E432" s="3" t="s">
        <v>310</v>
      </c>
      <c r="F432" s="3" t="s">
        <v>631</v>
      </c>
      <c r="G432" s="3" t="s">
        <v>632</v>
      </c>
      <c r="H432" s="4"/>
      <c r="I432" s="4">
        <f t="shared" si="40"/>
        <v>0</v>
      </c>
      <c r="J432" s="4"/>
      <c r="K432" s="4">
        <f t="shared" si="29"/>
        <v>0</v>
      </c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 x14ac:dyDescent="0.2">
      <c r="A433" s="1"/>
      <c r="B433" s="2" t="s">
        <v>108</v>
      </c>
      <c r="C433" s="3" t="s">
        <v>662</v>
      </c>
      <c r="D433" s="3" t="s">
        <v>39</v>
      </c>
      <c r="E433" s="3" t="s">
        <v>310</v>
      </c>
      <c r="F433" s="3" t="s">
        <v>631</v>
      </c>
      <c r="G433" s="3" t="s">
        <v>632</v>
      </c>
      <c r="H433" s="4"/>
      <c r="I433" s="4">
        <f t="shared" si="40"/>
        <v>0</v>
      </c>
      <c r="J433" s="4"/>
      <c r="K433" s="4">
        <f t="shared" si="29"/>
        <v>0</v>
      </c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 x14ac:dyDescent="0.2">
      <c r="A434" s="1"/>
      <c r="B434" s="2" t="s">
        <v>421</v>
      </c>
      <c r="C434" s="3" t="s">
        <v>663</v>
      </c>
      <c r="D434" s="3" t="s">
        <v>39</v>
      </c>
      <c r="E434" s="3" t="s">
        <v>129</v>
      </c>
      <c r="F434" s="3" t="s">
        <v>631</v>
      </c>
      <c r="G434" s="3" t="s">
        <v>632</v>
      </c>
      <c r="H434" s="4">
        <v>2</v>
      </c>
      <c r="I434" s="4">
        <f>H434*2300</f>
        <v>4600</v>
      </c>
      <c r="J434" s="4"/>
      <c r="K434" s="4">
        <f t="shared" si="29"/>
        <v>0</v>
      </c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 x14ac:dyDescent="0.2">
      <c r="A435" s="1"/>
      <c r="B435" s="2" t="s">
        <v>307</v>
      </c>
      <c r="C435" s="3" t="s">
        <v>663</v>
      </c>
      <c r="D435" s="3" t="s">
        <v>39</v>
      </c>
      <c r="E435" s="3" t="s">
        <v>129</v>
      </c>
      <c r="F435" s="3" t="s">
        <v>631</v>
      </c>
      <c r="G435" s="3" t="s">
        <v>632</v>
      </c>
      <c r="H435" s="4"/>
      <c r="I435" s="4">
        <f t="shared" ref="I435:I442" si="41">H435*1800</f>
        <v>0</v>
      </c>
      <c r="J435" s="4"/>
      <c r="K435" s="4">
        <f t="shared" si="29"/>
        <v>0</v>
      </c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 x14ac:dyDescent="0.2">
      <c r="A436" s="1"/>
      <c r="B436" s="2" t="s">
        <v>232</v>
      </c>
      <c r="C436" s="3" t="s">
        <v>664</v>
      </c>
      <c r="D436" s="3" t="s">
        <v>124</v>
      </c>
      <c r="E436" s="3" t="s">
        <v>322</v>
      </c>
      <c r="F436" s="3" t="s">
        <v>631</v>
      </c>
      <c r="G436" s="3" t="s">
        <v>632</v>
      </c>
      <c r="H436" s="4"/>
      <c r="I436" s="4">
        <f t="shared" si="41"/>
        <v>0</v>
      </c>
      <c r="J436" s="4"/>
      <c r="K436" s="4">
        <f t="shared" si="29"/>
        <v>0</v>
      </c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 x14ac:dyDescent="0.2">
      <c r="A437" s="1"/>
      <c r="B437" s="2" t="s">
        <v>109</v>
      </c>
      <c r="C437" s="3" t="s">
        <v>664</v>
      </c>
      <c r="D437" s="3" t="s">
        <v>124</v>
      </c>
      <c r="E437" s="3" t="s">
        <v>322</v>
      </c>
      <c r="F437" s="3" t="s">
        <v>631</v>
      </c>
      <c r="G437" s="3" t="s">
        <v>632</v>
      </c>
      <c r="H437" s="4"/>
      <c r="I437" s="4">
        <f t="shared" si="41"/>
        <v>0</v>
      </c>
      <c r="J437" s="4"/>
      <c r="K437" s="4">
        <f t="shared" si="29"/>
        <v>0</v>
      </c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 x14ac:dyDescent="0.2">
      <c r="A438" s="1"/>
      <c r="B438" s="2" t="s">
        <v>108</v>
      </c>
      <c r="C438" s="3" t="s">
        <v>664</v>
      </c>
      <c r="D438" s="3" t="s">
        <v>124</v>
      </c>
      <c r="E438" s="3" t="s">
        <v>322</v>
      </c>
      <c r="F438" s="3" t="s">
        <v>631</v>
      </c>
      <c r="G438" s="3" t="s">
        <v>632</v>
      </c>
      <c r="H438" s="4"/>
      <c r="I438" s="4">
        <f t="shared" si="41"/>
        <v>0</v>
      </c>
      <c r="J438" s="4"/>
      <c r="K438" s="4">
        <f t="shared" si="29"/>
        <v>0</v>
      </c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 x14ac:dyDescent="0.2">
      <c r="A439" s="1"/>
      <c r="B439" s="2" t="s">
        <v>300</v>
      </c>
      <c r="C439" s="3" t="s">
        <v>665</v>
      </c>
      <c r="D439" s="3" t="s">
        <v>183</v>
      </c>
      <c r="E439" s="3" t="s">
        <v>112</v>
      </c>
      <c r="F439" s="3" t="s">
        <v>631</v>
      </c>
      <c r="G439" s="3" t="s">
        <v>632</v>
      </c>
      <c r="H439" s="4"/>
      <c r="I439" s="4">
        <f t="shared" si="41"/>
        <v>0</v>
      </c>
      <c r="J439" s="4"/>
      <c r="K439" s="4">
        <f t="shared" si="29"/>
        <v>0</v>
      </c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 x14ac:dyDescent="0.2">
      <c r="A440" s="1"/>
      <c r="B440" s="2" t="s">
        <v>102</v>
      </c>
      <c r="C440" s="3" t="s">
        <v>665</v>
      </c>
      <c r="D440" s="3" t="s">
        <v>183</v>
      </c>
      <c r="E440" s="3" t="s">
        <v>112</v>
      </c>
      <c r="F440" s="3" t="s">
        <v>631</v>
      </c>
      <c r="G440" s="3" t="s">
        <v>632</v>
      </c>
      <c r="H440" s="4"/>
      <c r="I440" s="4">
        <f t="shared" si="41"/>
        <v>0</v>
      </c>
      <c r="J440" s="4"/>
      <c r="K440" s="4">
        <f t="shared" si="29"/>
        <v>0</v>
      </c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 x14ac:dyDescent="0.2">
      <c r="A441" s="1"/>
      <c r="B441" s="2" t="s">
        <v>307</v>
      </c>
      <c r="C441" s="3" t="s">
        <v>666</v>
      </c>
      <c r="D441" s="3" t="s">
        <v>21</v>
      </c>
      <c r="E441" s="3" t="s">
        <v>40</v>
      </c>
      <c r="F441" s="3" t="s">
        <v>631</v>
      </c>
      <c r="G441" s="3" t="s">
        <v>632</v>
      </c>
      <c r="H441" s="4"/>
      <c r="I441" s="4">
        <f t="shared" si="41"/>
        <v>0</v>
      </c>
      <c r="J441" s="4"/>
      <c r="K441" s="4">
        <f t="shared" si="29"/>
        <v>0</v>
      </c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 x14ac:dyDescent="0.2">
      <c r="A442" s="1"/>
      <c r="B442" s="19" t="s">
        <v>311</v>
      </c>
      <c r="C442" s="3" t="s">
        <v>666</v>
      </c>
      <c r="D442" s="3" t="s">
        <v>21</v>
      </c>
      <c r="E442" s="3" t="s">
        <v>40</v>
      </c>
      <c r="F442" s="3" t="s">
        <v>631</v>
      </c>
      <c r="G442" s="3" t="s">
        <v>632</v>
      </c>
      <c r="H442" s="4"/>
      <c r="I442" s="4">
        <f t="shared" si="41"/>
        <v>0</v>
      </c>
      <c r="J442" s="4"/>
      <c r="K442" s="4">
        <f t="shared" si="29"/>
        <v>0</v>
      </c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 x14ac:dyDescent="0.2">
      <c r="A443" s="1">
        <v>21</v>
      </c>
      <c r="B443" s="13" t="s">
        <v>411</v>
      </c>
      <c r="C443" s="14" t="s">
        <v>667</v>
      </c>
      <c r="D443" s="14" t="s">
        <v>78</v>
      </c>
      <c r="E443" s="14" t="s">
        <v>79</v>
      </c>
      <c r="F443" s="14" t="s">
        <v>668</v>
      </c>
      <c r="G443" s="14" t="s">
        <v>632</v>
      </c>
      <c r="H443" s="4"/>
      <c r="I443" s="4">
        <f t="shared" ref="I443:I472" si="42">H443*2300</f>
        <v>0</v>
      </c>
      <c r="J443" s="4"/>
      <c r="K443" s="4">
        <f t="shared" si="29"/>
        <v>0</v>
      </c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 x14ac:dyDescent="0.2">
      <c r="A444" s="1">
        <v>85</v>
      </c>
      <c r="B444" s="13" t="s">
        <v>226</v>
      </c>
      <c r="C444" s="14" t="s">
        <v>667</v>
      </c>
      <c r="D444" s="14" t="s">
        <v>78</v>
      </c>
      <c r="E444" s="14" t="s">
        <v>79</v>
      </c>
      <c r="F444" s="14" t="s">
        <v>668</v>
      </c>
      <c r="G444" s="14" t="s">
        <v>632</v>
      </c>
      <c r="H444" s="4"/>
      <c r="I444" s="4">
        <f t="shared" si="42"/>
        <v>0</v>
      </c>
      <c r="J444" s="4"/>
      <c r="K444" s="4">
        <f t="shared" si="29"/>
        <v>0</v>
      </c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 x14ac:dyDescent="0.2">
      <c r="A445" s="1">
        <v>273</v>
      </c>
      <c r="B445" s="13" t="s">
        <v>628</v>
      </c>
      <c r="C445" s="14" t="s">
        <v>669</v>
      </c>
      <c r="D445" s="14" t="s">
        <v>670</v>
      </c>
      <c r="E445" s="14" t="s">
        <v>413</v>
      </c>
      <c r="F445" s="14" t="s">
        <v>671</v>
      </c>
      <c r="G445" s="14" t="s">
        <v>632</v>
      </c>
      <c r="H445" s="4"/>
      <c r="I445" s="4">
        <f t="shared" si="42"/>
        <v>0</v>
      </c>
      <c r="J445" s="4"/>
      <c r="K445" s="4">
        <f t="shared" si="29"/>
        <v>0</v>
      </c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 x14ac:dyDescent="0.2">
      <c r="A446" s="1">
        <v>431</v>
      </c>
      <c r="B446" s="13" t="s">
        <v>672</v>
      </c>
      <c r="C446" s="14" t="s">
        <v>673</v>
      </c>
      <c r="D446" s="14" t="s">
        <v>513</v>
      </c>
      <c r="E446" s="14" t="s">
        <v>357</v>
      </c>
      <c r="F446" s="14" t="s">
        <v>671</v>
      </c>
      <c r="G446" s="14" t="s">
        <v>632</v>
      </c>
      <c r="H446" s="4"/>
      <c r="I446" s="4">
        <f t="shared" si="42"/>
        <v>0</v>
      </c>
      <c r="J446" s="4"/>
      <c r="K446" s="4">
        <f t="shared" si="29"/>
        <v>0</v>
      </c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 x14ac:dyDescent="0.2">
      <c r="A447" s="1">
        <v>445</v>
      </c>
      <c r="B447" s="13" t="s">
        <v>674</v>
      </c>
      <c r="C447" s="14" t="s">
        <v>675</v>
      </c>
      <c r="D447" s="14" t="s">
        <v>656</v>
      </c>
      <c r="E447" s="14" t="s">
        <v>676</v>
      </c>
      <c r="F447" s="14" t="s">
        <v>671</v>
      </c>
      <c r="G447" s="14" t="s">
        <v>632</v>
      </c>
      <c r="H447" s="4"/>
      <c r="I447" s="4">
        <f t="shared" si="42"/>
        <v>0</v>
      </c>
      <c r="J447" s="4"/>
      <c r="K447" s="4">
        <f t="shared" si="29"/>
        <v>0</v>
      </c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 x14ac:dyDescent="0.2">
      <c r="A448" s="1">
        <v>447</v>
      </c>
      <c r="B448" s="13" t="s">
        <v>674</v>
      </c>
      <c r="C448" s="14" t="s">
        <v>677</v>
      </c>
      <c r="D448" s="14" t="s">
        <v>104</v>
      </c>
      <c r="E448" s="14" t="s">
        <v>259</v>
      </c>
      <c r="F448" s="14" t="s">
        <v>671</v>
      </c>
      <c r="G448" s="14" t="s">
        <v>632</v>
      </c>
      <c r="H448" s="4"/>
      <c r="I448" s="4">
        <f t="shared" si="42"/>
        <v>0</v>
      </c>
      <c r="J448" s="4"/>
      <c r="K448" s="4">
        <f t="shared" si="29"/>
        <v>0</v>
      </c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 x14ac:dyDescent="0.2">
      <c r="A449" s="1">
        <v>541</v>
      </c>
      <c r="B449" s="13" t="s">
        <v>678</v>
      </c>
      <c r="C449" s="14" t="s">
        <v>679</v>
      </c>
      <c r="D449" s="14" t="s">
        <v>680</v>
      </c>
      <c r="E449" s="14" t="s">
        <v>134</v>
      </c>
      <c r="F449" s="14" t="s">
        <v>671</v>
      </c>
      <c r="G449" s="14" t="s">
        <v>632</v>
      </c>
      <c r="H449" s="4"/>
      <c r="I449" s="4">
        <f t="shared" si="42"/>
        <v>0</v>
      </c>
      <c r="J449" s="4"/>
      <c r="K449" s="4">
        <f t="shared" si="29"/>
        <v>0</v>
      </c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 x14ac:dyDescent="0.2">
      <c r="A450" s="1">
        <v>619</v>
      </c>
      <c r="B450" s="13" t="s">
        <v>428</v>
      </c>
      <c r="C450" s="14" t="s">
        <v>681</v>
      </c>
      <c r="D450" s="14" t="s">
        <v>513</v>
      </c>
      <c r="E450" s="14" t="s">
        <v>259</v>
      </c>
      <c r="F450" s="14" t="s">
        <v>671</v>
      </c>
      <c r="G450" s="14" t="s">
        <v>632</v>
      </c>
      <c r="H450" s="4"/>
      <c r="I450" s="4">
        <f t="shared" si="42"/>
        <v>0</v>
      </c>
      <c r="J450" s="4"/>
      <c r="K450" s="4">
        <f t="shared" si="29"/>
        <v>0</v>
      </c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 x14ac:dyDescent="0.2">
      <c r="A451" s="1">
        <v>671</v>
      </c>
      <c r="B451" s="13" t="s">
        <v>252</v>
      </c>
      <c r="C451" s="14" t="s">
        <v>682</v>
      </c>
      <c r="D451" s="14" t="s">
        <v>471</v>
      </c>
      <c r="E451" s="14" t="s">
        <v>683</v>
      </c>
      <c r="F451" s="14" t="s">
        <v>671</v>
      </c>
      <c r="G451" s="14" t="s">
        <v>632</v>
      </c>
      <c r="H451" s="4"/>
      <c r="I451" s="4">
        <f t="shared" si="42"/>
        <v>0</v>
      </c>
      <c r="J451" s="4"/>
      <c r="K451" s="4">
        <f t="shared" si="29"/>
        <v>0</v>
      </c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 x14ac:dyDescent="0.2">
      <c r="A452" s="1">
        <v>701</v>
      </c>
      <c r="B452" s="13" t="s">
        <v>684</v>
      </c>
      <c r="C452" s="14" t="s">
        <v>669</v>
      </c>
      <c r="D452" s="14" t="s">
        <v>670</v>
      </c>
      <c r="E452" s="14" t="s">
        <v>413</v>
      </c>
      <c r="F452" s="14" t="s">
        <v>671</v>
      </c>
      <c r="G452" s="14" t="s">
        <v>632</v>
      </c>
      <c r="H452" s="4"/>
      <c r="I452" s="4">
        <f t="shared" si="42"/>
        <v>0</v>
      </c>
      <c r="J452" s="4"/>
      <c r="K452" s="4">
        <f t="shared" si="29"/>
        <v>0</v>
      </c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 x14ac:dyDescent="0.2">
      <c r="A453" s="1">
        <v>711</v>
      </c>
      <c r="B453" s="13" t="s">
        <v>685</v>
      </c>
      <c r="C453" s="14" t="s">
        <v>679</v>
      </c>
      <c r="D453" s="14" t="s">
        <v>680</v>
      </c>
      <c r="E453" s="14" t="s">
        <v>134</v>
      </c>
      <c r="F453" s="14" t="s">
        <v>671</v>
      </c>
      <c r="G453" s="14" t="s">
        <v>632</v>
      </c>
      <c r="H453" s="4"/>
      <c r="I453" s="4">
        <f t="shared" si="42"/>
        <v>0</v>
      </c>
      <c r="J453" s="4"/>
      <c r="K453" s="4">
        <f t="shared" si="29"/>
        <v>0</v>
      </c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 x14ac:dyDescent="0.2">
      <c r="A454" s="1">
        <v>737</v>
      </c>
      <c r="B454" s="13" t="s">
        <v>686</v>
      </c>
      <c r="C454" s="14" t="s">
        <v>682</v>
      </c>
      <c r="D454" s="14" t="s">
        <v>471</v>
      </c>
      <c r="E454" s="14" t="s">
        <v>683</v>
      </c>
      <c r="F454" s="14" t="s">
        <v>671</v>
      </c>
      <c r="G454" s="14" t="s">
        <v>632</v>
      </c>
      <c r="H454" s="4"/>
      <c r="I454" s="4">
        <f t="shared" si="42"/>
        <v>0</v>
      </c>
      <c r="J454" s="4"/>
      <c r="K454" s="4">
        <f t="shared" si="29"/>
        <v>0</v>
      </c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 x14ac:dyDescent="0.2">
      <c r="A455" s="1">
        <v>747</v>
      </c>
      <c r="B455" s="13" t="s">
        <v>687</v>
      </c>
      <c r="C455" s="14" t="s">
        <v>688</v>
      </c>
      <c r="D455" s="14" t="s">
        <v>104</v>
      </c>
      <c r="E455" s="14" t="s">
        <v>18</v>
      </c>
      <c r="F455" s="14" t="s">
        <v>671</v>
      </c>
      <c r="G455" s="14" t="s">
        <v>632</v>
      </c>
      <c r="H455" s="4"/>
      <c r="I455" s="4">
        <f t="shared" si="42"/>
        <v>0</v>
      </c>
      <c r="J455" s="4"/>
      <c r="K455" s="4">
        <f t="shared" si="29"/>
        <v>0</v>
      </c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 x14ac:dyDescent="0.2">
      <c r="A456" s="1">
        <v>749</v>
      </c>
      <c r="B456" s="13" t="s">
        <v>687</v>
      </c>
      <c r="C456" s="14" t="s">
        <v>689</v>
      </c>
      <c r="D456" s="14" t="s">
        <v>133</v>
      </c>
      <c r="E456" s="14" t="s">
        <v>690</v>
      </c>
      <c r="F456" s="14" t="s">
        <v>671</v>
      </c>
      <c r="G456" s="14" t="s">
        <v>632</v>
      </c>
      <c r="H456" s="4"/>
      <c r="I456" s="4">
        <f t="shared" si="42"/>
        <v>0</v>
      </c>
      <c r="J456" s="4"/>
      <c r="K456" s="4">
        <f t="shared" si="29"/>
        <v>0</v>
      </c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">
      <c r="A457" s="1">
        <v>915</v>
      </c>
      <c r="B457" s="13" t="s">
        <v>694</v>
      </c>
      <c r="C457" s="14" t="s">
        <v>695</v>
      </c>
      <c r="D457" s="14" t="s">
        <v>86</v>
      </c>
      <c r="E457" s="14" t="s">
        <v>112</v>
      </c>
      <c r="F457" s="14" t="s">
        <v>671</v>
      </c>
      <c r="G457" s="14" t="s">
        <v>632</v>
      </c>
      <c r="H457" s="4"/>
      <c r="I457" s="4">
        <f t="shared" si="42"/>
        <v>0</v>
      </c>
      <c r="J457" s="4"/>
      <c r="K457" s="4">
        <f t="shared" si="29"/>
        <v>0</v>
      </c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">
      <c r="A458" s="1">
        <v>917</v>
      </c>
      <c r="B458" s="13" t="s">
        <v>694</v>
      </c>
      <c r="C458" s="14" t="s">
        <v>696</v>
      </c>
      <c r="D458" s="14" t="s">
        <v>697</v>
      </c>
      <c r="E458" s="14" t="s">
        <v>40</v>
      </c>
      <c r="F458" s="14" t="s">
        <v>671</v>
      </c>
      <c r="G458" s="14" t="s">
        <v>632</v>
      </c>
      <c r="H458" s="4"/>
      <c r="I458" s="4">
        <f t="shared" si="42"/>
        <v>0</v>
      </c>
      <c r="J458" s="4"/>
      <c r="K458" s="4">
        <f t="shared" si="29"/>
        <v>0</v>
      </c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">
      <c r="A459" s="1">
        <v>969</v>
      </c>
      <c r="B459" s="13" t="s">
        <v>698</v>
      </c>
      <c r="C459" s="14" t="s">
        <v>677</v>
      </c>
      <c r="D459" s="14" t="s">
        <v>104</v>
      </c>
      <c r="E459" s="14" t="s">
        <v>259</v>
      </c>
      <c r="F459" s="14" t="s">
        <v>671</v>
      </c>
      <c r="G459" s="14" t="s">
        <v>632</v>
      </c>
      <c r="H459" s="4"/>
      <c r="I459" s="4">
        <f t="shared" si="42"/>
        <v>0</v>
      </c>
      <c r="J459" s="4"/>
      <c r="K459" s="4">
        <f t="shared" si="29"/>
        <v>0</v>
      </c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">
      <c r="A460" s="1">
        <v>991</v>
      </c>
      <c r="B460" s="13" t="s">
        <v>624</v>
      </c>
      <c r="C460" s="14" t="s">
        <v>675</v>
      </c>
      <c r="D460" s="14" t="s">
        <v>656</v>
      </c>
      <c r="E460" s="14" t="s">
        <v>676</v>
      </c>
      <c r="F460" s="14" t="s">
        <v>671</v>
      </c>
      <c r="G460" s="14" t="s">
        <v>632</v>
      </c>
      <c r="H460" s="4"/>
      <c r="I460" s="4">
        <f t="shared" si="42"/>
        <v>0</v>
      </c>
      <c r="J460" s="4"/>
      <c r="K460" s="4">
        <f t="shared" si="29"/>
        <v>0</v>
      </c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">
      <c r="A461" s="1">
        <v>993</v>
      </c>
      <c r="B461" s="13" t="s">
        <v>624</v>
      </c>
      <c r="C461" s="14" t="s">
        <v>673</v>
      </c>
      <c r="D461" s="14" t="s">
        <v>513</v>
      </c>
      <c r="E461" s="14" t="s">
        <v>357</v>
      </c>
      <c r="F461" s="14" t="s">
        <v>671</v>
      </c>
      <c r="G461" s="14" t="s">
        <v>632</v>
      </c>
      <c r="H461" s="4"/>
      <c r="I461" s="4">
        <f t="shared" si="42"/>
        <v>0</v>
      </c>
      <c r="J461" s="4"/>
      <c r="K461" s="4">
        <f t="shared" si="29"/>
        <v>0</v>
      </c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">
      <c r="A462" s="1">
        <v>1239</v>
      </c>
      <c r="B462" s="13" t="s">
        <v>699</v>
      </c>
      <c r="C462" s="14" t="s">
        <v>669</v>
      </c>
      <c r="D462" s="14" t="s">
        <v>670</v>
      </c>
      <c r="E462" s="14" t="s">
        <v>413</v>
      </c>
      <c r="F462" s="14" t="s">
        <v>671</v>
      </c>
      <c r="G462" s="14" t="s">
        <v>632</v>
      </c>
      <c r="H462" s="4"/>
      <c r="I462" s="4">
        <f t="shared" si="42"/>
        <v>0</v>
      </c>
      <c r="J462" s="4"/>
      <c r="K462" s="4">
        <f t="shared" si="29"/>
        <v>0</v>
      </c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">
      <c r="A463" s="1">
        <v>1613</v>
      </c>
      <c r="B463" s="13" t="s">
        <v>264</v>
      </c>
      <c r="C463" s="14" t="s">
        <v>700</v>
      </c>
      <c r="D463" s="14" t="s">
        <v>139</v>
      </c>
      <c r="E463" s="14" t="s">
        <v>32</v>
      </c>
      <c r="F463" s="14" t="s">
        <v>671</v>
      </c>
      <c r="G463" s="14" t="s">
        <v>632</v>
      </c>
      <c r="H463" s="4"/>
      <c r="I463" s="4">
        <f t="shared" si="42"/>
        <v>0</v>
      </c>
      <c r="J463" s="4"/>
      <c r="K463" s="4">
        <f t="shared" si="29"/>
        <v>0</v>
      </c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">
      <c r="A464" s="1">
        <v>1733</v>
      </c>
      <c r="B464" s="13" t="s">
        <v>465</v>
      </c>
      <c r="C464" s="14" t="s">
        <v>669</v>
      </c>
      <c r="D464" s="14" t="s">
        <v>670</v>
      </c>
      <c r="E464" s="14" t="s">
        <v>413</v>
      </c>
      <c r="F464" s="14" t="s">
        <v>671</v>
      </c>
      <c r="G464" s="14" t="s">
        <v>632</v>
      </c>
      <c r="H464" s="4"/>
      <c r="I464" s="4">
        <f t="shared" si="42"/>
        <v>0</v>
      </c>
      <c r="J464" s="4"/>
      <c r="K464" s="4">
        <f t="shared" si="29"/>
        <v>0</v>
      </c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">
      <c r="A465" s="1">
        <v>1999</v>
      </c>
      <c r="B465" s="13" t="s">
        <v>652</v>
      </c>
      <c r="C465" s="14" t="s">
        <v>695</v>
      </c>
      <c r="D465" s="14" t="s">
        <v>86</v>
      </c>
      <c r="E465" s="14" t="s">
        <v>112</v>
      </c>
      <c r="F465" s="14" t="s">
        <v>671</v>
      </c>
      <c r="G465" s="14" t="s">
        <v>632</v>
      </c>
      <c r="H465" s="4"/>
      <c r="I465" s="4">
        <f t="shared" si="42"/>
        <v>0</v>
      </c>
      <c r="J465" s="4"/>
      <c r="K465" s="4">
        <f t="shared" si="29"/>
        <v>0</v>
      </c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">
      <c r="A466" s="1">
        <v>2039</v>
      </c>
      <c r="B466" s="13" t="s">
        <v>701</v>
      </c>
      <c r="C466" s="14" t="s">
        <v>696</v>
      </c>
      <c r="D466" s="14" t="s">
        <v>697</v>
      </c>
      <c r="E466" s="14" t="s">
        <v>40</v>
      </c>
      <c r="F466" s="14" t="s">
        <v>671</v>
      </c>
      <c r="G466" s="14" t="s">
        <v>632</v>
      </c>
      <c r="H466" s="4"/>
      <c r="I466" s="4">
        <f t="shared" si="42"/>
        <v>0</v>
      </c>
      <c r="J466" s="4"/>
      <c r="K466" s="4">
        <f t="shared" si="29"/>
        <v>0</v>
      </c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">
      <c r="A467" s="1">
        <v>2219</v>
      </c>
      <c r="B467" s="13" t="s">
        <v>282</v>
      </c>
      <c r="C467" s="14" t="s">
        <v>700</v>
      </c>
      <c r="D467" s="14" t="s">
        <v>139</v>
      </c>
      <c r="E467" s="14" t="s">
        <v>32</v>
      </c>
      <c r="F467" s="14" t="s">
        <v>671</v>
      </c>
      <c r="G467" s="14" t="s">
        <v>632</v>
      </c>
      <c r="H467" s="4"/>
      <c r="I467" s="4">
        <f t="shared" si="42"/>
        <v>0</v>
      </c>
      <c r="J467" s="4"/>
      <c r="K467" s="4">
        <f t="shared" si="29"/>
        <v>0</v>
      </c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">
      <c r="A468" s="1">
        <v>2245</v>
      </c>
      <c r="B468" s="13" t="s">
        <v>627</v>
      </c>
      <c r="C468" s="14" t="s">
        <v>675</v>
      </c>
      <c r="D468" s="14" t="s">
        <v>656</v>
      </c>
      <c r="E468" s="14" t="s">
        <v>676</v>
      </c>
      <c r="F468" s="14" t="s">
        <v>671</v>
      </c>
      <c r="G468" s="14" t="s">
        <v>632</v>
      </c>
      <c r="H468" s="4"/>
      <c r="I468" s="4">
        <f t="shared" si="42"/>
        <v>0</v>
      </c>
      <c r="J468" s="4"/>
      <c r="K468" s="4">
        <f t="shared" si="29"/>
        <v>0</v>
      </c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">
      <c r="A469" s="1">
        <v>2631</v>
      </c>
      <c r="B469" s="13" t="s">
        <v>702</v>
      </c>
      <c r="C469" s="14" t="s">
        <v>695</v>
      </c>
      <c r="D469" s="14" t="s">
        <v>86</v>
      </c>
      <c r="E469" s="14" t="s">
        <v>112</v>
      </c>
      <c r="F469" s="14" t="s">
        <v>671</v>
      </c>
      <c r="G469" s="14" t="s">
        <v>632</v>
      </c>
      <c r="H469" s="4"/>
      <c r="I469" s="4">
        <f t="shared" si="42"/>
        <v>0</v>
      </c>
      <c r="J469" s="4"/>
      <c r="K469" s="4">
        <f t="shared" si="29"/>
        <v>0</v>
      </c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">
      <c r="A470" s="1">
        <v>2633</v>
      </c>
      <c r="B470" s="13" t="s">
        <v>702</v>
      </c>
      <c r="C470" s="14" t="s">
        <v>696</v>
      </c>
      <c r="D470" s="14" t="s">
        <v>697</v>
      </c>
      <c r="E470" s="14" t="s">
        <v>40</v>
      </c>
      <c r="F470" s="14" t="s">
        <v>671</v>
      </c>
      <c r="G470" s="14" t="s">
        <v>632</v>
      </c>
      <c r="H470" s="4"/>
      <c r="I470" s="4">
        <f t="shared" si="42"/>
        <v>0</v>
      </c>
      <c r="J470" s="4"/>
      <c r="K470" s="4">
        <f t="shared" si="29"/>
        <v>0</v>
      </c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">
      <c r="A471" s="1">
        <v>2725</v>
      </c>
      <c r="B471" s="13" t="s">
        <v>703</v>
      </c>
      <c r="C471" s="14" t="s">
        <v>688</v>
      </c>
      <c r="D471" s="14" t="s">
        <v>104</v>
      </c>
      <c r="E471" s="14" t="s">
        <v>18</v>
      </c>
      <c r="F471" s="14" t="s">
        <v>671</v>
      </c>
      <c r="G471" s="14" t="s">
        <v>632</v>
      </c>
      <c r="H471" s="4"/>
      <c r="I471" s="4">
        <f t="shared" si="42"/>
        <v>0</v>
      </c>
      <c r="J471" s="4"/>
      <c r="K471" s="4">
        <f t="shared" si="29"/>
        <v>0</v>
      </c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">
      <c r="A472" s="1">
        <v>2727</v>
      </c>
      <c r="B472" s="13" t="s">
        <v>703</v>
      </c>
      <c r="C472" s="14" t="s">
        <v>689</v>
      </c>
      <c r="D472" s="14" t="s">
        <v>133</v>
      </c>
      <c r="E472" s="14" t="s">
        <v>690</v>
      </c>
      <c r="F472" s="14" t="s">
        <v>671</v>
      </c>
      <c r="G472" s="14" t="s">
        <v>632</v>
      </c>
      <c r="H472" s="4"/>
      <c r="I472" s="4">
        <f t="shared" si="42"/>
        <v>0</v>
      </c>
      <c r="J472" s="4"/>
      <c r="K472" s="4">
        <f t="shared" si="29"/>
        <v>0</v>
      </c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">
      <c r="A473" s="1">
        <v>2799</v>
      </c>
      <c r="B473" s="13" t="s">
        <v>288</v>
      </c>
      <c r="C473" s="14" t="s">
        <v>700</v>
      </c>
      <c r="D473" s="14" t="s">
        <v>139</v>
      </c>
      <c r="E473" s="14" t="s">
        <v>32</v>
      </c>
      <c r="F473" s="14" t="s">
        <v>671</v>
      </c>
      <c r="G473" s="14" t="s">
        <v>632</v>
      </c>
      <c r="H473" s="4">
        <v>21</v>
      </c>
      <c r="I473" s="4">
        <f>H473*1800</f>
        <v>37800</v>
      </c>
      <c r="J473" s="4"/>
      <c r="K473" s="4">
        <f t="shared" si="29"/>
        <v>0</v>
      </c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">
      <c r="A474" s="1">
        <v>2843</v>
      </c>
      <c r="B474" s="13" t="s">
        <v>654</v>
      </c>
      <c r="C474" s="14" t="s">
        <v>695</v>
      </c>
      <c r="D474" s="14" t="s">
        <v>86</v>
      </c>
      <c r="E474" s="14" t="s">
        <v>112</v>
      </c>
      <c r="F474" s="14" t="s">
        <v>671</v>
      </c>
      <c r="G474" s="14" t="s">
        <v>632</v>
      </c>
      <c r="H474" s="4"/>
      <c r="I474" s="4">
        <f t="shared" ref="I474:I501" si="43">H474*2300</f>
        <v>0</v>
      </c>
      <c r="J474" s="4"/>
      <c r="K474" s="4">
        <f t="shared" si="29"/>
        <v>0</v>
      </c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">
      <c r="A475" s="1">
        <v>5</v>
      </c>
      <c r="B475" s="13" t="s">
        <v>704</v>
      </c>
      <c r="C475" s="14" t="s">
        <v>705</v>
      </c>
      <c r="D475" s="14" t="s">
        <v>339</v>
      </c>
      <c r="E475" s="14" t="s">
        <v>650</v>
      </c>
      <c r="F475" s="14" t="s">
        <v>706</v>
      </c>
      <c r="G475" s="14" t="s">
        <v>632</v>
      </c>
      <c r="H475" s="4">
        <v>89</v>
      </c>
      <c r="I475" s="4">
        <f t="shared" si="43"/>
        <v>204700</v>
      </c>
      <c r="J475" s="4">
        <f>11</f>
        <v>11</v>
      </c>
      <c r="K475" s="4">
        <f>J475*4000+2*1350</f>
        <v>46700</v>
      </c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">
      <c r="A476" s="1">
        <v>87</v>
      </c>
      <c r="B476" s="13" t="s">
        <v>707</v>
      </c>
      <c r="C476" s="14" t="s">
        <v>705</v>
      </c>
      <c r="D476" s="14" t="s">
        <v>272</v>
      </c>
      <c r="E476" s="14" t="s">
        <v>650</v>
      </c>
      <c r="F476" s="14" t="s">
        <v>706</v>
      </c>
      <c r="G476" s="14" t="s">
        <v>632</v>
      </c>
      <c r="H476" s="4"/>
      <c r="I476" s="4">
        <f t="shared" si="43"/>
        <v>0</v>
      </c>
      <c r="J476" s="4"/>
      <c r="K476" s="4">
        <f t="shared" ref="K476:K730" si="44">J476*4000</f>
        <v>0</v>
      </c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">
      <c r="A477" s="1">
        <v>151</v>
      </c>
      <c r="B477" s="13" t="s">
        <v>460</v>
      </c>
      <c r="C477" s="14" t="s">
        <v>659</v>
      </c>
      <c r="D477" s="14" t="s">
        <v>516</v>
      </c>
      <c r="E477" s="14" t="s">
        <v>79</v>
      </c>
      <c r="F477" s="14" t="s">
        <v>706</v>
      </c>
      <c r="G477" s="14" t="s">
        <v>632</v>
      </c>
      <c r="H477" s="4"/>
      <c r="I477" s="4">
        <f t="shared" si="43"/>
        <v>0</v>
      </c>
      <c r="J477" s="4"/>
      <c r="K477" s="4">
        <f t="shared" si="44"/>
        <v>0</v>
      </c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">
      <c r="A478" s="1">
        <v>385</v>
      </c>
      <c r="B478" s="13" t="s">
        <v>246</v>
      </c>
      <c r="C478" s="14" t="s">
        <v>708</v>
      </c>
      <c r="D478" s="14" t="s">
        <v>58</v>
      </c>
      <c r="E478" s="14" t="s">
        <v>32</v>
      </c>
      <c r="F478" s="14" t="s">
        <v>706</v>
      </c>
      <c r="G478" s="14" t="s">
        <v>632</v>
      </c>
      <c r="H478" s="4"/>
      <c r="I478" s="4">
        <f t="shared" si="43"/>
        <v>0</v>
      </c>
      <c r="J478" s="4"/>
      <c r="K478" s="4">
        <f t="shared" si="44"/>
        <v>0</v>
      </c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">
      <c r="A479" s="1">
        <v>949</v>
      </c>
      <c r="B479" s="13" t="s">
        <v>709</v>
      </c>
      <c r="C479" s="14" t="s">
        <v>705</v>
      </c>
      <c r="D479" s="14" t="s">
        <v>272</v>
      </c>
      <c r="E479" s="14" t="s">
        <v>650</v>
      </c>
      <c r="F479" s="14" t="s">
        <v>706</v>
      </c>
      <c r="G479" s="14" t="s">
        <v>632</v>
      </c>
      <c r="H479" s="4"/>
      <c r="I479" s="4">
        <f t="shared" si="43"/>
        <v>0</v>
      </c>
      <c r="J479" s="4"/>
      <c r="K479" s="4">
        <f t="shared" si="44"/>
        <v>0</v>
      </c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">
      <c r="A480" s="1">
        <v>1089</v>
      </c>
      <c r="B480" s="13" t="s">
        <v>710</v>
      </c>
      <c r="C480" s="14" t="s">
        <v>659</v>
      </c>
      <c r="D480" s="14" t="s">
        <v>516</v>
      </c>
      <c r="E480" s="14" t="s">
        <v>79</v>
      </c>
      <c r="F480" s="14" t="s">
        <v>706</v>
      </c>
      <c r="G480" s="14" t="s">
        <v>632</v>
      </c>
      <c r="H480" s="4"/>
      <c r="I480" s="4">
        <f t="shared" si="43"/>
        <v>0</v>
      </c>
      <c r="J480" s="4"/>
      <c r="K480" s="4">
        <f t="shared" si="44"/>
        <v>0</v>
      </c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">
      <c r="A481" s="1">
        <v>1417</v>
      </c>
      <c r="B481" s="13" t="s">
        <v>386</v>
      </c>
      <c r="C481" s="14" t="s">
        <v>708</v>
      </c>
      <c r="D481" s="14" t="s">
        <v>58</v>
      </c>
      <c r="E481" s="14" t="s">
        <v>32</v>
      </c>
      <c r="F481" s="14" t="s">
        <v>706</v>
      </c>
      <c r="G481" s="14" t="s">
        <v>632</v>
      </c>
      <c r="H481" s="4"/>
      <c r="I481" s="4">
        <f t="shared" si="43"/>
        <v>0</v>
      </c>
      <c r="J481" s="4"/>
      <c r="K481" s="4">
        <f t="shared" si="44"/>
        <v>0</v>
      </c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">
      <c r="A482" s="1">
        <v>1787</v>
      </c>
      <c r="B482" s="13" t="s">
        <v>442</v>
      </c>
      <c r="C482" s="14" t="s">
        <v>659</v>
      </c>
      <c r="D482" s="14" t="s">
        <v>516</v>
      </c>
      <c r="E482" s="14" t="s">
        <v>79</v>
      </c>
      <c r="F482" s="14" t="s">
        <v>706</v>
      </c>
      <c r="G482" s="14" t="s">
        <v>632</v>
      </c>
      <c r="H482" s="4"/>
      <c r="I482" s="4">
        <f t="shared" si="43"/>
        <v>0</v>
      </c>
      <c r="J482" s="4"/>
      <c r="K482" s="4">
        <f t="shared" si="44"/>
        <v>0</v>
      </c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">
      <c r="A483" s="1">
        <v>1881</v>
      </c>
      <c r="B483" s="13" t="s">
        <v>711</v>
      </c>
      <c r="C483" s="14" t="s">
        <v>708</v>
      </c>
      <c r="D483" s="14" t="s">
        <v>58</v>
      </c>
      <c r="E483" s="14" t="s">
        <v>32</v>
      </c>
      <c r="F483" s="14" t="s">
        <v>706</v>
      </c>
      <c r="G483" s="14" t="s">
        <v>632</v>
      </c>
      <c r="H483" s="4"/>
      <c r="I483" s="4">
        <f t="shared" si="43"/>
        <v>0</v>
      </c>
      <c r="J483" s="4"/>
      <c r="K483" s="4">
        <f t="shared" si="44"/>
        <v>0</v>
      </c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">
      <c r="A484" s="1">
        <v>2051</v>
      </c>
      <c r="B484" s="13" t="s">
        <v>701</v>
      </c>
      <c r="C484" s="14" t="s">
        <v>705</v>
      </c>
      <c r="D484" s="14" t="s">
        <v>272</v>
      </c>
      <c r="E484" s="14" t="s">
        <v>650</v>
      </c>
      <c r="F484" s="14" t="s">
        <v>706</v>
      </c>
      <c r="G484" s="14" t="s">
        <v>632</v>
      </c>
      <c r="H484" s="4"/>
      <c r="I484" s="4">
        <f t="shared" si="43"/>
        <v>0</v>
      </c>
      <c r="J484" s="4"/>
      <c r="K484" s="4">
        <f t="shared" si="44"/>
        <v>0</v>
      </c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">
      <c r="A485" s="1">
        <v>2075</v>
      </c>
      <c r="B485" s="13" t="s">
        <v>653</v>
      </c>
      <c r="C485" s="14" t="s">
        <v>659</v>
      </c>
      <c r="D485" s="14" t="s">
        <v>516</v>
      </c>
      <c r="E485" s="14" t="s">
        <v>79</v>
      </c>
      <c r="F485" s="14" t="s">
        <v>706</v>
      </c>
      <c r="G485" s="14" t="s">
        <v>632</v>
      </c>
      <c r="H485" s="4"/>
      <c r="I485" s="4">
        <f t="shared" si="43"/>
        <v>0</v>
      </c>
      <c r="J485" s="4"/>
      <c r="K485" s="4">
        <f t="shared" si="44"/>
        <v>0</v>
      </c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">
      <c r="A486" s="1">
        <v>2157</v>
      </c>
      <c r="B486" s="13" t="s">
        <v>281</v>
      </c>
      <c r="C486" s="14" t="s">
        <v>708</v>
      </c>
      <c r="D486" s="14" t="s">
        <v>58</v>
      </c>
      <c r="E486" s="14" t="s">
        <v>32</v>
      </c>
      <c r="F486" s="14" t="s">
        <v>706</v>
      </c>
      <c r="G486" s="14" t="s">
        <v>632</v>
      </c>
      <c r="H486" s="4"/>
      <c r="I486" s="4">
        <f t="shared" si="43"/>
        <v>0</v>
      </c>
      <c r="J486" s="4"/>
      <c r="K486" s="4">
        <f t="shared" si="44"/>
        <v>0</v>
      </c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">
      <c r="A487" s="1">
        <v>1197</v>
      </c>
      <c r="B487" s="13" t="s">
        <v>256</v>
      </c>
      <c r="C487" s="14" t="s">
        <v>712</v>
      </c>
      <c r="D487" s="14" t="s">
        <v>713</v>
      </c>
      <c r="E487" s="14" t="s">
        <v>714</v>
      </c>
      <c r="F487" s="14" t="s">
        <v>715</v>
      </c>
      <c r="G487" s="14" t="s">
        <v>632</v>
      </c>
      <c r="H487" s="4"/>
      <c r="I487" s="4">
        <f t="shared" si="43"/>
        <v>0</v>
      </c>
      <c r="J487" s="4"/>
      <c r="K487" s="4">
        <f t="shared" si="44"/>
        <v>0</v>
      </c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">
      <c r="A488" s="1">
        <v>1297</v>
      </c>
      <c r="B488" s="13" t="s">
        <v>453</v>
      </c>
      <c r="C488" s="14" t="s">
        <v>716</v>
      </c>
      <c r="D488" s="14" t="s">
        <v>78</v>
      </c>
      <c r="E488" s="14" t="s">
        <v>40</v>
      </c>
      <c r="F488" s="14" t="s">
        <v>715</v>
      </c>
      <c r="G488" s="14" t="s">
        <v>632</v>
      </c>
      <c r="H488" s="4"/>
      <c r="I488" s="4">
        <f t="shared" si="43"/>
        <v>0</v>
      </c>
      <c r="J488" s="4"/>
      <c r="K488" s="4">
        <f t="shared" si="44"/>
        <v>0</v>
      </c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">
      <c r="A489" s="1">
        <v>1343</v>
      </c>
      <c r="B489" s="13" t="s">
        <v>260</v>
      </c>
      <c r="C489" s="14" t="s">
        <v>717</v>
      </c>
      <c r="D489" s="14" t="s">
        <v>309</v>
      </c>
      <c r="E489" s="14" t="s">
        <v>87</v>
      </c>
      <c r="F489" s="14" t="s">
        <v>715</v>
      </c>
      <c r="G489" s="14" t="s">
        <v>632</v>
      </c>
      <c r="H489" s="4"/>
      <c r="I489" s="4">
        <f t="shared" si="43"/>
        <v>0</v>
      </c>
      <c r="J489" s="4"/>
      <c r="K489" s="4">
        <f t="shared" si="44"/>
        <v>0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">
      <c r="A490" s="1">
        <v>1519</v>
      </c>
      <c r="B490" s="13" t="s">
        <v>262</v>
      </c>
      <c r="C490" s="14" t="s">
        <v>718</v>
      </c>
      <c r="D490" s="14" t="s">
        <v>719</v>
      </c>
      <c r="E490" s="14" t="s">
        <v>720</v>
      </c>
      <c r="F490" s="14" t="s">
        <v>715</v>
      </c>
      <c r="G490" s="14" t="s">
        <v>632</v>
      </c>
      <c r="H490" s="4"/>
      <c r="I490" s="4">
        <f t="shared" si="43"/>
        <v>0</v>
      </c>
      <c r="J490" s="4"/>
      <c r="K490" s="4">
        <f t="shared" si="44"/>
        <v>0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">
      <c r="A491" s="1">
        <v>1521</v>
      </c>
      <c r="B491" s="13" t="s">
        <v>262</v>
      </c>
      <c r="C491" s="14" t="s">
        <v>718</v>
      </c>
      <c r="D491" s="14" t="s">
        <v>656</v>
      </c>
      <c r="E491" s="14" t="s">
        <v>720</v>
      </c>
      <c r="F491" s="14" t="s">
        <v>715</v>
      </c>
      <c r="G491" s="14" t="s">
        <v>632</v>
      </c>
      <c r="H491" s="4"/>
      <c r="I491" s="4">
        <f t="shared" si="43"/>
        <v>0</v>
      </c>
      <c r="J491" s="4"/>
      <c r="K491" s="4">
        <f t="shared" si="44"/>
        <v>0</v>
      </c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">
      <c r="A492" s="1">
        <v>1815</v>
      </c>
      <c r="B492" s="13" t="s">
        <v>276</v>
      </c>
      <c r="C492" s="14" t="s">
        <v>717</v>
      </c>
      <c r="D492" s="14" t="s">
        <v>309</v>
      </c>
      <c r="E492" s="14" t="s">
        <v>87</v>
      </c>
      <c r="F492" s="14" t="s">
        <v>715</v>
      </c>
      <c r="G492" s="14" t="s">
        <v>632</v>
      </c>
      <c r="H492" s="4"/>
      <c r="I492" s="4">
        <f t="shared" si="43"/>
        <v>0</v>
      </c>
      <c r="J492" s="4"/>
      <c r="K492" s="4">
        <f t="shared" si="44"/>
        <v>0</v>
      </c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">
      <c r="A493" s="1">
        <v>1969</v>
      </c>
      <c r="B493" s="13" t="s">
        <v>721</v>
      </c>
      <c r="C493" s="14" t="s">
        <v>718</v>
      </c>
      <c r="D493" s="14" t="s">
        <v>719</v>
      </c>
      <c r="E493" s="14" t="s">
        <v>720</v>
      </c>
      <c r="F493" s="14" t="s">
        <v>715</v>
      </c>
      <c r="G493" s="14" t="s">
        <v>632</v>
      </c>
      <c r="H493" s="4"/>
      <c r="I493" s="4">
        <f t="shared" si="43"/>
        <v>0</v>
      </c>
      <c r="J493" s="4"/>
      <c r="K493" s="4">
        <f t="shared" si="44"/>
        <v>0</v>
      </c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">
      <c r="A494" s="1">
        <v>1971</v>
      </c>
      <c r="B494" s="13" t="s">
        <v>721</v>
      </c>
      <c r="C494" s="14" t="s">
        <v>718</v>
      </c>
      <c r="D494" s="14" t="s">
        <v>656</v>
      </c>
      <c r="E494" s="14" t="s">
        <v>720</v>
      </c>
      <c r="F494" s="14" t="s">
        <v>715</v>
      </c>
      <c r="G494" s="14" t="s">
        <v>632</v>
      </c>
      <c r="H494" s="4"/>
      <c r="I494" s="4">
        <f t="shared" si="43"/>
        <v>0</v>
      </c>
      <c r="J494" s="4"/>
      <c r="K494" s="4">
        <f t="shared" si="44"/>
        <v>0</v>
      </c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">
      <c r="A495" s="1">
        <v>2133</v>
      </c>
      <c r="B495" s="13" t="s">
        <v>280</v>
      </c>
      <c r="C495" s="14" t="s">
        <v>716</v>
      </c>
      <c r="D495" s="14" t="s">
        <v>78</v>
      </c>
      <c r="E495" s="14" t="s">
        <v>40</v>
      </c>
      <c r="F495" s="14" t="s">
        <v>715</v>
      </c>
      <c r="G495" s="14" t="s">
        <v>632</v>
      </c>
      <c r="H495" s="4"/>
      <c r="I495" s="4">
        <f t="shared" si="43"/>
        <v>0</v>
      </c>
      <c r="J495" s="4"/>
      <c r="K495" s="4">
        <f t="shared" si="44"/>
        <v>0</v>
      </c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">
      <c r="A496" s="1">
        <v>2135</v>
      </c>
      <c r="B496" s="13" t="s">
        <v>280</v>
      </c>
      <c r="C496" s="14" t="s">
        <v>717</v>
      </c>
      <c r="D496" s="14" t="s">
        <v>309</v>
      </c>
      <c r="E496" s="14" t="s">
        <v>87</v>
      </c>
      <c r="F496" s="14" t="s">
        <v>715</v>
      </c>
      <c r="G496" s="14" t="s">
        <v>632</v>
      </c>
      <c r="H496" s="4"/>
      <c r="I496" s="4">
        <f t="shared" si="43"/>
        <v>0</v>
      </c>
      <c r="J496" s="4"/>
      <c r="K496" s="4">
        <f t="shared" si="44"/>
        <v>0</v>
      </c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">
      <c r="A497" s="1">
        <v>2263</v>
      </c>
      <c r="B497" s="13" t="s">
        <v>517</v>
      </c>
      <c r="C497" s="14" t="s">
        <v>712</v>
      </c>
      <c r="D497" s="14" t="s">
        <v>713</v>
      </c>
      <c r="E497" s="14" t="s">
        <v>714</v>
      </c>
      <c r="F497" s="14" t="s">
        <v>715</v>
      </c>
      <c r="G497" s="14" t="s">
        <v>632</v>
      </c>
      <c r="H497" s="4"/>
      <c r="I497" s="4">
        <f t="shared" si="43"/>
        <v>0</v>
      </c>
      <c r="J497" s="4"/>
      <c r="K497" s="4">
        <f t="shared" si="44"/>
        <v>0</v>
      </c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">
      <c r="A498" s="1">
        <v>2573</v>
      </c>
      <c r="B498" s="13" t="s">
        <v>286</v>
      </c>
      <c r="C498" s="14" t="s">
        <v>712</v>
      </c>
      <c r="D498" s="14" t="s">
        <v>713</v>
      </c>
      <c r="E498" s="14" t="s">
        <v>714</v>
      </c>
      <c r="F498" s="14" t="s">
        <v>715</v>
      </c>
      <c r="G498" s="14" t="s">
        <v>632</v>
      </c>
      <c r="H498" s="4"/>
      <c r="I498" s="4">
        <f t="shared" si="43"/>
        <v>0</v>
      </c>
      <c r="J498" s="4"/>
      <c r="K498" s="4">
        <f t="shared" si="44"/>
        <v>0</v>
      </c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">
      <c r="A499" s="1">
        <v>2937</v>
      </c>
      <c r="B499" s="13" t="s">
        <v>722</v>
      </c>
      <c r="C499" s="14" t="s">
        <v>716</v>
      </c>
      <c r="D499" s="14" t="s">
        <v>78</v>
      </c>
      <c r="E499" s="14" t="s">
        <v>40</v>
      </c>
      <c r="F499" s="14" t="s">
        <v>715</v>
      </c>
      <c r="G499" s="14" t="s">
        <v>632</v>
      </c>
      <c r="H499" s="4"/>
      <c r="I499" s="4">
        <f t="shared" si="43"/>
        <v>0</v>
      </c>
      <c r="J499" s="4"/>
      <c r="K499" s="4">
        <f t="shared" si="44"/>
        <v>0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">
      <c r="A500" s="1">
        <v>1</v>
      </c>
      <c r="B500" s="13" t="s">
        <v>411</v>
      </c>
      <c r="C500" s="14" t="s">
        <v>723</v>
      </c>
      <c r="D500" s="14" t="s">
        <v>139</v>
      </c>
      <c r="E500" s="14" t="s">
        <v>630</v>
      </c>
      <c r="F500" s="14" t="s">
        <v>724</v>
      </c>
      <c r="G500" s="14" t="s">
        <v>725</v>
      </c>
      <c r="H500" s="4"/>
      <c r="I500" s="4">
        <f t="shared" si="43"/>
        <v>0</v>
      </c>
      <c r="J500" s="4"/>
      <c r="K500" s="4">
        <f t="shared" si="44"/>
        <v>0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">
      <c r="A501" s="1">
        <v>289</v>
      </c>
      <c r="B501" s="13" t="s">
        <v>726</v>
      </c>
      <c r="C501" s="14" t="s">
        <v>723</v>
      </c>
      <c r="D501" s="14" t="s">
        <v>139</v>
      </c>
      <c r="E501" s="14" t="s">
        <v>630</v>
      </c>
      <c r="F501" s="14" t="s">
        <v>724</v>
      </c>
      <c r="G501" s="14" t="s">
        <v>725</v>
      </c>
      <c r="H501" s="4"/>
      <c r="I501" s="4">
        <f t="shared" si="43"/>
        <v>0</v>
      </c>
      <c r="J501" s="4"/>
      <c r="K501" s="4">
        <f t="shared" si="44"/>
        <v>0</v>
      </c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">
      <c r="A502" s="1"/>
      <c r="B502" s="2" t="s">
        <v>548</v>
      </c>
      <c r="C502" s="3" t="s">
        <v>727</v>
      </c>
      <c r="D502" s="3" t="s">
        <v>292</v>
      </c>
      <c r="E502" s="3" t="s">
        <v>273</v>
      </c>
      <c r="F502" s="3" t="s">
        <v>724</v>
      </c>
      <c r="G502" s="3" t="s">
        <v>725</v>
      </c>
      <c r="H502" s="4"/>
      <c r="I502" s="4">
        <f t="shared" ref="I502:I504" si="45">H502*1800</f>
        <v>0</v>
      </c>
      <c r="J502" s="4"/>
      <c r="K502" s="4">
        <f t="shared" si="44"/>
        <v>0</v>
      </c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">
      <c r="A503" s="1"/>
      <c r="B503" s="2" t="s">
        <v>728</v>
      </c>
      <c r="C503" s="3" t="s">
        <v>727</v>
      </c>
      <c r="D503" s="3" t="s">
        <v>292</v>
      </c>
      <c r="E503" s="3" t="s">
        <v>273</v>
      </c>
      <c r="F503" s="3" t="s">
        <v>724</v>
      </c>
      <c r="G503" s="3" t="s">
        <v>725</v>
      </c>
      <c r="H503" s="4"/>
      <c r="I503" s="4">
        <f t="shared" si="45"/>
        <v>0</v>
      </c>
      <c r="J503" s="4"/>
      <c r="K503" s="4">
        <f t="shared" si="44"/>
        <v>0</v>
      </c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">
      <c r="A504" s="1"/>
      <c r="B504" s="2" t="s">
        <v>88</v>
      </c>
      <c r="C504" s="3" t="s">
        <v>723</v>
      </c>
      <c r="D504" s="3" t="s">
        <v>139</v>
      </c>
      <c r="E504" s="3" t="s">
        <v>630</v>
      </c>
      <c r="F504" s="3" t="s">
        <v>724</v>
      </c>
      <c r="G504" s="3" t="s">
        <v>725</v>
      </c>
      <c r="H504" s="4"/>
      <c r="I504" s="4">
        <f t="shared" si="45"/>
        <v>0</v>
      </c>
      <c r="J504" s="4"/>
      <c r="K504" s="4">
        <f t="shared" si="44"/>
        <v>0</v>
      </c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">
      <c r="A505" s="1">
        <v>19</v>
      </c>
      <c r="B505" s="13" t="s">
        <v>411</v>
      </c>
      <c r="C505" s="14" t="s">
        <v>729</v>
      </c>
      <c r="D505" s="14" t="s">
        <v>730</v>
      </c>
      <c r="E505" s="14" t="s">
        <v>322</v>
      </c>
      <c r="F505" s="14" t="s">
        <v>731</v>
      </c>
      <c r="G505" s="14" t="s">
        <v>725</v>
      </c>
      <c r="H505" s="4"/>
      <c r="I505" s="4">
        <f t="shared" ref="I505:I506" si="46">H505*2300</f>
        <v>0</v>
      </c>
      <c r="J505" s="4"/>
      <c r="K505" s="4">
        <f t="shared" si="44"/>
        <v>0</v>
      </c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">
      <c r="A506" s="1">
        <v>297</v>
      </c>
      <c r="B506" s="13" t="s">
        <v>726</v>
      </c>
      <c r="C506" s="14" t="s">
        <v>729</v>
      </c>
      <c r="D506" s="14" t="s">
        <v>730</v>
      </c>
      <c r="E506" s="14" t="s">
        <v>322</v>
      </c>
      <c r="F506" s="14" t="s">
        <v>731</v>
      </c>
      <c r="G506" s="14" t="s">
        <v>725</v>
      </c>
      <c r="H506" s="4"/>
      <c r="I506" s="4">
        <f t="shared" si="46"/>
        <v>0</v>
      </c>
      <c r="J506" s="4"/>
      <c r="K506" s="4">
        <f t="shared" si="44"/>
        <v>0</v>
      </c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">
      <c r="A507" s="1"/>
      <c r="B507" s="2" t="s">
        <v>523</v>
      </c>
      <c r="C507" s="3" t="s">
        <v>732</v>
      </c>
      <c r="D507" s="3" t="s">
        <v>86</v>
      </c>
      <c r="E507" s="3" t="s">
        <v>733</v>
      </c>
      <c r="F507" s="3" t="s">
        <v>734</v>
      </c>
      <c r="G507" s="3" t="s">
        <v>735</v>
      </c>
      <c r="H507" s="4"/>
      <c r="I507" s="4">
        <f t="shared" ref="I507:I614" si="47">H507*1800</f>
        <v>0</v>
      </c>
      <c r="J507" s="4"/>
      <c r="K507" s="4">
        <f t="shared" si="44"/>
        <v>0</v>
      </c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">
      <c r="A508" s="1"/>
      <c r="B508" s="2" t="s">
        <v>736</v>
      </c>
      <c r="C508" s="3" t="s">
        <v>737</v>
      </c>
      <c r="D508" s="3" t="s">
        <v>272</v>
      </c>
      <c r="E508" s="3" t="s">
        <v>306</v>
      </c>
      <c r="F508" s="3" t="s">
        <v>734</v>
      </c>
      <c r="G508" s="3" t="s">
        <v>735</v>
      </c>
      <c r="H508" s="4"/>
      <c r="I508" s="4">
        <f t="shared" si="47"/>
        <v>0</v>
      </c>
      <c r="J508" s="4"/>
      <c r="K508" s="4">
        <f t="shared" si="44"/>
        <v>0</v>
      </c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">
      <c r="A509" s="1"/>
      <c r="B509" s="2" t="s">
        <v>300</v>
      </c>
      <c r="C509" s="3" t="s">
        <v>738</v>
      </c>
      <c r="D509" s="3" t="s">
        <v>739</v>
      </c>
      <c r="E509" s="3" t="s">
        <v>251</v>
      </c>
      <c r="F509" s="3" t="s">
        <v>740</v>
      </c>
      <c r="G509" s="3" t="s">
        <v>735</v>
      </c>
      <c r="H509" s="4"/>
      <c r="I509" s="4">
        <f t="shared" si="47"/>
        <v>0</v>
      </c>
      <c r="J509" s="4"/>
      <c r="K509" s="4">
        <f t="shared" si="44"/>
        <v>0</v>
      </c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">
      <c r="A510" s="1"/>
      <c r="B510" s="2" t="s">
        <v>108</v>
      </c>
      <c r="C510" s="3" t="s">
        <v>738</v>
      </c>
      <c r="D510" s="3" t="s">
        <v>739</v>
      </c>
      <c r="E510" s="3" t="s">
        <v>251</v>
      </c>
      <c r="F510" s="3" t="s">
        <v>740</v>
      </c>
      <c r="G510" s="3" t="s">
        <v>735</v>
      </c>
      <c r="H510" s="4"/>
      <c r="I510" s="4">
        <f t="shared" si="47"/>
        <v>0</v>
      </c>
      <c r="J510" s="4"/>
      <c r="K510" s="4">
        <f t="shared" si="44"/>
        <v>0</v>
      </c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">
      <c r="A511" s="1"/>
      <c r="B511" s="2" t="s">
        <v>94</v>
      </c>
      <c r="C511" s="3" t="s">
        <v>738</v>
      </c>
      <c r="D511" s="3" t="s">
        <v>739</v>
      </c>
      <c r="E511" s="3" t="s">
        <v>251</v>
      </c>
      <c r="F511" s="3" t="s">
        <v>740</v>
      </c>
      <c r="G511" s="3" t="s">
        <v>735</v>
      </c>
      <c r="H511" s="4"/>
      <c r="I511" s="4">
        <f t="shared" si="47"/>
        <v>0</v>
      </c>
      <c r="J511" s="4"/>
      <c r="K511" s="4">
        <f t="shared" si="44"/>
        <v>0</v>
      </c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">
      <c r="A512" s="1"/>
      <c r="B512" s="2" t="s">
        <v>102</v>
      </c>
      <c r="C512" s="3" t="s">
        <v>741</v>
      </c>
      <c r="D512" s="3" t="s">
        <v>742</v>
      </c>
      <c r="E512" s="3" t="s">
        <v>743</v>
      </c>
      <c r="F512" s="3" t="s">
        <v>740</v>
      </c>
      <c r="G512" s="3" t="s">
        <v>735</v>
      </c>
      <c r="H512" s="4"/>
      <c r="I512" s="4">
        <f t="shared" si="47"/>
        <v>0</v>
      </c>
      <c r="J512" s="4"/>
      <c r="K512" s="4">
        <f t="shared" si="44"/>
        <v>0</v>
      </c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">
      <c r="A513" s="1"/>
      <c r="B513" s="2" t="s">
        <v>108</v>
      </c>
      <c r="C513" s="3" t="s">
        <v>741</v>
      </c>
      <c r="D513" s="3" t="s">
        <v>742</v>
      </c>
      <c r="E513" s="3" t="s">
        <v>743</v>
      </c>
      <c r="F513" s="3" t="s">
        <v>740</v>
      </c>
      <c r="G513" s="3" t="s">
        <v>735</v>
      </c>
      <c r="H513" s="4"/>
      <c r="I513" s="4">
        <f t="shared" si="47"/>
        <v>0</v>
      </c>
      <c r="J513" s="4"/>
      <c r="K513" s="4">
        <f t="shared" si="44"/>
        <v>0</v>
      </c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">
      <c r="A514" s="1"/>
      <c r="B514" s="2" t="s">
        <v>94</v>
      </c>
      <c r="C514" s="3" t="s">
        <v>741</v>
      </c>
      <c r="D514" s="3" t="s">
        <v>742</v>
      </c>
      <c r="E514" s="3" t="s">
        <v>743</v>
      </c>
      <c r="F514" s="3" t="s">
        <v>740</v>
      </c>
      <c r="G514" s="3" t="s">
        <v>735</v>
      </c>
      <c r="H514" s="4"/>
      <c r="I514" s="4">
        <f t="shared" si="47"/>
        <v>0</v>
      </c>
      <c r="J514" s="4"/>
      <c r="K514" s="4">
        <f t="shared" si="44"/>
        <v>0</v>
      </c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">
      <c r="A515" s="1"/>
      <c r="B515" s="2" t="s">
        <v>26</v>
      </c>
      <c r="C515" s="3" t="s">
        <v>744</v>
      </c>
      <c r="D515" s="3" t="s">
        <v>58</v>
      </c>
      <c r="E515" s="3" t="s">
        <v>637</v>
      </c>
      <c r="F515" s="3" t="s">
        <v>745</v>
      </c>
      <c r="G515" s="3" t="s">
        <v>735</v>
      </c>
      <c r="H515" s="4"/>
      <c r="I515" s="4">
        <f t="shared" si="47"/>
        <v>0</v>
      </c>
      <c r="J515" s="4"/>
      <c r="K515" s="4">
        <f t="shared" si="44"/>
        <v>0</v>
      </c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 x14ac:dyDescent="0.2">
      <c r="A516" s="1"/>
      <c r="B516" s="2" t="s">
        <v>41</v>
      </c>
      <c r="C516" s="3" t="s">
        <v>746</v>
      </c>
      <c r="D516" s="3" t="s">
        <v>747</v>
      </c>
      <c r="E516" s="3" t="s">
        <v>748</v>
      </c>
      <c r="F516" s="3" t="s">
        <v>749</v>
      </c>
      <c r="G516" s="3" t="s">
        <v>735</v>
      </c>
      <c r="H516" s="4"/>
      <c r="I516" s="4">
        <f t="shared" si="47"/>
        <v>0</v>
      </c>
      <c r="J516" s="4"/>
      <c r="K516" s="4">
        <f t="shared" si="44"/>
        <v>0</v>
      </c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">
      <c r="A517" s="1"/>
      <c r="B517" s="2" t="s">
        <v>26</v>
      </c>
      <c r="C517" s="3" t="s">
        <v>750</v>
      </c>
      <c r="D517" s="3" t="s">
        <v>751</v>
      </c>
      <c r="E517" s="3" t="s">
        <v>752</v>
      </c>
      <c r="F517" s="3" t="s">
        <v>749</v>
      </c>
      <c r="G517" s="3" t="s">
        <v>735</v>
      </c>
      <c r="H517" s="4"/>
      <c r="I517" s="4">
        <f t="shared" si="47"/>
        <v>0</v>
      </c>
      <c r="J517" s="4"/>
      <c r="K517" s="4">
        <f t="shared" si="44"/>
        <v>0</v>
      </c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">
      <c r="A518" s="1"/>
      <c r="B518" s="2" t="s">
        <v>33</v>
      </c>
      <c r="C518" s="3" t="s">
        <v>196</v>
      </c>
      <c r="D518" s="3" t="s">
        <v>753</v>
      </c>
      <c r="E518" s="3" t="s">
        <v>754</v>
      </c>
      <c r="F518" s="3" t="s">
        <v>749</v>
      </c>
      <c r="G518" s="3" t="s">
        <v>735</v>
      </c>
      <c r="H518" s="4"/>
      <c r="I518" s="4">
        <f t="shared" si="47"/>
        <v>0</v>
      </c>
      <c r="J518" s="4"/>
      <c r="K518" s="4">
        <f t="shared" si="44"/>
        <v>0</v>
      </c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">
      <c r="A519" s="1"/>
      <c r="B519" s="2" t="s">
        <v>33</v>
      </c>
      <c r="C519" s="3" t="s">
        <v>755</v>
      </c>
      <c r="D519" s="3" t="s">
        <v>756</v>
      </c>
      <c r="E519" s="3" t="s">
        <v>757</v>
      </c>
      <c r="F519" s="3" t="s">
        <v>749</v>
      </c>
      <c r="G519" s="3" t="s">
        <v>735</v>
      </c>
      <c r="H519" s="4"/>
      <c r="I519" s="4">
        <f t="shared" si="47"/>
        <v>0</v>
      </c>
      <c r="J519" s="4"/>
      <c r="K519" s="4">
        <f t="shared" si="44"/>
        <v>0</v>
      </c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">
      <c r="A520" s="1"/>
      <c r="B520" s="2" t="s">
        <v>71</v>
      </c>
      <c r="C520" s="3" t="s">
        <v>758</v>
      </c>
      <c r="D520" s="3" t="s">
        <v>759</v>
      </c>
      <c r="E520" s="3" t="s">
        <v>160</v>
      </c>
      <c r="F520" s="3" t="s">
        <v>749</v>
      </c>
      <c r="G520" s="3" t="s">
        <v>735</v>
      </c>
      <c r="H520" s="4"/>
      <c r="I520" s="4">
        <f t="shared" si="47"/>
        <v>0</v>
      </c>
      <c r="J520" s="4"/>
      <c r="K520" s="4">
        <f t="shared" si="44"/>
        <v>0</v>
      </c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">
      <c r="A521" s="1"/>
      <c r="B521" s="2" t="s">
        <v>71</v>
      </c>
      <c r="C521" s="3" t="s">
        <v>760</v>
      </c>
      <c r="D521" s="3" t="s">
        <v>761</v>
      </c>
      <c r="E521" s="3" t="s">
        <v>193</v>
      </c>
      <c r="F521" s="3" t="s">
        <v>749</v>
      </c>
      <c r="G521" s="3" t="s">
        <v>735</v>
      </c>
      <c r="H521" s="4"/>
      <c r="I521" s="4">
        <f t="shared" si="47"/>
        <v>0</v>
      </c>
      <c r="J521" s="4"/>
      <c r="K521" s="4">
        <f t="shared" si="44"/>
        <v>0</v>
      </c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 x14ac:dyDescent="0.2">
      <c r="A522" s="1"/>
      <c r="B522" s="2" t="s">
        <v>37</v>
      </c>
      <c r="C522" s="3" t="s">
        <v>147</v>
      </c>
      <c r="D522" s="3" t="s">
        <v>762</v>
      </c>
      <c r="E522" s="3" t="s">
        <v>149</v>
      </c>
      <c r="F522" s="3" t="s">
        <v>749</v>
      </c>
      <c r="G522" s="3" t="s">
        <v>735</v>
      </c>
      <c r="H522" s="4"/>
      <c r="I522" s="4">
        <f t="shared" si="47"/>
        <v>0</v>
      </c>
      <c r="J522" s="4"/>
      <c r="K522" s="4">
        <f t="shared" si="44"/>
        <v>0</v>
      </c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">
      <c r="A523" s="1"/>
      <c r="B523" s="2" t="s">
        <v>26</v>
      </c>
      <c r="C523" s="3" t="s">
        <v>763</v>
      </c>
      <c r="D523" s="3" t="s">
        <v>764</v>
      </c>
      <c r="E523" s="3" t="s">
        <v>149</v>
      </c>
      <c r="F523" s="3" t="s">
        <v>749</v>
      </c>
      <c r="G523" s="3" t="s">
        <v>735</v>
      </c>
      <c r="H523" s="4"/>
      <c r="I523" s="4">
        <f t="shared" si="47"/>
        <v>0</v>
      </c>
      <c r="J523" s="4"/>
      <c r="K523" s="4">
        <f t="shared" si="44"/>
        <v>0</v>
      </c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">
      <c r="A524" s="1"/>
      <c r="B524" s="2" t="s">
        <v>26</v>
      </c>
      <c r="C524" s="3" t="s">
        <v>765</v>
      </c>
      <c r="D524" s="3" t="s">
        <v>762</v>
      </c>
      <c r="E524" s="3" t="s">
        <v>766</v>
      </c>
      <c r="F524" s="3" t="s">
        <v>749</v>
      </c>
      <c r="G524" s="3" t="s">
        <v>735</v>
      </c>
      <c r="H524" s="4"/>
      <c r="I524" s="4">
        <f t="shared" si="47"/>
        <v>0</v>
      </c>
      <c r="J524" s="4"/>
      <c r="K524" s="4">
        <f t="shared" si="44"/>
        <v>0</v>
      </c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">
      <c r="A525" s="1"/>
      <c r="B525" s="2" t="s">
        <v>41</v>
      </c>
      <c r="C525" s="3" t="s">
        <v>767</v>
      </c>
      <c r="D525" s="3" t="s">
        <v>768</v>
      </c>
      <c r="E525" s="3" t="s">
        <v>769</v>
      </c>
      <c r="F525" s="3" t="s">
        <v>749</v>
      </c>
      <c r="G525" s="3" t="s">
        <v>735</v>
      </c>
      <c r="H525" s="4"/>
      <c r="I525" s="4">
        <f t="shared" si="47"/>
        <v>0</v>
      </c>
      <c r="J525" s="4"/>
      <c r="K525" s="4">
        <f t="shared" si="44"/>
        <v>0</v>
      </c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">
      <c r="A526" s="1"/>
      <c r="B526" s="2" t="s">
        <v>46</v>
      </c>
      <c r="C526" s="3" t="s">
        <v>770</v>
      </c>
      <c r="D526" s="3" t="s">
        <v>771</v>
      </c>
      <c r="E526" s="3" t="s">
        <v>772</v>
      </c>
      <c r="F526" s="3" t="s">
        <v>749</v>
      </c>
      <c r="G526" s="3" t="s">
        <v>735</v>
      </c>
      <c r="H526" s="4"/>
      <c r="I526" s="4">
        <f t="shared" si="47"/>
        <v>0</v>
      </c>
      <c r="J526" s="4"/>
      <c r="K526" s="4">
        <f t="shared" si="44"/>
        <v>0</v>
      </c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">
      <c r="A527" s="1"/>
      <c r="B527" s="2" t="s">
        <v>46</v>
      </c>
      <c r="C527" s="3" t="s">
        <v>773</v>
      </c>
      <c r="D527" s="3" t="s">
        <v>759</v>
      </c>
      <c r="E527" s="3" t="s">
        <v>774</v>
      </c>
      <c r="F527" s="3" t="s">
        <v>749</v>
      </c>
      <c r="G527" s="3" t="s">
        <v>735</v>
      </c>
      <c r="H527" s="4"/>
      <c r="I527" s="4">
        <f t="shared" si="47"/>
        <v>0</v>
      </c>
      <c r="J527" s="4"/>
      <c r="K527" s="4">
        <f t="shared" si="44"/>
        <v>0</v>
      </c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">
      <c r="A528" s="1"/>
      <c r="B528" s="2" t="s">
        <v>26</v>
      </c>
      <c r="C528" s="3" t="s">
        <v>775</v>
      </c>
      <c r="D528" s="3" t="s">
        <v>776</v>
      </c>
      <c r="E528" s="3" t="s">
        <v>777</v>
      </c>
      <c r="F528" s="3" t="s">
        <v>749</v>
      </c>
      <c r="G528" s="3" t="s">
        <v>735</v>
      </c>
      <c r="H528" s="4"/>
      <c r="I528" s="4">
        <f t="shared" si="47"/>
        <v>0</v>
      </c>
      <c r="J528" s="4"/>
      <c r="K528" s="4">
        <f t="shared" si="44"/>
        <v>0</v>
      </c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">
      <c r="A529" s="1"/>
      <c r="B529" s="2" t="s">
        <v>26</v>
      </c>
      <c r="C529" s="3" t="s">
        <v>778</v>
      </c>
      <c r="D529" s="3" t="s">
        <v>156</v>
      </c>
      <c r="E529" s="3" t="s">
        <v>193</v>
      </c>
      <c r="F529" s="3" t="s">
        <v>749</v>
      </c>
      <c r="G529" s="3" t="s">
        <v>735</v>
      </c>
      <c r="H529" s="4"/>
      <c r="I529" s="4">
        <f t="shared" si="47"/>
        <v>0</v>
      </c>
      <c r="J529" s="4"/>
      <c r="K529" s="4">
        <f t="shared" si="44"/>
        <v>0</v>
      </c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 x14ac:dyDescent="0.2">
      <c r="A530" s="1"/>
      <c r="B530" s="2" t="s">
        <v>41</v>
      </c>
      <c r="C530" s="3" t="s">
        <v>779</v>
      </c>
      <c r="D530" s="3" t="s">
        <v>780</v>
      </c>
      <c r="E530" s="3" t="s">
        <v>781</v>
      </c>
      <c r="F530" s="3" t="s">
        <v>782</v>
      </c>
      <c r="G530" s="3" t="s">
        <v>735</v>
      </c>
      <c r="H530" s="4"/>
      <c r="I530" s="4">
        <f t="shared" si="47"/>
        <v>0</v>
      </c>
      <c r="J530" s="4"/>
      <c r="K530" s="4">
        <f t="shared" si="44"/>
        <v>0</v>
      </c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 x14ac:dyDescent="0.2">
      <c r="A531" s="1"/>
      <c r="B531" s="2" t="s">
        <v>37</v>
      </c>
      <c r="C531" s="3" t="s">
        <v>783</v>
      </c>
      <c r="D531" s="3" t="s">
        <v>784</v>
      </c>
      <c r="E531" s="3" t="s">
        <v>452</v>
      </c>
      <c r="F531" s="3" t="s">
        <v>782</v>
      </c>
      <c r="G531" s="3" t="s">
        <v>735</v>
      </c>
      <c r="H531" s="4"/>
      <c r="I531" s="4">
        <f t="shared" si="47"/>
        <v>0</v>
      </c>
      <c r="J531" s="4"/>
      <c r="K531" s="4">
        <f t="shared" si="44"/>
        <v>0</v>
      </c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 x14ac:dyDescent="0.2">
      <c r="A532" s="1"/>
      <c r="B532" s="2" t="s">
        <v>307</v>
      </c>
      <c r="C532" s="3" t="s">
        <v>301</v>
      </c>
      <c r="D532" s="3" t="s">
        <v>78</v>
      </c>
      <c r="E532" s="3" t="s">
        <v>393</v>
      </c>
      <c r="F532" s="3" t="s">
        <v>785</v>
      </c>
      <c r="G532" s="3" t="s">
        <v>735</v>
      </c>
      <c r="H532" s="4"/>
      <c r="I532" s="4">
        <f t="shared" si="47"/>
        <v>0</v>
      </c>
      <c r="J532" s="4"/>
      <c r="K532" s="4">
        <f t="shared" si="44"/>
        <v>0</v>
      </c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 x14ac:dyDescent="0.2">
      <c r="A533" s="1"/>
      <c r="B533" s="2" t="s">
        <v>102</v>
      </c>
      <c r="C533" s="3" t="s">
        <v>786</v>
      </c>
      <c r="D533" s="3" t="s">
        <v>430</v>
      </c>
      <c r="E533" s="3" t="s">
        <v>787</v>
      </c>
      <c r="F533" s="3" t="s">
        <v>785</v>
      </c>
      <c r="G533" s="3" t="s">
        <v>735</v>
      </c>
      <c r="H533" s="4"/>
      <c r="I533" s="4">
        <f t="shared" si="47"/>
        <v>0</v>
      </c>
      <c r="J533" s="4"/>
      <c r="K533" s="4">
        <f t="shared" si="44"/>
        <v>0</v>
      </c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 x14ac:dyDescent="0.2">
      <c r="A534" s="1"/>
      <c r="B534" s="2" t="s">
        <v>108</v>
      </c>
      <c r="C534" s="3" t="s">
        <v>786</v>
      </c>
      <c r="D534" s="3" t="s">
        <v>430</v>
      </c>
      <c r="E534" s="3" t="s">
        <v>787</v>
      </c>
      <c r="F534" s="3" t="s">
        <v>785</v>
      </c>
      <c r="G534" s="3" t="s">
        <v>735</v>
      </c>
      <c r="H534" s="4"/>
      <c r="I534" s="4">
        <f t="shared" si="47"/>
        <v>0</v>
      </c>
      <c r="J534" s="4"/>
      <c r="K534" s="4">
        <f t="shared" si="44"/>
        <v>0</v>
      </c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 x14ac:dyDescent="0.2">
      <c r="A535" s="1"/>
      <c r="B535" s="2" t="s">
        <v>118</v>
      </c>
      <c r="C535" s="3" t="s">
        <v>786</v>
      </c>
      <c r="D535" s="3" t="s">
        <v>353</v>
      </c>
      <c r="E535" s="3" t="s">
        <v>787</v>
      </c>
      <c r="F535" s="3" t="s">
        <v>785</v>
      </c>
      <c r="G535" s="3" t="s">
        <v>735</v>
      </c>
      <c r="H535" s="4"/>
      <c r="I535" s="4">
        <f t="shared" si="47"/>
        <v>0</v>
      </c>
      <c r="J535" s="4"/>
      <c r="K535" s="4">
        <f t="shared" si="44"/>
        <v>0</v>
      </c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 x14ac:dyDescent="0.2">
      <c r="A536" s="1"/>
      <c r="B536" s="2" t="s">
        <v>108</v>
      </c>
      <c r="C536" s="3" t="s">
        <v>786</v>
      </c>
      <c r="D536" s="3" t="s">
        <v>353</v>
      </c>
      <c r="E536" s="3" t="s">
        <v>787</v>
      </c>
      <c r="F536" s="3" t="s">
        <v>785</v>
      </c>
      <c r="G536" s="3" t="s">
        <v>735</v>
      </c>
      <c r="H536" s="4"/>
      <c r="I536" s="4">
        <f t="shared" si="47"/>
        <v>0</v>
      </c>
      <c r="J536" s="4"/>
      <c r="K536" s="4">
        <f t="shared" si="44"/>
        <v>0</v>
      </c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 x14ac:dyDescent="0.2">
      <c r="A537" s="1"/>
      <c r="B537" s="2" t="s">
        <v>80</v>
      </c>
      <c r="C537" s="3" t="s">
        <v>788</v>
      </c>
      <c r="D537" s="3" t="s">
        <v>789</v>
      </c>
      <c r="E537" s="3" t="s">
        <v>790</v>
      </c>
      <c r="F537" s="3" t="s">
        <v>791</v>
      </c>
      <c r="G537" s="3" t="s">
        <v>735</v>
      </c>
      <c r="H537" s="4"/>
      <c r="I537" s="4">
        <f t="shared" si="47"/>
        <v>0</v>
      </c>
      <c r="J537" s="4"/>
      <c r="K537" s="4">
        <f t="shared" si="44"/>
        <v>0</v>
      </c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 x14ac:dyDescent="0.2">
      <c r="A538" s="1"/>
      <c r="B538" s="2" t="s">
        <v>80</v>
      </c>
      <c r="C538" s="3" t="s">
        <v>792</v>
      </c>
      <c r="D538" s="3" t="s">
        <v>793</v>
      </c>
      <c r="E538" s="3"/>
      <c r="F538" s="3" t="s">
        <v>791</v>
      </c>
      <c r="G538" s="3" t="s">
        <v>735</v>
      </c>
      <c r="H538" s="4"/>
      <c r="I538" s="4">
        <f t="shared" si="47"/>
        <v>0</v>
      </c>
      <c r="J538" s="4"/>
      <c r="K538" s="4">
        <f t="shared" si="44"/>
        <v>0</v>
      </c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 x14ac:dyDescent="0.2">
      <c r="A539" s="1"/>
      <c r="B539" s="2" t="s">
        <v>84</v>
      </c>
      <c r="C539" s="3" t="s">
        <v>794</v>
      </c>
      <c r="D539" s="3" t="s">
        <v>795</v>
      </c>
      <c r="E539" s="3" t="s">
        <v>796</v>
      </c>
      <c r="F539" s="3" t="s">
        <v>791</v>
      </c>
      <c r="G539" s="3" t="s">
        <v>735</v>
      </c>
      <c r="H539" s="4"/>
      <c r="I539" s="4">
        <f t="shared" si="47"/>
        <v>0</v>
      </c>
      <c r="J539" s="4"/>
      <c r="K539" s="4">
        <f t="shared" si="44"/>
        <v>0</v>
      </c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 x14ac:dyDescent="0.2">
      <c r="A540" s="1"/>
      <c r="B540" s="2" t="s">
        <v>80</v>
      </c>
      <c r="C540" s="3" t="s">
        <v>797</v>
      </c>
      <c r="D540" s="3" t="s">
        <v>798</v>
      </c>
      <c r="E540" s="3" t="s">
        <v>799</v>
      </c>
      <c r="F540" s="3" t="s">
        <v>791</v>
      </c>
      <c r="G540" s="3" t="s">
        <v>735</v>
      </c>
      <c r="H540" s="4"/>
      <c r="I540" s="4">
        <f t="shared" si="47"/>
        <v>0</v>
      </c>
      <c r="J540" s="4"/>
      <c r="K540" s="4">
        <f t="shared" si="44"/>
        <v>0</v>
      </c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 x14ac:dyDescent="0.2">
      <c r="A541" s="1"/>
      <c r="B541" s="2" t="s">
        <v>80</v>
      </c>
      <c r="C541" s="3" t="s">
        <v>800</v>
      </c>
      <c r="D541" s="3" t="s">
        <v>801</v>
      </c>
      <c r="E541" s="3" t="s">
        <v>802</v>
      </c>
      <c r="F541" s="3" t="s">
        <v>791</v>
      </c>
      <c r="G541" s="3" t="s">
        <v>735</v>
      </c>
      <c r="H541" s="4"/>
      <c r="I541" s="4">
        <f t="shared" si="47"/>
        <v>0</v>
      </c>
      <c r="J541" s="4"/>
      <c r="K541" s="4">
        <f t="shared" si="44"/>
        <v>0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 x14ac:dyDescent="0.2">
      <c r="A542" s="1"/>
      <c r="B542" s="2" t="s">
        <v>126</v>
      </c>
      <c r="C542" s="3" t="s">
        <v>803</v>
      </c>
      <c r="D542" s="3" t="s">
        <v>313</v>
      </c>
      <c r="E542" s="3" t="s">
        <v>575</v>
      </c>
      <c r="F542" s="3" t="s">
        <v>804</v>
      </c>
      <c r="G542" s="3" t="s">
        <v>735</v>
      </c>
      <c r="H542" s="4"/>
      <c r="I542" s="4">
        <f t="shared" si="47"/>
        <v>0</v>
      </c>
      <c r="J542" s="4"/>
      <c r="K542" s="4">
        <f t="shared" si="44"/>
        <v>0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 x14ac:dyDescent="0.2">
      <c r="A543" s="1"/>
      <c r="B543" s="2" t="s">
        <v>736</v>
      </c>
      <c r="C543" s="3" t="s">
        <v>805</v>
      </c>
      <c r="D543" s="3" t="s">
        <v>75</v>
      </c>
      <c r="E543" s="3" t="s">
        <v>806</v>
      </c>
      <c r="F543" s="3" t="s">
        <v>804</v>
      </c>
      <c r="G543" s="3" t="s">
        <v>735</v>
      </c>
      <c r="H543" s="4"/>
      <c r="I543" s="4">
        <f t="shared" si="47"/>
        <v>0</v>
      </c>
      <c r="J543" s="4"/>
      <c r="K543" s="4">
        <f t="shared" si="44"/>
        <v>0</v>
      </c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 x14ac:dyDescent="0.2">
      <c r="A544" s="1"/>
      <c r="B544" s="2" t="s">
        <v>807</v>
      </c>
      <c r="C544" s="3" t="s">
        <v>808</v>
      </c>
      <c r="D544" s="3" t="s">
        <v>809</v>
      </c>
      <c r="E544" s="3" t="s">
        <v>125</v>
      </c>
      <c r="F544" s="3" t="s">
        <v>804</v>
      </c>
      <c r="G544" s="3" t="s">
        <v>735</v>
      </c>
      <c r="H544" s="4"/>
      <c r="I544" s="4">
        <f t="shared" si="47"/>
        <v>0</v>
      </c>
      <c r="J544" s="4"/>
      <c r="K544" s="4">
        <f t="shared" si="44"/>
        <v>0</v>
      </c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 x14ac:dyDescent="0.2">
      <c r="A545" s="1"/>
      <c r="B545" s="2" t="s">
        <v>114</v>
      </c>
      <c r="C545" s="3" t="s">
        <v>810</v>
      </c>
      <c r="D545" s="3" t="s">
        <v>236</v>
      </c>
      <c r="E545" s="3" t="s">
        <v>306</v>
      </c>
      <c r="F545" s="3" t="s">
        <v>804</v>
      </c>
      <c r="G545" s="3" t="s">
        <v>735</v>
      </c>
      <c r="H545" s="4"/>
      <c r="I545" s="4">
        <f t="shared" si="47"/>
        <v>0</v>
      </c>
      <c r="J545" s="4"/>
      <c r="K545" s="4">
        <f t="shared" si="44"/>
        <v>0</v>
      </c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 x14ac:dyDescent="0.2">
      <c r="A546" s="1"/>
      <c r="B546" s="2" t="s">
        <v>118</v>
      </c>
      <c r="C546" s="3" t="s">
        <v>811</v>
      </c>
      <c r="D546" s="3" t="s">
        <v>39</v>
      </c>
      <c r="E546" s="3" t="s">
        <v>32</v>
      </c>
      <c r="F546" s="3" t="s">
        <v>804</v>
      </c>
      <c r="G546" s="3" t="s">
        <v>735</v>
      </c>
      <c r="H546" s="4"/>
      <c r="I546" s="4">
        <f t="shared" si="47"/>
        <v>0</v>
      </c>
      <c r="J546" s="4"/>
      <c r="K546" s="4">
        <f t="shared" si="44"/>
        <v>0</v>
      </c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 x14ac:dyDescent="0.2">
      <c r="A547" s="1"/>
      <c r="B547" s="2" t="s">
        <v>315</v>
      </c>
      <c r="C547" s="3" t="s">
        <v>812</v>
      </c>
      <c r="D547" s="3" t="s">
        <v>557</v>
      </c>
      <c r="E547" s="3" t="s">
        <v>40</v>
      </c>
      <c r="F547" s="3" t="s">
        <v>804</v>
      </c>
      <c r="G547" s="3" t="s">
        <v>735</v>
      </c>
      <c r="H547" s="4"/>
      <c r="I547" s="4">
        <f t="shared" si="47"/>
        <v>0</v>
      </c>
      <c r="J547" s="4"/>
      <c r="K547" s="4">
        <f t="shared" si="44"/>
        <v>0</v>
      </c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">
      <c r="A548" s="1"/>
      <c r="B548" s="2" t="s">
        <v>94</v>
      </c>
      <c r="C548" s="3" t="s">
        <v>812</v>
      </c>
      <c r="D548" s="3" t="s">
        <v>557</v>
      </c>
      <c r="E548" s="3" t="s">
        <v>40</v>
      </c>
      <c r="F548" s="3" t="s">
        <v>804</v>
      </c>
      <c r="G548" s="3" t="s">
        <v>735</v>
      </c>
      <c r="H548" s="4"/>
      <c r="I548" s="4">
        <f t="shared" si="47"/>
        <v>0</v>
      </c>
      <c r="J548" s="4"/>
      <c r="K548" s="4">
        <f t="shared" si="44"/>
        <v>0</v>
      </c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">
      <c r="A549" s="1"/>
      <c r="B549" s="2" t="s">
        <v>126</v>
      </c>
      <c r="C549" s="3" t="s">
        <v>813</v>
      </c>
      <c r="D549" s="3" t="s">
        <v>506</v>
      </c>
      <c r="E549" s="3" t="s">
        <v>571</v>
      </c>
      <c r="F549" s="3" t="s">
        <v>804</v>
      </c>
      <c r="G549" s="3" t="s">
        <v>735</v>
      </c>
      <c r="H549" s="4"/>
      <c r="I549" s="4">
        <f t="shared" si="47"/>
        <v>0</v>
      </c>
      <c r="J549" s="4"/>
      <c r="K549" s="4">
        <f t="shared" si="44"/>
        <v>0</v>
      </c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">
      <c r="A550" s="1"/>
      <c r="B550" s="2" t="s">
        <v>108</v>
      </c>
      <c r="C550" s="3" t="s">
        <v>814</v>
      </c>
      <c r="D550" s="3" t="s">
        <v>605</v>
      </c>
      <c r="E550" s="3" t="s">
        <v>259</v>
      </c>
      <c r="F550" s="3" t="s">
        <v>804</v>
      </c>
      <c r="G550" s="3" t="s">
        <v>735</v>
      </c>
      <c r="H550" s="4"/>
      <c r="I550" s="4">
        <f t="shared" si="47"/>
        <v>0</v>
      </c>
      <c r="J550" s="4"/>
      <c r="K550" s="4">
        <f t="shared" si="44"/>
        <v>0</v>
      </c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 x14ac:dyDescent="0.2">
      <c r="A551" s="1"/>
      <c r="B551" s="2" t="s">
        <v>815</v>
      </c>
      <c r="C551" s="3" t="s">
        <v>816</v>
      </c>
      <c r="D551" s="3" t="s">
        <v>58</v>
      </c>
      <c r="E551" s="3" t="s">
        <v>79</v>
      </c>
      <c r="F551" s="3" t="s">
        <v>817</v>
      </c>
      <c r="G551" s="3" t="s">
        <v>735</v>
      </c>
      <c r="H551" s="4"/>
      <c r="I551" s="4">
        <f t="shared" si="47"/>
        <v>0</v>
      </c>
      <c r="J551" s="4"/>
      <c r="K551" s="4">
        <f t="shared" si="44"/>
        <v>0</v>
      </c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 x14ac:dyDescent="0.2">
      <c r="A552" s="1"/>
      <c r="B552" s="2" t="s">
        <v>818</v>
      </c>
      <c r="C552" s="3" t="s">
        <v>819</v>
      </c>
      <c r="D552" s="3" t="s">
        <v>120</v>
      </c>
      <c r="E552" s="3" t="s">
        <v>326</v>
      </c>
      <c r="F552" s="3" t="s">
        <v>817</v>
      </c>
      <c r="G552" s="3" t="s">
        <v>735</v>
      </c>
      <c r="H552" s="4"/>
      <c r="I552" s="4">
        <f t="shared" si="47"/>
        <v>0</v>
      </c>
      <c r="J552" s="4"/>
      <c r="K552" s="4">
        <f t="shared" si="44"/>
        <v>0</v>
      </c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 x14ac:dyDescent="0.2">
      <c r="A553" s="1"/>
      <c r="B553" s="2" t="s">
        <v>736</v>
      </c>
      <c r="C553" s="3" t="s">
        <v>820</v>
      </c>
      <c r="D553" s="3" t="s">
        <v>86</v>
      </c>
      <c r="E553" s="3" t="s">
        <v>273</v>
      </c>
      <c r="F553" s="3" t="s">
        <v>817</v>
      </c>
      <c r="G553" s="3" t="s">
        <v>735</v>
      </c>
      <c r="H553" s="4"/>
      <c r="I553" s="4">
        <f t="shared" si="47"/>
        <v>0</v>
      </c>
      <c r="J553" s="4"/>
      <c r="K553" s="4">
        <f t="shared" si="44"/>
        <v>0</v>
      </c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">
      <c r="A554" s="1"/>
      <c r="B554" s="2" t="s">
        <v>122</v>
      </c>
      <c r="C554" s="3" t="s">
        <v>821</v>
      </c>
      <c r="D554" s="3" t="s">
        <v>822</v>
      </c>
      <c r="E554" s="3" t="s">
        <v>129</v>
      </c>
      <c r="F554" s="3" t="s">
        <v>817</v>
      </c>
      <c r="G554" s="3" t="s">
        <v>735</v>
      </c>
      <c r="H554" s="4"/>
      <c r="I554" s="4">
        <f t="shared" si="47"/>
        <v>0</v>
      </c>
      <c r="J554" s="4"/>
      <c r="K554" s="4">
        <f t="shared" si="44"/>
        <v>0</v>
      </c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">
      <c r="A555" s="1"/>
      <c r="B555" s="2" t="s">
        <v>823</v>
      </c>
      <c r="C555" s="3" t="s">
        <v>821</v>
      </c>
      <c r="D555" s="3" t="s">
        <v>822</v>
      </c>
      <c r="E555" s="3" t="s">
        <v>129</v>
      </c>
      <c r="F555" s="3" t="s">
        <v>817</v>
      </c>
      <c r="G555" s="3" t="s">
        <v>735</v>
      </c>
      <c r="H555" s="4"/>
      <c r="I555" s="4">
        <f t="shared" si="47"/>
        <v>0</v>
      </c>
      <c r="J555" s="4"/>
      <c r="K555" s="4">
        <f t="shared" si="44"/>
        <v>0</v>
      </c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">
      <c r="A556" s="1"/>
      <c r="B556" s="2" t="s">
        <v>818</v>
      </c>
      <c r="C556" s="3" t="s">
        <v>824</v>
      </c>
      <c r="D556" s="3" t="s">
        <v>825</v>
      </c>
      <c r="E556" s="3" t="s">
        <v>826</v>
      </c>
      <c r="F556" s="3" t="s">
        <v>817</v>
      </c>
      <c r="G556" s="3" t="s">
        <v>735</v>
      </c>
      <c r="H556" s="4"/>
      <c r="I556" s="4">
        <f t="shared" si="47"/>
        <v>0</v>
      </c>
      <c r="J556" s="4"/>
      <c r="K556" s="4">
        <f t="shared" si="44"/>
        <v>0</v>
      </c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">
      <c r="A557" s="1"/>
      <c r="B557" s="2" t="s">
        <v>118</v>
      </c>
      <c r="C557" s="3" t="s">
        <v>827</v>
      </c>
      <c r="D557" s="3" t="s">
        <v>325</v>
      </c>
      <c r="E557" s="3" t="s">
        <v>187</v>
      </c>
      <c r="F557" s="3" t="s">
        <v>817</v>
      </c>
      <c r="G557" s="3" t="s">
        <v>735</v>
      </c>
      <c r="H557" s="4"/>
      <c r="I557" s="4">
        <f t="shared" si="47"/>
        <v>0</v>
      </c>
      <c r="J557" s="4"/>
      <c r="K557" s="4">
        <f t="shared" si="44"/>
        <v>0</v>
      </c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">
      <c r="A558" s="1"/>
      <c r="B558" s="2" t="s">
        <v>828</v>
      </c>
      <c r="C558" s="3" t="s">
        <v>827</v>
      </c>
      <c r="D558" s="3" t="s">
        <v>325</v>
      </c>
      <c r="E558" s="3" t="s">
        <v>187</v>
      </c>
      <c r="F558" s="3" t="s">
        <v>817</v>
      </c>
      <c r="G558" s="3" t="s">
        <v>735</v>
      </c>
      <c r="H558" s="4"/>
      <c r="I558" s="4">
        <f t="shared" si="47"/>
        <v>0</v>
      </c>
      <c r="J558" s="4"/>
      <c r="K558" s="4">
        <f t="shared" si="44"/>
        <v>0</v>
      </c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">
      <c r="A559" s="1"/>
      <c r="B559" s="2" t="s">
        <v>736</v>
      </c>
      <c r="C559" s="3" t="s">
        <v>820</v>
      </c>
      <c r="D559" s="3" t="s">
        <v>309</v>
      </c>
      <c r="E559" s="3" t="s">
        <v>273</v>
      </c>
      <c r="F559" s="3" t="s">
        <v>829</v>
      </c>
      <c r="G559" s="3" t="s">
        <v>735</v>
      </c>
      <c r="H559" s="4"/>
      <c r="I559" s="4">
        <f t="shared" si="47"/>
        <v>0</v>
      </c>
      <c r="J559" s="4"/>
      <c r="K559" s="4">
        <f t="shared" si="44"/>
        <v>0</v>
      </c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">
      <c r="A560" s="1"/>
      <c r="B560" s="2" t="s">
        <v>818</v>
      </c>
      <c r="C560" s="3" t="s">
        <v>824</v>
      </c>
      <c r="D560" s="3" t="s">
        <v>825</v>
      </c>
      <c r="E560" s="3" t="s">
        <v>826</v>
      </c>
      <c r="F560" s="23" t="s">
        <v>829</v>
      </c>
      <c r="G560" s="3" t="s">
        <v>735</v>
      </c>
      <c r="H560" s="4"/>
      <c r="I560" s="4">
        <f t="shared" si="47"/>
        <v>0</v>
      </c>
      <c r="J560" s="4"/>
      <c r="K560" s="4">
        <f t="shared" si="44"/>
        <v>0</v>
      </c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">
      <c r="A561" s="1"/>
      <c r="B561" s="2" t="s">
        <v>830</v>
      </c>
      <c r="C561" s="3" t="s">
        <v>831</v>
      </c>
      <c r="D561" s="3" t="s">
        <v>339</v>
      </c>
      <c r="E561" s="3" t="s">
        <v>306</v>
      </c>
      <c r="F561" s="3" t="s">
        <v>829</v>
      </c>
      <c r="G561" s="3" t="s">
        <v>735</v>
      </c>
      <c r="H561" s="4"/>
      <c r="I561" s="4">
        <f t="shared" si="47"/>
        <v>0</v>
      </c>
      <c r="J561" s="4"/>
      <c r="K561" s="4">
        <f t="shared" si="44"/>
        <v>0</v>
      </c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">
      <c r="A562" s="1"/>
      <c r="B562" s="2" t="s">
        <v>815</v>
      </c>
      <c r="C562" s="3" t="s">
        <v>832</v>
      </c>
      <c r="D562" s="3" t="s">
        <v>39</v>
      </c>
      <c r="E562" s="3" t="s">
        <v>306</v>
      </c>
      <c r="F562" s="3" t="s">
        <v>829</v>
      </c>
      <c r="G562" s="3" t="s">
        <v>735</v>
      </c>
      <c r="H562" s="4"/>
      <c r="I562" s="4">
        <f t="shared" si="47"/>
        <v>0</v>
      </c>
      <c r="J562" s="4"/>
      <c r="K562" s="4">
        <f t="shared" si="44"/>
        <v>0</v>
      </c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">
      <c r="A563" s="1"/>
      <c r="B563" s="2" t="s">
        <v>118</v>
      </c>
      <c r="C563" s="3" t="s">
        <v>833</v>
      </c>
      <c r="D563" s="3" t="s">
        <v>474</v>
      </c>
      <c r="E563" s="3" t="s">
        <v>18</v>
      </c>
      <c r="F563" s="3" t="s">
        <v>834</v>
      </c>
      <c r="G563" s="3" t="s">
        <v>735</v>
      </c>
      <c r="H563" s="4"/>
      <c r="I563" s="4">
        <f t="shared" si="47"/>
        <v>0</v>
      </c>
      <c r="J563" s="4"/>
      <c r="K563" s="4">
        <f t="shared" si="44"/>
        <v>0</v>
      </c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">
      <c r="A564" s="1"/>
      <c r="B564" s="2" t="s">
        <v>94</v>
      </c>
      <c r="C564" s="3" t="s">
        <v>833</v>
      </c>
      <c r="D564" s="3" t="s">
        <v>474</v>
      </c>
      <c r="E564" s="3" t="s">
        <v>18</v>
      </c>
      <c r="F564" s="3" t="s">
        <v>834</v>
      </c>
      <c r="G564" s="3" t="s">
        <v>735</v>
      </c>
      <c r="H564" s="4"/>
      <c r="I564" s="4">
        <f t="shared" si="47"/>
        <v>0</v>
      </c>
      <c r="J564" s="4"/>
      <c r="K564" s="4">
        <f t="shared" si="44"/>
        <v>0</v>
      </c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">
      <c r="A565" s="1"/>
      <c r="B565" s="2" t="s">
        <v>94</v>
      </c>
      <c r="C565" s="3" t="s">
        <v>835</v>
      </c>
      <c r="D565" s="3" t="s">
        <v>471</v>
      </c>
      <c r="E565" s="3" t="s">
        <v>836</v>
      </c>
      <c r="F565" s="3" t="s">
        <v>837</v>
      </c>
      <c r="G565" s="3" t="s">
        <v>735</v>
      </c>
      <c r="H565" s="4"/>
      <c r="I565" s="4">
        <f t="shared" si="47"/>
        <v>0</v>
      </c>
      <c r="J565" s="4"/>
      <c r="K565" s="4">
        <f t="shared" si="44"/>
        <v>0</v>
      </c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">
      <c r="A566" s="1"/>
      <c r="B566" s="2" t="s">
        <v>71</v>
      </c>
      <c r="C566" s="3" t="s">
        <v>838</v>
      </c>
      <c r="D566" s="3" t="s">
        <v>839</v>
      </c>
      <c r="E566" s="3" t="s">
        <v>840</v>
      </c>
      <c r="F566" s="3" t="s">
        <v>841</v>
      </c>
      <c r="G566" s="3" t="s">
        <v>735</v>
      </c>
      <c r="H566" s="4"/>
      <c r="I566" s="4">
        <f t="shared" si="47"/>
        <v>0</v>
      </c>
      <c r="J566" s="4"/>
      <c r="K566" s="4">
        <f t="shared" si="44"/>
        <v>0</v>
      </c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">
      <c r="A567" s="1"/>
      <c r="B567" s="2" t="s">
        <v>303</v>
      </c>
      <c r="C567" s="3" t="s">
        <v>842</v>
      </c>
      <c r="D567" s="3" t="s">
        <v>399</v>
      </c>
      <c r="E567" s="3" t="s">
        <v>539</v>
      </c>
      <c r="F567" s="3" t="s">
        <v>843</v>
      </c>
      <c r="G567" s="3" t="s">
        <v>735</v>
      </c>
      <c r="H567" s="4"/>
      <c r="I567" s="4">
        <f t="shared" si="47"/>
        <v>0</v>
      </c>
      <c r="J567" s="4"/>
      <c r="K567" s="4">
        <f t="shared" si="44"/>
        <v>0</v>
      </c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">
      <c r="A568" s="1"/>
      <c r="B568" s="2" t="s">
        <v>94</v>
      </c>
      <c r="C568" s="3" t="s">
        <v>842</v>
      </c>
      <c r="D568" s="3" t="s">
        <v>399</v>
      </c>
      <c r="E568" s="3" t="s">
        <v>539</v>
      </c>
      <c r="F568" s="3" t="s">
        <v>843</v>
      </c>
      <c r="G568" s="3" t="s">
        <v>735</v>
      </c>
      <c r="H568" s="4"/>
      <c r="I568" s="4">
        <f t="shared" si="47"/>
        <v>0</v>
      </c>
      <c r="J568" s="4"/>
      <c r="K568" s="4">
        <f t="shared" si="44"/>
        <v>0</v>
      </c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">
      <c r="A569" s="1"/>
      <c r="B569" s="2" t="s">
        <v>303</v>
      </c>
      <c r="C569" s="3" t="s">
        <v>844</v>
      </c>
      <c r="D569" s="3" t="s">
        <v>845</v>
      </c>
      <c r="E569" s="3" t="s">
        <v>846</v>
      </c>
      <c r="F569" s="3" t="s">
        <v>843</v>
      </c>
      <c r="G569" s="3" t="s">
        <v>735</v>
      </c>
      <c r="H569" s="4"/>
      <c r="I569" s="4">
        <f t="shared" si="47"/>
        <v>0</v>
      </c>
      <c r="J569" s="4"/>
      <c r="K569" s="4">
        <f t="shared" si="44"/>
        <v>0</v>
      </c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">
      <c r="A570" s="1"/>
      <c r="B570" s="2" t="s">
        <v>94</v>
      </c>
      <c r="C570" s="3" t="s">
        <v>844</v>
      </c>
      <c r="D570" s="3" t="s">
        <v>845</v>
      </c>
      <c r="E570" s="3" t="s">
        <v>846</v>
      </c>
      <c r="F570" s="3" t="s">
        <v>843</v>
      </c>
      <c r="G570" s="3" t="s">
        <v>735</v>
      </c>
      <c r="H570" s="4"/>
      <c r="I570" s="4">
        <f t="shared" si="47"/>
        <v>0</v>
      </c>
      <c r="J570" s="4"/>
      <c r="K570" s="4">
        <f t="shared" si="44"/>
        <v>0</v>
      </c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">
      <c r="A571" s="1"/>
      <c r="B571" s="2" t="s">
        <v>122</v>
      </c>
      <c r="C571" s="3" t="s">
        <v>847</v>
      </c>
      <c r="D571" s="3" t="s">
        <v>75</v>
      </c>
      <c r="E571" s="3" t="s">
        <v>571</v>
      </c>
      <c r="F571" s="3" t="s">
        <v>848</v>
      </c>
      <c r="G571" s="3" t="s">
        <v>735</v>
      </c>
      <c r="H571" s="4"/>
      <c r="I571" s="4">
        <f t="shared" si="47"/>
        <v>0</v>
      </c>
      <c r="J571" s="4"/>
      <c r="K571" s="4">
        <f t="shared" si="44"/>
        <v>0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">
      <c r="A572" s="1"/>
      <c r="B572" s="2" t="s">
        <v>126</v>
      </c>
      <c r="C572" s="3" t="s">
        <v>847</v>
      </c>
      <c r="D572" s="3" t="s">
        <v>75</v>
      </c>
      <c r="E572" s="3" t="s">
        <v>571</v>
      </c>
      <c r="F572" s="3" t="s">
        <v>848</v>
      </c>
      <c r="G572" s="3" t="s">
        <v>735</v>
      </c>
      <c r="H572" s="4"/>
      <c r="I572" s="4">
        <f t="shared" si="47"/>
        <v>0</v>
      </c>
      <c r="J572" s="4"/>
      <c r="K572" s="4">
        <f t="shared" si="44"/>
        <v>0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">
      <c r="A573" s="1"/>
      <c r="B573" s="2" t="s">
        <v>315</v>
      </c>
      <c r="C573" s="3" t="s">
        <v>849</v>
      </c>
      <c r="D573" s="3" t="s">
        <v>850</v>
      </c>
      <c r="E573" s="3" t="s">
        <v>259</v>
      </c>
      <c r="F573" s="3" t="s">
        <v>848</v>
      </c>
      <c r="G573" s="3" t="s">
        <v>735</v>
      </c>
      <c r="H573" s="4"/>
      <c r="I573" s="4">
        <f t="shared" si="47"/>
        <v>0</v>
      </c>
      <c r="J573" s="4"/>
      <c r="K573" s="4">
        <f t="shared" si="44"/>
        <v>0</v>
      </c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">
      <c r="A574" s="1"/>
      <c r="B574" s="2" t="s">
        <v>316</v>
      </c>
      <c r="C574" s="3" t="s">
        <v>849</v>
      </c>
      <c r="D574" s="3" t="s">
        <v>850</v>
      </c>
      <c r="E574" s="3" t="s">
        <v>259</v>
      </c>
      <c r="F574" s="3" t="s">
        <v>848</v>
      </c>
      <c r="G574" s="3" t="s">
        <v>735</v>
      </c>
      <c r="H574" s="4"/>
      <c r="I574" s="4">
        <f t="shared" si="47"/>
        <v>0</v>
      </c>
      <c r="J574" s="4"/>
      <c r="K574" s="4">
        <f t="shared" si="44"/>
        <v>0</v>
      </c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">
      <c r="A575" s="1"/>
      <c r="B575" s="2" t="s">
        <v>118</v>
      </c>
      <c r="C575" s="3" t="s">
        <v>851</v>
      </c>
      <c r="D575" s="3" t="s">
        <v>852</v>
      </c>
      <c r="E575" s="3" t="s">
        <v>853</v>
      </c>
      <c r="F575" s="3" t="s">
        <v>848</v>
      </c>
      <c r="G575" s="3" t="s">
        <v>735</v>
      </c>
      <c r="H575" s="4"/>
      <c r="I575" s="4">
        <f t="shared" si="47"/>
        <v>0</v>
      </c>
      <c r="J575" s="4"/>
      <c r="K575" s="4">
        <f t="shared" si="44"/>
        <v>0</v>
      </c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">
      <c r="A576" s="1"/>
      <c r="B576" s="2" t="s">
        <v>121</v>
      </c>
      <c r="C576" s="3" t="s">
        <v>851</v>
      </c>
      <c r="D576" s="3" t="s">
        <v>852</v>
      </c>
      <c r="E576" s="3" t="s">
        <v>853</v>
      </c>
      <c r="F576" s="3" t="s">
        <v>848</v>
      </c>
      <c r="G576" s="3" t="s">
        <v>735</v>
      </c>
      <c r="H576" s="4"/>
      <c r="I576" s="4">
        <f t="shared" si="47"/>
        <v>0</v>
      </c>
      <c r="J576" s="4"/>
      <c r="K576" s="4">
        <f t="shared" si="44"/>
        <v>0</v>
      </c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">
      <c r="A577" s="1"/>
      <c r="B577" s="2" t="s">
        <v>315</v>
      </c>
      <c r="C577" s="3" t="s">
        <v>854</v>
      </c>
      <c r="D577" s="3" t="s">
        <v>855</v>
      </c>
      <c r="E577" s="3" t="s">
        <v>87</v>
      </c>
      <c r="F577" s="3" t="s">
        <v>848</v>
      </c>
      <c r="G577" s="3" t="s">
        <v>735</v>
      </c>
      <c r="H577" s="4"/>
      <c r="I577" s="4">
        <f t="shared" si="47"/>
        <v>0</v>
      </c>
      <c r="J577" s="4"/>
      <c r="K577" s="4">
        <f t="shared" si="44"/>
        <v>0</v>
      </c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">
      <c r="A578" s="1"/>
      <c r="B578" s="2" t="s">
        <v>108</v>
      </c>
      <c r="C578" s="3" t="s">
        <v>854</v>
      </c>
      <c r="D578" s="3" t="s">
        <v>855</v>
      </c>
      <c r="E578" s="3" t="s">
        <v>87</v>
      </c>
      <c r="F578" s="3" t="s">
        <v>848</v>
      </c>
      <c r="G578" s="3" t="s">
        <v>735</v>
      </c>
      <c r="H578" s="4"/>
      <c r="I578" s="4">
        <f t="shared" si="47"/>
        <v>0</v>
      </c>
      <c r="J578" s="4"/>
      <c r="K578" s="4">
        <f t="shared" si="44"/>
        <v>0</v>
      </c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">
      <c r="A579" s="1"/>
      <c r="B579" s="2" t="s">
        <v>315</v>
      </c>
      <c r="C579" s="3" t="s">
        <v>856</v>
      </c>
      <c r="D579" s="3" t="s">
        <v>116</v>
      </c>
      <c r="E579" s="3" t="s">
        <v>79</v>
      </c>
      <c r="F579" s="3" t="s">
        <v>848</v>
      </c>
      <c r="G579" s="3" t="s">
        <v>735</v>
      </c>
      <c r="H579" s="4"/>
      <c r="I579" s="4">
        <f t="shared" si="47"/>
        <v>0</v>
      </c>
      <c r="J579" s="4"/>
      <c r="K579" s="4">
        <f t="shared" si="44"/>
        <v>0</v>
      </c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">
      <c r="A580" s="1"/>
      <c r="B580" s="2" t="s">
        <v>323</v>
      </c>
      <c r="C580" s="3" t="s">
        <v>856</v>
      </c>
      <c r="D580" s="3" t="s">
        <v>116</v>
      </c>
      <c r="E580" s="3" t="s">
        <v>79</v>
      </c>
      <c r="F580" s="3" t="s">
        <v>848</v>
      </c>
      <c r="G580" s="3" t="s">
        <v>735</v>
      </c>
      <c r="H580" s="4"/>
      <c r="I580" s="4">
        <f t="shared" si="47"/>
        <v>0</v>
      </c>
      <c r="J580" s="4"/>
      <c r="K580" s="4">
        <f t="shared" si="44"/>
        <v>0</v>
      </c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">
      <c r="A581" s="1"/>
      <c r="B581" s="2" t="s">
        <v>297</v>
      </c>
      <c r="C581" s="3" t="s">
        <v>857</v>
      </c>
      <c r="D581" s="3" t="s">
        <v>534</v>
      </c>
      <c r="E581" s="3" t="s">
        <v>18</v>
      </c>
      <c r="F581" s="3" t="s">
        <v>848</v>
      </c>
      <c r="G581" s="3" t="s">
        <v>735</v>
      </c>
      <c r="H581" s="4"/>
      <c r="I581" s="4">
        <f t="shared" si="47"/>
        <v>0</v>
      </c>
      <c r="J581" s="4"/>
      <c r="K581" s="4">
        <f t="shared" si="44"/>
        <v>0</v>
      </c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">
      <c r="A582" s="1"/>
      <c r="B582" s="2" t="s">
        <v>316</v>
      </c>
      <c r="C582" s="3" t="s">
        <v>857</v>
      </c>
      <c r="D582" s="3" t="s">
        <v>534</v>
      </c>
      <c r="E582" s="3" t="s">
        <v>18</v>
      </c>
      <c r="F582" s="3" t="s">
        <v>848</v>
      </c>
      <c r="G582" s="3" t="s">
        <v>735</v>
      </c>
      <c r="H582" s="4"/>
      <c r="I582" s="4">
        <f t="shared" si="47"/>
        <v>0</v>
      </c>
      <c r="J582" s="4"/>
      <c r="K582" s="4">
        <f t="shared" si="44"/>
        <v>0</v>
      </c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">
      <c r="A583" s="1"/>
      <c r="B583" s="2" t="s">
        <v>736</v>
      </c>
      <c r="C583" s="3" t="s">
        <v>858</v>
      </c>
      <c r="D583" s="3" t="s">
        <v>58</v>
      </c>
      <c r="E583" s="3" t="s">
        <v>306</v>
      </c>
      <c r="F583" s="3" t="s">
        <v>859</v>
      </c>
      <c r="G583" s="3" t="s">
        <v>735</v>
      </c>
      <c r="H583" s="4"/>
      <c r="I583" s="4">
        <f t="shared" si="47"/>
        <v>0</v>
      </c>
      <c r="J583" s="4"/>
      <c r="K583" s="4">
        <f t="shared" si="44"/>
        <v>0</v>
      </c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">
      <c r="A584" s="1"/>
      <c r="B584" s="2" t="s">
        <v>815</v>
      </c>
      <c r="C584" s="3" t="s">
        <v>860</v>
      </c>
      <c r="D584" s="3" t="s">
        <v>295</v>
      </c>
      <c r="E584" s="3" t="s">
        <v>259</v>
      </c>
      <c r="F584" s="3" t="s">
        <v>859</v>
      </c>
      <c r="G584" s="3" t="s">
        <v>735</v>
      </c>
      <c r="H584" s="4"/>
      <c r="I584" s="4">
        <f t="shared" si="47"/>
        <v>0</v>
      </c>
      <c r="J584" s="4"/>
      <c r="K584" s="4">
        <f t="shared" si="44"/>
        <v>0</v>
      </c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">
      <c r="A585" s="1"/>
      <c r="B585" s="2" t="s">
        <v>823</v>
      </c>
      <c r="C585" s="3" t="s">
        <v>450</v>
      </c>
      <c r="D585" s="3" t="s">
        <v>861</v>
      </c>
      <c r="E585" s="3" t="s">
        <v>413</v>
      </c>
      <c r="F585" s="3" t="s">
        <v>859</v>
      </c>
      <c r="G585" s="3" t="s">
        <v>735</v>
      </c>
      <c r="H585" s="4"/>
      <c r="I585" s="4">
        <f t="shared" si="47"/>
        <v>0</v>
      </c>
      <c r="J585" s="4"/>
      <c r="K585" s="4">
        <f t="shared" si="44"/>
        <v>0</v>
      </c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">
      <c r="A586" s="1"/>
      <c r="B586" s="2" t="s">
        <v>807</v>
      </c>
      <c r="C586" s="3" t="s">
        <v>862</v>
      </c>
      <c r="D586" s="3" t="s">
        <v>407</v>
      </c>
      <c r="E586" s="3" t="s">
        <v>40</v>
      </c>
      <c r="F586" s="3" t="s">
        <v>859</v>
      </c>
      <c r="G586" s="3" t="s">
        <v>735</v>
      </c>
      <c r="H586" s="4"/>
      <c r="I586" s="4">
        <f t="shared" si="47"/>
        <v>0</v>
      </c>
      <c r="J586" s="4"/>
      <c r="K586" s="4">
        <f t="shared" si="44"/>
        <v>0</v>
      </c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">
      <c r="A587" s="1"/>
      <c r="B587" s="2" t="s">
        <v>818</v>
      </c>
      <c r="C587" s="3" t="s">
        <v>863</v>
      </c>
      <c r="D587" s="3" t="s">
        <v>554</v>
      </c>
      <c r="E587" s="3" t="s">
        <v>306</v>
      </c>
      <c r="F587" s="3" t="s">
        <v>859</v>
      </c>
      <c r="G587" s="3" t="s">
        <v>735</v>
      </c>
      <c r="H587" s="4"/>
      <c r="I587" s="4">
        <f t="shared" si="47"/>
        <v>0</v>
      </c>
      <c r="J587" s="4"/>
      <c r="K587" s="4">
        <f t="shared" si="44"/>
        <v>0</v>
      </c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">
      <c r="A588" s="1"/>
      <c r="B588" s="2" t="s">
        <v>71</v>
      </c>
      <c r="C588" s="3" t="s">
        <v>864</v>
      </c>
      <c r="D588" s="3" t="s">
        <v>28</v>
      </c>
      <c r="E588" s="3" t="s">
        <v>865</v>
      </c>
      <c r="F588" s="3" t="s">
        <v>866</v>
      </c>
      <c r="G588" s="3" t="s">
        <v>735</v>
      </c>
      <c r="H588" s="4"/>
      <c r="I588" s="4">
        <f t="shared" si="47"/>
        <v>0</v>
      </c>
      <c r="J588" s="4"/>
      <c r="K588" s="4">
        <f t="shared" si="44"/>
        <v>0</v>
      </c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">
      <c r="A589" s="1"/>
      <c r="B589" s="2" t="s">
        <v>815</v>
      </c>
      <c r="C589" s="3" t="s">
        <v>867</v>
      </c>
      <c r="D589" s="3" t="s">
        <v>869</v>
      </c>
      <c r="E589" s="3" t="s">
        <v>868</v>
      </c>
      <c r="F589" s="3" t="s">
        <v>866</v>
      </c>
      <c r="G589" s="3" t="s">
        <v>735</v>
      </c>
      <c r="H589" s="4"/>
      <c r="I589" s="4">
        <f t="shared" si="47"/>
        <v>0</v>
      </c>
      <c r="J589" s="4"/>
      <c r="K589" s="4">
        <f t="shared" si="44"/>
        <v>0</v>
      </c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">
      <c r="A590" s="1"/>
      <c r="B590" s="2" t="s">
        <v>45</v>
      </c>
      <c r="C590" s="3" t="s">
        <v>870</v>
      </c>
      <c r="D590" s="3" t="s">
        <v>871</v>
      </c>
      <c r="E590" s="3" t="s">
        <v>79</v>
      </c>
      <c r="F590" s="3" t="s">
        <v>866</v>
      </c>
      <c r="G590" s="3" t="s">
        <v>735</v>
      </c>
      <c r="H590" s="4"/>
      <c r="I590" s="4">
        <f t="shared" si="47"/>
        <v>0</v>
      </c>
      <c r="J590" s="4"/>
      <c r="K590" s="4">
        <f t="shared" si="44"/>
        <v>0</v>
      </c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">
      <c r="A591" s="1"/>
      <c r="B591" s="2" t="s">
        <v>71</v>
      </c>
      <c r="C591" s="3" t="s">
        <v>872</v>
      </c>
      <c r="D591" s="3" t="s">
        <v>58</v>
      </c>
      <c r="E591" s="3" t="s">
        <v>393</v>
      </c>
      <c r="F591" s="3" t="s">
        <v>866</v>
      </c>
      <c r="G591" s="3" t="s">
        <v>735</v>
      </c>
      <c r="H591" s="4"/>
      <c r="I591" s="4">
        <f t="shared" si="47"/>
        <v>0</v>
      </c>
      <c r="J591" s="4"/>
      <c r="K591" s="4">
        <f t="shared" si="44"/>
        <v>0</v>
      </c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">
      <c r="A592" s="1"/>
      <c r="B592" s="2" t="s">
        <v>45</v>
      </c>
      <c r="C592" s="3" t="s">
        <v>872</v>
      </c>
      <c r="D592" s="3" t="s">
        <v>58</v>
      </c>
      <c r="E592" s="3" t="s">
        <v>393</v>
      </c>
      <c r="F592" s="3" t="s">
        <v>866</v>
      </c>
      <c r="G592" s="3" t="s">
        <v>735</v>
      </c>
      <c r="H592" s="4"/>
      <c r="I592" s="4">
        <f t="shared" si="47"/>
        <v>0</v>
      </c>
      <c r="J592" s="4"/>
      <c r="K592" s="4">
        <f t="shared" si="44"/>
        <v>0</v>
      </c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">
      <c r="A593" s="1"/>
      <c r="B593" s="2" t="s">
        <v>26</v>
      </c>
      <c r="C593" s="3" t="s">
        <v>873</v>
      </c>
      <c r="D593" s="3" t="s">
        <v>295</v>
      </c>
      <c r="E593" s="3" t="s">
        <v>575</v>
      </c>
      <c r="F593" s="3" t="s">
        <v>866</v>
      </c>
      <c r="G593" s="3" t="s">
        <v>735</v>
      </c>
      <c r="H593" s="4"/>
      <c r="I593" s="4">
        <f t="shared" si="47"/>
        <v>0</v>
      </c>
      <c r="J593" s="4"/>
      <c r="K593" s="4">
        <f t="shared" si="44"/>
        <v>0</v>
      </c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">
      <c r="A594" s="1"/>
      <c r="B594" s="2" t="s">
        <v>41</v>
      </c>
      <c r="C594" s="3" t="s">
        <v>874</v>
      </c>
      <c r="D594" s="3" t="s">
        <v>58</v>
      </c>
      <c r="E594" s="3" t="s">
        <v>32</v>
      </c>
      <c r="F594" s="3" t="s">
        <v>866</v>
      </c>
      <c r="G594" s="3" t="s">
        <v>735</v>
      </c>
      <c r="H594" s="4"/>
      <c r="I594" s="4">
        <f t="shared" si="47"/>
        <v>0</v>
      </c>
      <c r="J594" s="4"/>
      <c r="K594" s="4">
        <f t="shared" si="44"/>
        <v>0</v>
      </c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">
      <c r="A595" s="1"/>
      <c r="B595" s="2" t="s">
        <v>336</v>
      </c>
      <c r="C595" s="3" t="s">
        <v>667</v>
      </c>
      <c r="D595" s="3" t="s">
        <v>506</v>
      </c>
      <c r="E595" s="3" t="s">
        <v>650</v>
      </c>
      <c r="F595" s="3" t="s">
        <v>866</v>
      </c>
      <c r="G595" s="3" t="s">
        <v>735</v>
      </c>
      <c r="H595" s="4"/>
      <c r="I595" s="4">
        <f t="shared" si="47"/>
        <v>0</v>
      </c>
      <c r="J595" s="4"/>
      <c r="K595" s="4">
        <f t="shared" si="44"/>
        <v>0</v>
      </c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">
      <c r="A596" s="1"/>
      <c r="B596" s="2" t="s">
        <v>523</v>
      </c>
      <c r="C596" s="3" t="s">
        <v>875</v>
      </c>
      <c r="D596" s="3" t="s">
        <v>516</v>
      </c>
      <c r="E596" s="3" t="s">
        <v>876</v>
      </c>
      <c r="F596" s="3" t="s">
        <v>866</v>
      </c>
      <c r="G596" s="3" t="s">
        <v>735</v>
      </c>
      <c r="H596" s="4"/>
      <c r="I596" s="4">
        <f t="shared" si="47"/>
        <v>0</v>
      </c>
      <c r="J596" s="4"/>
      <c r="K596" s="4">
        <f t="shared" si="44"/>
        <v>0</v>
      </c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">
      <c r="A597" s="1"/>
      <c r="B597" s="2" t="s">
        <v>33</v>
      </c>
      <c r="C597" s="3" t="s">
        <v>877</v>
      </c>
      <c r="D597" s="3" t="s">
        <v>292</v>
      </c>
      <c r="E597" s="3" t="s">
        <v>306</v>
      </c>
      <c r="F597" s="3" t="s">
        <v>866</v>
      </c>
      <c r="G597" s="3" t="s">
        <v>735</v>
      </c>
      <c r="H597" s="4"/>
      <c r="I597" s="4">
        <f t="shared" si="47"/>
        <v>0</v>
      </c>
      <c r="J597" s="4"/>
      <c r="K597" s="4">
        <f t="shared" si="44"/>
        <v>0</v>
      </c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">
      <c r="A598" s="1"/>
      <c r="B598" s="2" t="s">
        <v>45</v>
      </c>
      <c r="C598" s="3" t="s">
        <v>877</v>
      </c>
      <c r="D598" s="3" t="s">
        <v>292</v>
      </c>
      <c r="E598" s="3" t="s">
        <v>306</v>
      </c>
      <c r="F598" s="3" t="s">
        <v>866</v>
      </c>
      <c r="G598" s="3" t="s">
        <v>735</v>
      </c>
      <c r="H598" s="4"/>
      <c r="I598" s="4">
        <f t="shared" si="47"/>
        <v>0</v>
      </c>
      <c r="J598" s="4"/>
      <c r="K598" s="4">
        <f t="shared" si="44"/>
        <v>0</v>
      </c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">
      <c r="A599" s="1"/>
      <c r="B599" s="2" t="s">
        <v>71</v>
      </c>
      <c r="C599" s="3" t="s">
        <v>878</v>
      </c>
      <c r="D599" s="3" t="s">
        <v>516</v>
      </c>
      <c r="E599" s="3" t="s">
        <v>187</v>
      </c>
      <c r="F599" s="3" t="s">
        <v>866</v>
      </c>
      <c r="G599" s="3" t="s">
        <v>735</v>
      </c>
      <c r="H599" s="4"/>
      <c r="I599" s="4">
        <f t="shared" si="47"/>
        <v>0</v>
      </c>
      <c r="J599" s="4"/>
      <c r="K599" s="4">
        <f t="shared" si="44"/>
        <v>0</v>
      </c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">
      <c r="A600" s="1"/>
      <c r="B600" s="2" t="s">
        <v>828</v>
      </c>
      <c r="C600" s="3" t="s">
        <v>879</v>
      </c>
      <c r="D600" s="3" t="s">
        <v>471</v>
      </c>
      <c r="E600" s="3" t="s">
        <v>251</v>
      </c>
      <c r="F600" s="3" t="s">
        <v>866</v>
      </c>
      <c r="G600" s="3" t="s">
        <v>735</v>
      </c>
      <c r="H600" s="4"/>
      <c r="I600" s="4">
        <f t="shared" si="47"/>
        <v>0</v>
      </c>
      <c r="J600" s="4"/>
      <c r="K600" s="4">
        <f t="shared" si="44"/>
        <v>0</v>
      </c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">
      <c r="A601" s="1"/>
      <c r="B601" s="2" t="s">
        <v>46</v>
      </c>
      <c r="C601" s="3" t="s">
        <v>880</v>
      </c>
      <c r="D601" s="3" t="s">
        <v>383</v>
      </c>
      <c r="E601" s="3" t="s">
        <v>881</v>
      </c>
      <c r="F601" s="3" t="s">
        <v>866</v>
      </c>
      <c r="G601" s="3" t="s">
        <v>735</v>
      </c>
      <c r="H601" s="4"/>
      <c r="I601" s="4">
        <f t="shared" si="47"/>
        <v>0</v>
      </c>
      <c r="J601" s="4"/>
      <c r="K601" s="4">
        <f t="shared" si="44"/>
        <v>0</v>
      </c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">
      <c r="A602" s="1"/>
      <c r="B602" s="2" t="s">
        <v>71</v>
      </c>
      <c r="C602" s="3" t="s">
        <v>882</v>
      </c>
      <c r="D602" s="3" t="s">
        <v>529</v>
      </c>
      <c r="E602" s="3" t="s">
        <v>134</v>
      </c>
      <c r="F602" s="3" t="s">
        <v>883</v>
      </c>
      <c r="G602" s="3" t="s">
        <v>735</v>
      </c>
      <c r="H602" s="4"/>
      <c r="I602" s="4">
        <f t="shared" si="47"/>
        <v>0</v>
      </c>
      <c r="J602" s="4"/>
      <c r="K602" s="4">
        <f t="shared" si="44"/>
        <v>0</v>
      </c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">
      <c r="A603" s="1"/>
      <c r="B603" s="2" t="s">
        <v>26</v>
      </c>
      <c r="C603" s="3" t="s">
        <v>545</v>
      </c>
      <c r="D603" s="3" t="s">
        <v>884</v>
      </c>
      <c r="E603" s="3" t="s">
        <v>79</v>
      </c>
      <c r="F603" s="3" t="s">
        <v>883</v>
      </c>
      <c r="G603" s="3" t="s">
        <v>735</v>
      </c>
      <c r="H603" s="4"/>
      <c r="I603" s="4">
        <f t="shared" si="47"/>
        <v>0</v>
      </c>
      <c r="J603" s="4"/>
      <c r="K603" s="4">
        <f t="shared" si="44"/>
        <v>0</v>
      </c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">
      <c r="A604" s="1"/>
      <c r="B604" s="2" t="s">
        <v>336</v>
      </c>
      <c r="C604" s="3" t="s">
        <v>887</v>
      </c>
      <c r="D604" s="3" t="s">
        <v>116</v>
      </c>
      <c r="E604" s="3" t="s">
        <v>40</v>
      </c>
      <c r="F604" s="3" t="s">
        <v>883</v>
      </c>
      <c r="G604" s="3" t="s">
        <v>735</v>
      </c>
      <c r="H604" s="4"/>
      <c r="I604" s="4">
        <f t="shared" si="47"/>
        <v>0</v>
      </c>
      <c r="J604" s="4"/>
      <c r="K604" s="4">
        <f t="shared" si="44"/>
        <v>0</v>
      </c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">
      <c r="A605" s="1"/>
      <c r="B605" s="2" t="s">
        <v>45</v>
      </c>
      <c r="C605" s="3" t="s">
        <v>887</v>
      </c>
      <c r="D605" s="3" t="s">
        <v>116</v>
      </c>
      <c r="E605" s="3" t="s">
        <v>40</v>
      </c>
      <c r="F605" s="3" t="s">
        <v>883</v>
      </c>
      <c r="G605" s="3" t="s">
        <v>735</v>
      </c>
      <c r="H605" s="4"/>
      <c r="I605" s="4">
        <f t="shared" si="47"/>
        <v>0</v>
      </c>
      <c r="J605" s="4"/>
      <c r="K605" s="4">
        <f t="shared" si="44"/>
        <v>0</v>
      </c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">
      <c r="A606" s="1"/>
      <c r="B606" s="2" t="s">
        <v>33</v>
      </c>
      <c r="C606" s="3" t="s">
        <v>888</v>
      </c>
      <c r="D606" s="3" t="s">
        <v>871</v>
      </c>
      <c r="E606" s="3" t="s">
        <v>306</v>
      </c>
      <c r="F606" s="3" t="s">
        <v>883</v>
      </c>
      <c r="G606" s="3" t="s">
        <v>735</v>
      </c>
      <c r="H606" s="4"/>
      <c r="I606" s="4">
        <f t="shared" si="47"/>
        <v>0</v>
      </c>
      <c r="J606" s="4"/>
      <c r="K606" s="4">
        <f t="shared" si="44"/>
        <v>0</v>
      </c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">
      <c r="A607" s="1"/>
      <c r="B607" s="2" t="s">
        <v>45</v>
      </c>
      <c r="C607" s="3" t="s">
        <v>889</v>
      </c>
      <c r="D607" s="3" t="s">
        <v>647</v>
      </c>
      <c r="E607" s="3" t="s">
        <v>348</v>
      </c>
      <c r="F607" s="3" t="s">
        <v>883</v>
      </c>
      <c r="G607" s="3" t="s">
        <v>735</v>
      </c>
      <c r="H607" s="4"/>
      <c r="I607" s="4">
        <f t="shared" si="47"/>
        <v>0</v>
      </c>
      <c r="J607" s="4"/>
      <c r="K607" s="4">
        <f t="shared" si="44"/>
        <v>0</v>
      </c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">
      <c r="A608" s="1"/>
      <c r="B608" s="2" t="s">
        <v>80</v>
      </c>
      <c r="C608" s="3" t="s">
        <v>890</v>
      </c>
      <c r="D608" s="3" t="s">
        <v>39</v>
      </c>
      <c r="E608" s="3" t="s">
        <v>546</v>
      </c>
      <c r="F608" s="3" t="s">
        <v>883</v>
      </c>
      <c r="G608" s="3" t="s">
        <v>735</v>
      </c>
      <c r="H608" s="4"/>
      <c r="I608" s="4">
        <f t="shared" si="47"/>
        <v>0</v>
      </c>
      <c r="J608" s="4"/>
      <c r="K608" s="4">
        <f t="shared" si="44"/>
        <v>0</v>
      </c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">
      <c r="A609" s="1"/>
      <c r="B609" s="2" t="s">
        <v>45</v>
      </c>
      <c r="C609" s="3" t="s">
        <v>890</v>
      </c>
      <c r="D609" s="3" t="s">
        <v>39</v>
      </c>
      <c r="E609" s="3" t="s">
        <v>546</v>
      </c>
      <c r="F609" s="3" t="s">
        <v>883</v>
      </c>
      <c r="G609" s="3" t="s">
        <v>735</v>
      </c>
      <c r="H609" s="4"/>
      <c r="I609" s="4">
        <f t="shared" si="47"/>
        <v>0</v>
      </c>
      <c r="J609" s="4"/>
      <c r="K609" s="4">
        <f t="shared" si="44"/>
        <v>0</v>
      </c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">
      <c r="A610" s="1"/>
      <c r="B610" s="2" t="s">
        <v>41</v>
      </c>
      <c r="C610" s="3" t="s">
        <v>891</v>
      </c>
      <c r="D610" s="3" t="s">
        <v>396</v>
      </c>
      <c r="E610" s="3" t="s">
        <v>892</v>
      </c>
      <c r="F610" s="3" t="s">
        <v>883</v>
      </c>
      <c r="G610" s="3" t="s">
        <v>735</v>
      </c>
      <c r="H610" s="4"/>
      <c r="I610" s="4">
        <f t="shared" si="47"/>
        <v>0</v>
      </c>
      <c r="J610" s="4"/>
      <c r="K610" s="4">
        <f t="shared" si="44"/>
        <v>0</v>
      </c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">
      <c r="A611" s="1"/>
      <c r="B611" s="2" t="s">
        <v>41</v>
      </c>
      <c r="C611" s="3" t="s">
        <v>893</v>
      </c>
      <c r="D611" s="3" t="s">
        <v>313</v>
      </c>
      <c r="E611" s="3" t="s">
        <v>894</v>
      </c>
      <c r="F611" s="3" t="s">
        <v>883</v>
      </c>
      <c r="G611" s="3" t="s">
        <v>735</v>
      </c>
      <c r="H611" s="4"/>
      <c r="I611" s="4">
        <f t="shared" si="47"/>
        <v>0</v>
      </c>
      <c r="J611" s="4"/>
      <c r="K611" s="4">
        <f t="shared" si="44"/>
        <v>0</v>
      </c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">
      <c r="A612" s="1"/>
      <c r="B612" s="2" t="s">
        <v>45</v>
      </c>
      <c r="C612" s="3" t="s">
        <v>893</v>
      </c>
      <c r="D612" s="3" t="s">
        <v>313</v>
      </c>
      <c r="E612" s="3" t="s">
        <v>894</v>
      </c>
      <c r="F612" s="3" t="s">
        <v>883</v>
      </c>
      <c r="G612" s="3" t="s">
        <v>735</v>
      </c>
      <c r="H612" s="4"/>
      <c r="I612" s="4">
        <f t="shared" si="47"/>
        <v>0</v>
      </c>
      <c r="J612" s="4"/>
      <c r="K612" s="4">
        <f t="shared" si="44"/>
        <v>0</v>
      </c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">
      <c r="A613" s="1"/>
      <c r="B613" s="2" t="s">
        <v>41</v>
      </c>
      <c r="C613" s="3" t="s">
        <v>895</v>
      </c>
      <c r="D613" s="3" t="s">
        <v>104</v>
      </c>
      <c r="E613" s="3" t="s">
        <v>836</v>
      </c>
      <c r="F613" s="3" t="s">
        <v>883</v>
      </c>
      <c r="G613" s="3" t="s">
        <v>735</v>
      </c>
      <c r="H613" s="4"/>
      <c r="I613" s="4">
        <f t="shared" si="47"/>
        <v>0</v>
      </c>
      <c r="J613" s="4"/>
      <c r="K613" s="4">
        <f t="shared" si="44"/>
        <v>0</v>
      </c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">
      <c r="A614" s="1"/>
      <c r="B614" s="2" t="s">
        <v>45</v>
      </c>
      <c r="C614" s="3" t="s">
        <v>895</v>
      </c>
      <c r="D614" s="3" t="s">
        <v>104</v>
      </c>
      <c r="E614" s="3" t="s">
        <v>836</v>
      </c>
      <c r="F614" s="3" t="s">
        <v>883</v>
      </c>
      <c r="G614" s="3" t="s">
        <v>735</v>
      </c>
      <c r="H614" s="4"/>
      <c r="I614" s="4">
        <f t="shared" si="47"/>
        <v>0</v>
      </c>
      <c r="J614" s="4"/>
      <c r="K614" s="4">
        <f t="shared" si="44"/>
        <v>0</v>
      </c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">
      <c r="A615" s="1">
        <v>279</v>
      </c>
      <c r="B615" s="13" t="s">
        <v>896</v>
      </c>
      <c r="C615" s="14" t="s">
        <v>897</v>
      </c>
      <c r="D615" s="14" t="s">
        <v>898</v>
      </c>
      <c r="E615" s="14" t="s">
        <v>306</v>
      </c>
      <c r="F615" s="14" t="s">
        <v>899</v>
      </c>
      <c r="G615" s="14" t="s">
        <v>735</v>
      </c>
      <c r="H615" s="4"/>
      <c r="I615" s="4">
        <f>H615*2300</f>
        <v>0</v>
      </c>
      <c r="J615" s="4"/>
      <c r="K615" s="4">
        <f t="shared" si="44"/>
        <v>0</v>
      </c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">
      <c r="A616" s="1"/>
      <c r="B616" s="2" t="s">
        <v>807</v>
      </c>
      <c r="C616" s="3" t="s">
        <v>900</v>
      </c>
      <c r="D616" s="3" t="s">
        <v>901</v>
      </c>
      <c r="E616" s="3" t="s">
        <v>902</v>
      </c>
      <c r="F616" s="3" t="s">
        <v>903</v>
      </c>
      <c r="G616" s="3" t="s">
        <v>735</v>
      </c>
      <c r="H616" s="4"/>
      <c r="I616" s="4">
        <f t="shared" ref="I616:I632" si="48">H616*1800</f>
        <v>0</v>
      </c>
      <c r="J616" s="4"/>
      <c r="K616" s="4">
        <f t="shared" si="44"/>
        <v>0</v>
      </c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">
      <c r="A617" s="1"/>
      <c r="B617" s="2" t="s">
        <v>830</v>
      </c>
      <c r="C617" s="3" t="s">
        <v>904</v>
      </c>
      <c r="D617" s="3" t="s">
        <v>116</v>
      </c>
      <c r="E617" s="3" t="s">
        <v>87</v>
      </c>
      <c r="F617" s="3" t="s">
        <v>903</v>
      </c>
      <c r="G617" s="3" t="s">
        <v>735</v>
      </c>
      <c r="H617" s="4"/>
      <c r="I617" s="4">
        <f t="shared" si="48"/>
        <v>0</v>
      </c>
      <c r="J617" s="4"/>
      <c r="K617" s="4">
        <f t="shared" si="44"/>
        <v>0</v>
      </c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">
      <c r="A618" s="1"/>
      <c r="B618" s="2" t="s">
        <v>830</v>
      </c>
      <c r="C618" s="3" t="s">
        <v>904</v>
      </c>
      <c r="D618" s="3" t="s">
        <v>516</v>
      </c>
      <c r="E618" s="3" t="s">
        <v>87</v>
      </c>
      <c r="F618" s="3" t="s">
        <v>903</v>
      </c>
      <c r="G618" s="3" t="s">
        <v>735</v>
      </c>
      <c r="H618" s="4"/>
      <c r="I618" s="4">
        <f t="shared" si="48"/>
        <v>0</v>
      </c>
      <c r="J618" s="4"/>
      <c r="K618" s="4">
        <f t="shared" si="44"/>
        <v>0</v>
      </c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">
      <c r="A619" s="1"/>
      <c r="B619" s="2" t="s">
        <v>807</v>
      </c>
      <c r="C619" s="3" t="s">
        <v>905</v>
      </c>
      <c r="D619" s="3" t="s">
        <v>906</v>
      </c>
      <c r="E619" s="3" t="s">
        <v>164</v>
      </c>
      <c r="F619" s="3" t="s">
        <v>903</v>
      </c>
      <c r="G619" s="3" t="s">
        <v>735</v>
      </c>
      <c r="H619" s="4"/>
      <c r="I619" s="4">
        <f t="shared" si="48"/>
        <v>0</v>
      </c>
      <c r="J619" s="4"/>
      <c r="K619" s="4">
        <f t="shared" si="44"/>
        <v>0</v>
      </c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">
      <c r="A620" s="1"/>
      <c r="B620" s="2" t="s">
        <v>307</v>
      </c>
      <c r="C620" s="3" t="s">
        <v>907</v>
      </c>
      <c r="D620" s="3" t="s">
        <v>898</v>
      </c>
      <c r="E620" s="3" t="s">
        <v>237</v>
      </c>
      <c r="F620" s="3" t="s">
        <v>908</v>
      </c>
      <c r="G620" s="3" t="s">
        <v>735</v>
      </c>
      <c r="H620" s="4"/>
      <c r="I620" s="4">
        <f t="shared" si="48"/>
        <v>0</v>
      </c>
      <c r="J620" s="4"/>
      <c r="K620" s="4">
        <f t="shared" si="44"/>
        <v>0</v>
      </c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">
      <c r="A621" s="1"/>
      <c r="B621" s="2" t="s">
        <v>108</v>
      </c>
      <c r="C621" s="3" t="s">
        <v>907</v>
      </c>
      <c r="D621" s="3" t="s">
        <v>898</v>
      </c>
      <c r="E621" s="3" t="s">
        <v>237</v>
      </c>
      <c r="F621" s="3" t="s">
        <v>908</v>
      </c>
      <c r="G621" s="3" t="s">
        <v>735</v>
      </c>
      <c r="H621" s="4"/>
      <c r="I621" s="4">
        <f t="shared" si="48"/>
        <v>0</v>
      </c>
      <c r="J621" s="4"/>
      <c r="K621" s="4">
        <f t="shared" si="44"/>
        <v>0</v>
      </c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">
      <c r="A622" s="1"/>
      <c r="B622" s="2" t="s">
        <v>297</v>
      </c>
      <c r="C622" s="3" t="s">
        <v>909</v>
      </c>
      <c r="D622" s="3" t="s">
        <v>910</v>
      </c>
      <c r="E622" s="3" t="s">
        <v>911</v>
      </c>
      <c r="F622" s="3" t="s">
        <v>908</v>
      </c>
      <c r="G622" s="3" t="s">
        <v>735</v>
      </c>
      <c r="H622" s="4"/>
      <c r="I622" s="4">
        <f t="shared" si="48"/>
        <v>0</v>
      </c>
      <c r="J622" s="4"/>
      <c r="K622" s="4">
        <f t="shared" si="44"/>
        <v>0</v>
      </c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">
      <c r="A623" s="1"/>
      <c r="B623" s="2" t="s">
        <v>108</v>
      </c>
      <c r="C623" s="3" t="s">
        <v>909</v>
      </c>
      <c r="D623" s="3" t="s">
        <v>910</v>
      </c>
      <c r="E623" s="3" t="s">
        <v>911</v>
      </c>
      <c r="F623" s="3" t="s">
        <v>908</v>
      </c>
      <c r="G623" s="3" t="s">
        <v>735</v>
      </c>
      <c r="H623" s="4"/>
      <c r="I623" s="4">
        <f t="shared" si="48"/>
        <v>0</v>
      </c>
      <c r="J623" s="4"/>
      <c r="K623" s="4">
        <f t="shared" si="44"/>
        <v>0</v>
      </c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">
      <c r="A624" s="1"/>
      <c r="B624" s="2" t="s">
        <v>315</v>
      </c>
      <c r="C624" s="3" t="s">
        <v>912</v>
      </c>
      <c r="D624" s="3" t="s">
        <v>913</v>
      </c>
      <c r="E624" s="3" t="s">
        <v>40</v>
      </c>
      <c r="F624" s="3" t="s">
        <v>908</v>
      </c>
      <c r="G624" s="3" t="s">
        <v>735</v>
      </c>
      <c r="H624" s="4"/>
      <c r="I624" s="4">
        <f t="shared" si="48"/>
        <v>0</v>
      </c>
      <c r="J624" s="4"/>
      <c r="K624" s="4">
        <f t="shared" si="44"/>
        <v>0</v>
      </c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">
      <c r="A625" s="1"/>
      <c r="B625" s="2" t="s">
        <v>108</v>
      </c>
      <c r="C625" s="3" t="s">
        <v>912</v>
      </c>
      <c r="D625" s="3" t="s">
        <v>913</v>
      </c>
      <c r="E625" s="3" t="s">
        <v>40</v>
      </c>
      <c r="F625" s="3" t="s">
        <v>908</v>
      </c>
      <c r="G625" s="3" t="s">
        <v>735</v>
      </c>
      <c r="H625" s="4"/>
      <c r="I625" s="4">
        <f t="shared" si="48"/>
        <v>0</v>
      </c>
      <c r="J625" s="4"/>
      <c r="K625" s="4">
        <f t="shared" si="44"/>
        <v>0</v>
      </c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">
      <c r="A626" s="1"/>
      <c r="B626" s="2" t="s">
        <v>315</v>
      </c>
      <c r="C626" s="3" t="s">
        <v>914</v>
      </c>
      <c r="D626" s="3" t="s">
        <v>86</v>
      </c>
      <c r="E626" s="3" t="s">
        <v>129</v>
      </c>
      <c r="F626" s="3" t="s">
        <v>908</v>
      </c>
      <c r="G626" s="3" t="s">
        <v>735</v>
      </c>
      <c r="H626" s="4"/>
      <c r="I626" s="4">
        <f t="shared" si="48"/>
        <v>0</v>
      </c>
      <c r="J626" s="4"/>
      <c r="K626" s="4">
        <f t="shared" si="44"/>
        <v>0</v>
      </c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">
      <c r="A627" s="1"/>
      <c r="B627" s="2" t="s">
        <v>102</v>
      </c>
      <c r="C627" s="3" t="s">
        <v>915</v>
      </c>
      <c r="D627" s="3" t="s">
        <v>292</v>
      </c>
      <c r="E627" s="3" t="s">
        <v>424</v>
      </c>
      <c r="F627" s="3" t="s">
        <v>908</v>
      </c>
      <c r="G627" s="3" t="s">
        <v>735</v>
      </c>
      <c r="H627" s="4"/>
      <c r="I627" s="4">
        <f t="shared" si="48"/>
        <v>0</v>
      </c>
      <c r="J627" s="4"/>
      <c r="K627" s="4">
        <f t="shared" si="44"/>
        <v>0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">
      <c r="A628" s="1"/>
      <c r="B628" s="2" t="s">
        <v>108</v>
      </c>
      <c r="C628" s="3" t="s">
        <v>915</v>
      </c>
      <c r="D628" s="3" t="s">
        <v>292</v>
      </c>
      <c r="E628" s="3" t="s">
        <v>424</v>
      </c>
      <c r="F628" s="3" t="s">
        <v>908</v>
      </c>
      <c r="G628" s="3" t="s">
        <v>735</v>
      </c>
      <c r="H628" s="4"/>
      <c r="I628" s="4">
        <f t="shared" si="48"/>
        <v>0</v>
      </c>
      <c r="J628" s="4"/>
      <c r="K628" s="4">
        <f t="shared" si="44"/>
        <v>0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">
      <c r="A629" s="1"/>
      <c r="B629" s="2" t="s">
        <v>126</v>
      </c>
      <c r="C629" s="3" t="s">
        <v>916</v>
      </c>
      <c r="D629" s="3" t="s">
        <v>917</v>
      </c>
      <c r="E629" s="3" t="s">
        <v>918</v>
      </c>
      <c r="F629" s="3" t="s">
        <v>908</v>
      </c>
      <c r="G629" s="3" t="s">
        <v>735</v>
      </c>
      <c r="H629" s="4"/>
      <c r="I629" s="4">
        <f t="shared" si="48"/>
        <v>0</v>
      </c>
      <c r="J629" s="4"/>
      <c r="K629" s="4">
        <f t="shared" si="44"/>
        <v>0</v>
      </c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">
      <c r="A630" s="1"/>
      <c r="B630" s="2" t="s">
        <v>102</v>
      </c>
      <c r="C630" s="3" t="s">
        <v>919</v>
      </c>
      <c r="D630" s="3" t="s">
        <v>822</v>
      </c>
      <c r="E630" s="3" t="s">
        <v>306</v>
      </c>
      <c r="F630" s="3" t="s">
        <v>908</v>
      </c>
      <c r="G630" s="3" t="s">
        <v>735</v>
      </c>
      <c r="H630" s="4"/>
      <c r="I630" s="4">
        <f t="shared" si="48"/>
        <v>0</v>
      </c>
      <c r="J630" s="4"/>
      <c r="K630" s="4">
        <f t="shared" si="44"/>
        <v>0</v>
      </c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">
      <c r="A631" s="1"/>
      <c r="B631" s="2" t="s">
        <v>108</v>
      </c>
      <c r="C631" s="3" t="s">
        <v>919</v>
      </c>
      <c r="D631" s="3" t="s">
        <v>822</v>
      </c>
      <c r="E631" s="3" t="s">
        <v>306</v>
      </c>
      <c r="F631" s="3" t="s">
        <v>908</v>
      </c>
      <c r="G631" s="3" t="s">
        <v>735</v>
      </c>
      <c r="H631" s="4"/>
      <c r="I631" s="4">
        <f t="shared" si="48"/>
        <v>0</v>
      </c>
      <c r="J631" s="4"/>
      <c r="K631" s="4">
        <f t="shared" si="44"/>
        <v>0</v>
      </c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">
      <c r="A632" s="1"/>
      <c r="B632" s="2" t="s">
        <v>920</v>
      </c>
      <c r="C632" s="3" t="s">
        <v>921</v>
      </c>
      <c r="D632" s="3" t="s">
        <v>557</v>
      </c>
      <c r="E632" s="3" t="s">
        <v>413</v>
      </c>
      <c r="F632" s="3" t="s">
        <v>922</v>
      </c>
      <c r="G632" s="3" t="s">
        <v>735</v>
      </c>
      <c r="H632" s="4"/>
      <c r="I632" s="4">
        <f t="shared" si="48"/>
        <v>0</v>
      </c>
      <c r="J632" s="4"/>
      <c r="K632" s="4">
        <f t="shared" si="44"/>
        <v>0</v>
      </c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">
      <c r="A633" s="1">
        <v>2367</v>
      </c>
      <c r="B633" s="13" t="s">
        <v>142</v>
      </c>
      <c r="C633" s="14" t="s">
        <v>923</v>
      </c>
      <c r="D633" s="14" t="s">
        <v>128</v>
      </c>
      <c r="E633" s="14" t="s">
        <v>924</v>
      </c>
      <c r="F633" s="14" t="s">
        <v>925</v>
      </c>
      <c r="G633" s="14" t="s">
        <v>926</v>
      </c>
      <c r="H633" s="4"/>
      <c r="I633" s="4">
        <f t="shared" ref="I633:I704" si="49">H633*2300</f>
        <v>0</v>
      </c>
      <c r="J633" s="4"/>
      <c r="K633" s="4">
        <f t="shared" si="44"/>
        <v>0</v>
      </c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">
      <c r="A634" s="1">
        <v>2397</v>
      </c>
      <c r="B634" s="13" t="s">
        <v>154</v>
      </c>
      <c r="C634" s="14" t="s">
        <v>927</v>
      </c>
      <c r="D634" s="14" t="s">
        <v>928</v>
      </c>
      <c r="E634" s="14" t="s">
        <v>929</v>
      </c>
      <c r="F634" s="14" t="s">
        <v>925</v>
      </c>
      <c r="G634" s="14" t="s">
        <v>926</v>
      </c>
      <c r="H634" s="4"/>
      <c r="I634" s="4">
        <f t="shared" si="49"/>
        <v>0</v>
      </c>
      <c r="J634" s="4"/>
      <c r="K634" s="4">
        <f t="shared" si="44"/>
        <v>0</v>
      </c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">
      <c r="A635" s="1">
        <v>2359</v>
      </c>
      <c r="B635" s="13" t="s">
        <v>137</v>
      </c>
      <c r="C635" s="14" t="s">
        <v>930</v>
      </c>
      <c r="D635" s="14" t="s">
        <v>557</v>
      </c>
      <c r="E635" s="14" t="s">
        <v>40</v>
      </c>
      <c r="F635" s="14" t="s">
        <v>925</v>
      </c>
      <c r="G635" s="14" t="s">
        <v>926</v>
      </c>
      <c r="H635" s="4"/>
      <c r="I635" s="4">
        <f t="shared" si="49"/>
        <v>0</v>
      </c>
      <c r="J635" s="4"/>
      <c r="K635" s="4">
        <f t="shared" si="44"/>
        <v>0</v>
      </c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">
      <c r="A636" s="1">
        <v>2377</v>
      </c>
      <c r="B636" s="13" t="s">
        <v>195</v>
      </c>
      <c r="C636" s="14" t="s">
        <v>931</v>
      </c>
      <c r="D636" s="14" t="s">
        <v>31</v>
      </c>
      <c r="E636" s="14" t="s">
        <v>630</v>
      </c>
      <c r="F636" s="14" t="s">
        <v>925</v>
      </c>
      <c r="G636" s="14" t="s">
        <v>926</v>
      </c>
      <c r="H636" s="4"/>
      <c r="I636" s="4">
        <f t="shared" si="49"/>
        <v>0</v>
      </c>
      <c r="J636" s="4"/>
      <c r="K636" s="4">
        <f t="shared" si="44"/>
        <v>0</v>
      </c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">
      <c r="A637" s="1">
        <v>2431</v>
      </c>
      <c r="B637" s="13" t="s">
        <v>201</v>
      </c>
      <c r="C637" s="14" t="s">
        <v>932</v>
      </c>
      <c r="D637" s="14" t="s">
        <v>516</v>
      </c>
      <c r="E637" s="14" t="s">
        <v>306</v>
      </c>
      <c r="F637" s="14" t="s">
        <v>925</v>
      </c>
      <c r="G637" s="14" t="s">
        <v>926</v>
      </c>
      <c r="H637" s="4"/>
      <c r="I637" s="4">
        <f t="shared" si="49"/>
        <v>0</v>
      </c>
      <c r="J637" s="4"/>
      <c r="K637" s="4">
        <f t="shared" si="44"/>
        <v>0</v>
      </c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">
      <c r="A638" s="1">
        <v>1357</v>
      </c>
      <c r="B638" s="13" t="s">
        <v>601</v>
      </c>
      <c r="C638" s="14" t="s">
        <v>57</v>
      </c>
      <c r="D638" s="14" t="s">
        <v>441</v>
      </c>
      <c r="E638" s="14" t="s">
        <v>40</v>
      </c>
      <c r="F638" s="14" t="s">
        <v>785</v>
      </c>
      <c r="G638" s="14" t="s">
        <v>926</v>
      </c>
      <c r="H638" s="4"/>
      <c r="I638" s="4">
        <f t="shared" si="49"/>
        <v>0</v>
      </c>
      <c r="J638" s="4"/>
      <c r="K638" s="4">
        <f t="shared" si="44"/>
        <v>0</v>
      </c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">
      <c r="A639" s="1">
        <v>2147</v>
      </c>
      <c r="B639" s="13" t="s">
        <v>281</v>
      </c>
      <c r="C639" s="14" t="s">
        <v>57</v>
      </c>
      <c r="D639" s="14" t="s">
        <v>441</v>
      </c>
      <c r="E639" s="14" t="s">
        <v>40</v>
      </c>
      <c r="F639" s="14" t="s">
        <v>785</v>
      </c>
      <c r="G639" s="14" t="s">
        <v>926</v>
      </c>
      <c r="H639" s="4"/>
      <c r="I639" s="4">
        <f t="shared" si="49"/>
        <v>0</v>
      </c>
      <c r="J639" s="4"/>
      <c r="K639" s="4">
        <f t="shared" si="44"/>
        <v>0</v>
      </c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">
      <c r="A640" s="1">
        <v>1621</v>
      </c>
      <c r="B640" s="13" t="s">
        <v>264</v>
      </c>
      <c r="C640" s="14" t="s">
        <v>933</v>
      </c>
      <c r="D640" s="14" t="s">
        <v>78</v>
      </c>
      <c r="E640" s="14" t="s">
        <v>79</v>
      </c>
      <c r="F640" s="14" t="s">
        <v>785</v>
      </c>
      <c r="G640" s="14" t="s">
        <v>926</v>
      </c>
      <c r="H640" s="4"/>
      <c r="I640" s="4">
        <f t="shared" si="49"/>
        <v>0</v>
      </c>
      <c r="J640" s="4"/>
      <c r="K640" s="4">
        <f t="shared" si="44"/>
        <v>0</v>
      </c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 x14ac:dyDescent="0.2">
      <c r="A641" s="1">
        <v>2235</v>
      </c>
      <c r="B641" s="13" t="s">
        <v>282</v>
      </c>
      <c r="C641" s="14" t="s">
        <v>933</v>
      </c>
      <c r="D641" s="14" t="s">
        <v>78</v>
      </c>
      <c r="E641" s="14" t="s">
        <v>79</v>
      </c>
      <c r="F641" s="14" t="s">
        <v>785</v>
      </c>
      <c r="G641" s="14" t="s">
        <v>926</v>
      </c>
      <c r="H641" s="4"/>
      <c r="I641" s="4">
        <f t="shared" si="49"/>
        <v>0</v>
      </c>
      <c r="J641" s="4"/>
      <c r="K641" s="4">
        <f t="shared" si="44"/>
        <v>0</v>
      </c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 x14ac:dyDescent="0.2">
      <c r="A642" s="1">
        <v>1503</v>
      </c>
      <c r="B642" s="13" t="s">
        <v>262</v>
      </c>
      <c r="C642" s="14" t="s">
        <v>803</v>
      </c>
      <c r="D642" s="14" t="s">
        <v>934</v>
      </c>
      <c r="E642" s="14" t="s">
        <v>575</v>
      </c>
      <c r="F642" s="14" t="s">
        <v>804</v>
      </c>
      <c r="G642" s="14" t="s">
        <v>926</v>
      </c>
      <c r="H642" s="4"/>
      <c r="I642" s="4">
        <f t="shared" si="49"/>
        <v>0</v>
      </c>
      <c r="J642" s="4"/>
      <c r="K642" s="4">
        <f t="shared" si="44"/>
        <v>0</v>
      </c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 x14ac:dyDescent="0.2">
      <c r="A643" s="1">
        <v>1699</v>
      </c>
      <c r="B643" s="13" t="s">
        <v>270</v>
      </c>
      <c r="C643" s="14" t="s">
        <v>417</v>
      </c>
      <c r="D643" s="14" t="s">
        <v>935</v>
      </c>
      <c r="E643" s="14" t="s">
        <v>334</v>
      </c>
      <c r="F643" s="14" t="s">
        <v>804</v>
      </c>
      <c r="G643" s="14" t="s">
        <v>926</v>
      </c>
      <c r="H643" s="4"/>
      <c r="I643" s="4">
        <f t="shared" si="49"/>
        <v>0</v>
      </c>
      <c r="J643" s="4"/>
      <c r="K643" s="4">
        <f t="shared" si="44"/>
        <v>0</v>
      </c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">
      <c r="A644" s="1">
        <v>1321</v>
      </c>
      <c r="B644" s="13" t="s">
        <v>936</v>
      </c>
      <c r="C644" s="14" t="s">
        <v>937</v>
      </c>
      <c r="D644" s="14" t="s">
        <v>861</v>
      </c>
      <c r="E644" s="14" t="s">
        <v>938</v>
      </c>
      <c r="F644" s="14" t="s">
        <v>804</v>
      </c>
      <c r="G644" s="14" t="s">
        <v>926</v>
      </c>
      <c r="H644" s="4"/>
      <c r="I644" s="4">
        <f t="shared" si="49"/>
        <v>0</v>
      </c>
      <c r="J644" s="4"/>
      <c r="K644" s="4">
        <f t="shared" si="44"/>
        <v>0</v>
      </c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">
      <c r="A645" s="1">
        <v>37</v>
      </c>
      <c r="B645" s="13" t="s">
        <v>939</v>
      </c>
      <c r="C645" s="14" t="s">
        <v>57</v>
      </c>
      <c r="D645" s="14" t="s">
        <v>75</v>
      </c>
      <c r="E645" s="14" t="s">
        <v>337</v>
      </c>
      <c r="F645" s="14" t="s">
        <v>804</v>
      </c>
      <c r="G645" s="14" t="s">
        <v>926</v>
      </c>
      <c r="H645" s="4"/>
      <c r="I645" s="4">
        <f t="shared" si="49"/>
        <v>0</v>
      </c>
      <c r="J645" s="4"/>
      <c r="K645" s="4">
        <f t="shared" si="44"/>
        <v>0</v>
      </c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">
      <c r="A646" s="1">
        <v>893</v>
      </c>
      <c r="B646" s="13" t="s">
        <v>634</v>
      </c>
      <c r="C646" s="14" t="s">
        <v>57</v>
      </c>
      <c r="D646" s="14" t="s">
        <v>75</v>
      </c>
      <c r="E646" s="14" t="s">
        <v>337</v>
      </c>
      <c r="F646" s="14" t="s">
        <v>804</v>
      </c>
      <c r="G646" s="14" t="s">
        <v>926</v>
      </c>
      <c r="H646" s="4"/>
      <c r="I646" s="4">
        <f t="shared" si="49"/>
        <v>0</v>
      </c>
      <c r="J646" s="4"/>
      <c r="K646" s="4">
        <f t="shared" si="44"/>
        <v>0</v>
      </c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 x14ac:dyDescent="0.2">
      <c r="A647" s="1">
        <v>1421</v>
      </c>
      <c r="B647" s="13" t="s">
        <v>386</v>
      </c>
      <c r="C647" s="14" t="s">
        <v>940</v>
      </c>
      <c r="D647" s="14" t="s">
        <v>325</v>
      </c>
      <c r="E647" s="14" t="s">
        <v>40</v>
      </c>
      <c r="F647" s="14" t="s">
        <v>804</v>
      </c>
      <c r="G647" s="14" t="s">
        <v>926</v>
      </c>
      <c r="H647" s="4"/>
      <c r="I647" s="4">
        <f t="shared" si="49"/>
        <v>0</v>
      </c>
      <c r="J647" s="4"/>
      <c r="K647" s="4">
        <f t="shared" si="44"/>
        <v>0</v>
      </c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 x14ac:dyDescent="0.2">
      <c r="A648" s="1">
        <v>1287</v>
      </c>
      <c r="B648" s="13" t="s">
        <v>453</v>
      </c>
      <c r="C648" s="14" t="s">
        <v>941</v>
      </c>
      <c r="D648" s="14" t="s">
        <v>333</v>
      </c>
      <c r="E648" s="14" t="s">
        <v>306</v>
      </c>
      <c r="F648" s="14" t="s">
        <v>804</v>
      </c>
      <c r="G648" s="14" t="s">
        <v>926</v>
      </c>
      <c r="H648" s="4"/>
      <c r="I648" s="4">
        <f t="shared" si="49"/>
        <v>0</v>
      </c>
      <c r="J648" s="4"/>
      <c r="K648" s="4">
        <f t="shared" si="44"/>
        <v>0</v>
      </c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 x14ac:dyDescent="0.2">
      <c r="A649" s="1">
        <v>1387</v>
      </c>
      <c r="B649" s="13" t="s">
        <v>601</v>
      </c>
      <c r="C649" s="14" t="s">
        <v>813</v>
      </c>
      <c r="D649" s="14" t="s">
        <v>139</v>
      </c>
      <c r="E649" s="14" t="s">
        <v>571</v>
      </c>
      <c r="F649" s="14" t="s">
        <v>804</v>
      </c>
      <c r="G649" s="14" t="s">
        <v>926</v>
      </c>
      <c r="H649" s="4"/>
      <c r="I649" s="4">
        <f t="shared" si="49"/>
        <v>0</v>
      </c>
      <c r="J649" s="4"/>
      <c r="K649" s="4">
        <f t="shared" si="44"/>
        <v>0</v>
      </c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">
      <c r="A650" s="1">
        <v>231</v>
      </c>
      <c r="B650" s="13" t="s">
        <v>243</v>
      </c>
      <c r="C650" s="14" t="s">
        <v>942</v>
      </c>
      <c r="D650" s="14" t="s">
        <v>39</v>
      </c>
      <c r="E650" s="14" t="s">
        <v>129</v>
      </c>
      <c r="F650" s="14" t="s">
        <v>804</v>
      </c>
      <c r="G650" s="14" t="s">
        <v>926</v>
      </c>
      <c r="H650" s="4"/>
      <c r="I650" s="4">
        <f t="shared" si="49"/>
        <v>0</v>
      </c>
      <c r="J650" s="4"/>
      <c r="K650" s="4">
        <f t="shared" si="44"/>
        <v>0</v>
      </c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">
      <c r="A651" s="1">
        <v>1219</v>
      </c>
      <c r="B651" s="13" t="s">
        <v>699</v>
      </c>
      <c r="C651" s="14" t="s">
        <v>942</v>
      </c>
      <c r="D651" s="14" t="s">
        <v>39</v>
      </c>
      <c r="E651" s="14" t="s">
        <v>129</v>
      </c>
      <c r="F651" s="14" t="s">
        <v>804</v>
      </c>
      <c r="G651" s="14" t="s">
        <v>926</v>
      </c>
      <c r="H651" s="4"/>
      <c r="I651" s="4">
        <f t="shared" si="49"/>
        <v>0</v>
      </c>
      <c r="J651" s="4"/>
      <c r="K651" s="4">
        <f t="shared" si="44"/>
        <v>0</v>
      </c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">
      <c r="A652" s="1">
        <v>941</v>
      </c>
      <c r="B652" s="13" t="s">
        <v>709</v>
      </c>
      <c r="C652" s="14" t="s">
        <v>943</v>
      </c>
      <c r="D652" s="14" t="s">
        <v>554</v>
      </c>
      <c r="E652" s="14" t="s">
        <v>87</v>
      </c>
      <c r="F652" s="14" t="s">
        <v>804</v>
      </c>
      <c r="G652" s="14" t="s">
        <v>926</v>
      </c>
      <c r="H652" s="4"/>
      <c r="I652" s="4">
        <f t="shared" si="49"/>
        <v>0</v>
      </c>
      <c r="J652" s="4"/>
      <c r="K652" s="4">
        <f t="shared" si="44"/>
        <v>0</v>
      </c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">
      <c r="A653" s="1">
        <v>2759</v>
      </c>
      <c r="B653" s="13" t="s">
        <v>944</v>
      </c>
      <c r="C653" s="14" t="s">
        <v>945</v>
      </c>
      <c r="D653" s="14" t="s">
        <v>116</v>
      </c>
      <c r="E653" s="14" t="s">
        <v>337</v>
      </c>
      <c r="F653" s="14" t="s">
        <v>804</v>
      </c>
      <c r="G653" s="14" t="s">
        <v>926</v>
      </c>
      <c r="H653" s="4"/>
      <c r="I653" s="4">
        <f t="shared" si="49"/>
        <v>0</v>
      </c>
      <c r="J653" s="4"/>
      <c r="K653" s="4">
        <f t="shared" si="44"/>
        <v>0</v>
      </c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">
      <c r="A654" s="1">
        <v>199</v>
      </c>
      <c r="B654" s="13" t="s">
        <v>946</v>
      </c>
      <c r="C654" s="14" t="s">
        <v>947</v>
      </c>
      <c r="D654" s="14" t="s">
        <v>86</v>
      </c>
      <c r="E654" s="14" t="s">
        <v>87</v>
      </c>
      <c r="F654" s="14" t="s">
        <v>804</v>
      </c>
      <c r="G654" s="14" t="s">
        <v>926</v>
      </c>
      <c r="H654" s="4"/>
      <c r="I654" s="4">
        <f t="shared" si="49"/>
        <v>0</v>
      </c>
      <c r="J654" s="4"/>
      <c r="K654" s="4">
        <f t="shared" si="44"/>
        <v>0</v>
      </c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">
      <c r="A655" s="1">
        <v>1221</v>
      </c>
      <c r="B655" s="13" t="s">
        <v>699</v>
      </c>
      <c r="C655" s="14" t="s">
        <v>947</v>
      </c>
      <c r="D655" s="14" t="s">
        <v>86</v>
      </c>
      <c r="E655" s="14" t="s">
        <v>87</v>
      </c>
      <c r="F655" s="14" t="s">
        <v>804</v>
      </c>
      <c r="G655" s="14" t="s">
        <v>926</v>
      </c>
      <c r="H655" s="4"/>
      <c r="I655" s="4">
        <f t="shared" si="49"/>
        <v>0</v>
      </c>
      <c r="J655" s="4"/>
      <c r="K655" s="4">
        <f t="shared" si="44"/>
        <v>0</v>
      </c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">
      <c r="A656" s="1">
        <v>2043</v>
      </c>
      <c r="B656" s="13" t="s">
        <v>701</v>
      </c>
      <c r="C656" s="14" t="s">
        <v>948</v>
      </c>
      <c r="D656" s="14" t="s">
        <v>949</v>
      </c>
      <c r="E656" s="14" t="s">
        <v>52</v>
      </c>
      <c r="F656" s="14" t="s">
        <v>817</v>
      </c>
      <c r="G656" s="14" t="s">
        <v>926</v>
      </c>
      <c r="H656" s="4"/>
      <c r="I656" s="4">
        <f t="shared" si="49"/>
        <v>0</v>
      </c>
      <c r="J656" s="4"/>
      <c r="K656" s="4">
        <f t="shared" si="44"/>
        <v>0</v>
      </c>
      <c r="L656" s="5" t="s">
        <v>950</v>
      </c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">
      <c r="A657" s="1">
        <v>2753</v>
      </c>
      <c r="B657" s="13" t="s">
        <v>944</v>
      </c>
      <c r="C657" s="14" t="s">
        <v>948</v>
      </c>
      <c r="D657" s="14" t="s">
        <v>949</v>
      </c>
      <c r="E657" s="14" t="s">
        <v>52</v>
      </c>
      <c r="F657" s="14" t="s">
        <v>817</v>
      </c>
      <c r="G657" s="14" t="s">
        <v>926</v>
      </c>
      <c r="H657" s="4"/>
      <c r="I657" s="4">
        <f t="shared" si="49"/>
        <v>0</v>
      </c>
      <c r="J657" s="4"/>
      <c r="K657" s="4">
        <f t="shared" si="44"/>
        <v>0</v>
      </c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">
      <c r="A658" s="1">
        <v>305</v>
      </c>
      <c r="B658" s="13" t="s">
        <v>951</v>
      </c>
      <c r="C658" s="14" t="s">
        <v>952</v>
      </c>
      <c r="D658" s="14" t="s">
        <v>39</v>
      </c>
      <c r="E658" s="14" t="s">
        <v>306</v>
      </c>
      <c r="F658" s="14" t="s">
        <v>817</v>
      </c>
      <c r="G658" s="14" t="s">
        <v>926</v>
      </c>
      <c r="H658" s="4"/>
      <c r="I658" s="4">
        <f t="shared" si="49"/>
        <v>0</v>
      </c>
      <c r="J658" s="4"/>
      <c r="K658" s="4">
        <f t="shared" si="44"/>
        <v>0</v>
      </c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">
      <c r="A659" s="1">
        <v>1427</v>
      </c>
      <c r="B659" s="13" t="s">
        <v>386</v>
      </c>
      <c r="C659" s="14" t="s">
        <v>953</v>
      </c>
      <c r="D659" s="14" t="s">
        <v>954</v>
      </c>
      <c r="E659" s="14" t="s">
        <v>452</v>
      </c>
      <c r="F659" s="14" t="s">
        <v>817</v>
      </c>
      <c r="G659" s="14" t="s">
        <v>926</v>
      </c>
      <c r="H659" s="4"/>
      <c r="I659" s="4">
        <f t="shared" si="49"/>
        <v>0</v>
      </c>
      <c r="J659" s="4"/>
      <c r="K659" s="4">
        <f t="shared" si="44"/>
        <v>0</v>
      </c>
      <c r="L659" s="5" t="s">
        <v>950</v>
      </c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">
      <c r="A660" s="1">
        <v>2169</v>
      </c>
      <c r="B660" s="13" t="s">
        <v>281</v>
      </c>
      <c r="C660" s="14" t="s">
        <v>953</v>
      </c>
      <c r="D660" s="14" t="s">
        <v>954</v>
      </c>
      <c r="E660" s="14" t="s">
        <v>452</v>
      </c>
      <c r="F660" s="14" t="s">
        <v>817</v>
      </c>
      <c r="G660" s="14" t="s">
        <v>926</v>
      </c>
      <c r="H660" s="4"/>
      <c r="I660" s="4">
        <f t="shared" si="49"/>
        <v>0</v>
      </c>
      <c r="J660" s="4"/>
      <c r="K660" s="4">
        <f t="shared" si="44"/>
        <v>0</v>
      </c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">
      <c r="A661" s="1">
        <v>2041</v>
      </c>
      <c r="B661" s="13" t="s">
        <v>701</v>
      </c>
      <c r="C661" s="14" t="s">
        <v>948</v>
      </c>
      <c r="D661" s="14" t="s">
        <v>949</v>
      </c>
      <c r="E661" s="14" t="s">
        <v>52</v>
      </c>
      <c r="F661" s="14" t="s">
        <v>829</v>
      </c>
      <c r="G661" s="14" t="s">
        <v>926</v>
      </c>
      <c r="H661" s="4"/>
      <c r="I661" s="4">
        <f t="shared" si="49"/>
        <v>0</v>
      </c>
      <c r="J661" s="4"/>
      <c r="K661" s="4">
        <f t="shared" si="44"/>
        <v>0</v>
      </c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">
      <c r="A662" s="1">
        <v>2751</v>
      </c>
      <c r="B662" s="13" t="s">
        <v>944</v>
      </c>
      <c r="C662" s="14" t="s">
        <v>948</v>
      </c>
      <c r="D662" s="14" t="s">
        <v>949</v>
      </c>
      <c r="E662" s="14" t="s">
        <v>52</v>
      </c>
      <c r="F662" s="14" t="s">
        <v>829</v>
      </c>
      <c r="G662" s="14" t="s">
        <v>926</v>
      </c>
      <c r="H662" s="4"/>
      <c r="I662" s="4">
        <f t="shared" si="49"/>
        <v>0</v>
      </c>
      <c r="J662" s="4"/>
      <c r="K662" s="4">
        <f t="shared" si="44"/>
        <v>0</v>
      </c>
      <c r="L662" s="5" t="s">
        <v>950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">
      <c r="A663" s="1">
        <v>1423</v>
      </c>
      <c r="B663" s="13" t="s">
        <v>386</v>
      </c>
      <c r="C663" s="14" t="s">
        <v>953</v>
      </c>
      <c r="D663" s="14" t="s">
        <v>954</v>
      </c>
      <c r="E663" s="14" t="s">
        <v>452</v>
      </c>
      <c r="F663" s="14" t="s">
        <v>829</v>
      </c>
      <c r="G663" s="14" t="s">
        <v>926</v>
      </c>
      <c r="H663" s="4"/>
      <c r="I663" s="4">
        <f t="shared" si="49"/>
        <v>0</v>
      </c>
      <c r="J663" s="4"/>
      <c r="K663" s="4">
        <f t="shared" si="44"/>
        <v>0</v>
      </c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">
      <c r="A664" s="1">
        <v>2167</v>
      </c>
      <c r="B664" s="13" t="s">
        <v>281</v>
      </c>
      <c r="C664" s="14" t="s">
        <v>953</v>
      </c>
      <c r="D664" s="14" t="s">
        <v>954</v>
      </c>
      <c r="E664" s="14" t="s">
        <v>452</v>
      </c>
      <c r="F664" s="14" t="s">
        <v>829</v>
      </c>
      <c r="G664" s="14" t="s">
        <v>926</v>
      </c>
      <c r="H664" s="4"/>
      <c r="I664" s="4">
        <f t="shared" si="49"/>
        <v>0</v>
      </c>
      <c r="J664" s="4"/>
      <c r="K664" s="4">
        <f t="shared" si="44"/>
        <v>0</v>
      </c>
      <c r="L664" s="5" t="s">
        <v>950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">
      <c r="A665" s="1">
        <v>365</v>
      </c>
      <c r="B665" s="13" t="s">
        <v>246</v>
      </c>
      <c r="C665" s="14" t="s">
        <v>955</v>
      </c>
      <c r="D665" s="14" t="s">
        <v>456</v>
      </c>
      <c r="E665" s="14" t="s">
        <v>956</v>
      </c>
      <c r="F665" s="14" t="s">
        <v>834</v>
      </c>
      <c r="G665" s="14" t="s">
        <v>926</v>
      </c>
      <c r="H665" s="4"/>
      <c r="I665" s="4">
        <f t="shared" si="49"/>
        <v>0</v>
      </c>
      <c r="J665" s="4"/>
      <c r="K665" s="4">
        <f t="shared" si="44"/>
        <v>0</v>
      </c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">
      <c r="A666" s="1">
        <v>1395</v>
      </c>
      <c r="B666" s="13" t="s">
        <v>386</v>
      </c>
      <c r="C666" s="14" t="s">
        <v>955</v>
      </c>
      <c r="D666" s="14" t="s">
        <v>456</v>
      </c>
      <c r="E666" s="14" t="s">
        <v>956</v>
      </c>
      <c r="F666" s="14" t="s">
        <v>834</v>
      </c>
      <c r="G666" s="14" t="s">
        <v>926</v>
      </c>
      <c r="H666" s="4"/>
      <c r="I666" s="4">
        <f t="shared" si="49"/>
        <v>0</v>
      </c>
      <c r="J666" s="4"/>
      <c r="K666" s="4">
        <f t="shared" si="44"/>
        <v>0</v>
      </c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">
      <c r="A667" s="1">
        <v>1487</v>
      </c>
      <c r="B667" s="13" t="s">
        <v>957</v>
      </c>
      <c r="C667" s="14" t="s">
        <v>958</v>
      </c>
      <c r="D667" s="14" t="s">
        <v>554</v>
      </c>
      <c r="E667" s="14" t="s">
        <v>306</v>
      </c>
      <c r="F667" s="14" t="s">
        <v>843</v>
      </c>
      <c r="G667" s="14" t="s">
        <v>926</v>
      </c>
      <c r="H667" s="4"/>
      <c r="I667" s="4">
        <f t="shared" si="49"/>
        <v>0</v>
      </c>
      <c r="J667" s="4"/>
      <c r="K667" s="4">
        <f t="shared" si="44"/>
        <v>0</v>
      </c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">
      <c r="A668" s="1">
        <v>1959</v>
      </c>
      <c r="B668" s="13" t="s">
        <v>278</v>
      </c>
      <c r="C668" s="14" t="s">
        <v>958</v>
      </c>
      <c r="D668" s="14" t="s">
        <v>554</v>
      </c>
      <c r="E668" s="14" t="s">
        <v>306</v>
      </c>
      <c r="F668" s="14" t="s">
        <v>843</v>
      </c>
      <c r="G668" s="14" t="s">
        <v>926</v>
      </c>
      <c r="H668" s="4"/>
      <c r="I668" s="4">
        <f t="shared" si="49"/>
        <v>0</v>
      </c>
      <c r="J668" s="4"/>
      <c r="K668" s="4">
        <f t="shared" si="44"/>
        <v>0</v>
      </c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">
      <c r="A669" s="1">
        <v>2173</v>
      </c>
      <c r="B669" s="13" t="s">
        <v>281</v>
      </c>
      <c r="C669" s="14" t="s">
        <v>958</v>
      </c>
      <c r="D669" s="14" t="s">
        <v>554</v>
      </c>
      <c r="E669" s="14" t="s">
        <v>306</v>
      </c>
      <c r="F669" s="14" t="s">
        <v>843</v>
      </c>
      <c r="G669" s="14" t="s">
        <v>926</v>
      </c>
      <c r="H669" s="4"/>
      <c r="I669" s="4">
        <f t="shared" si="49"/>
        <v>0</v>
      </c>
      <c r="J669" s="4"/>
      <c r="K669" s="4">
        <f t="shared" si="44"/>
        <v>0</v>
      </c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">
      <c r="A670" s="1">
        <v>785</v>
      </c>
      <c r="B670" s="13" t="s">
        <v>405</v>
      </c>
      <c r="C670" s="14" t="s">
        <v>959</v>
      </c>
      <c r="D670" s="14" t="s">
        <v>898</v>
      </c>
      <c r="E670" s="14" t="s">
        <v>960</v>
      </c>
      <c r="F670" s="14" t="s">
        <v>843</v>
      </c>
      <c r="G670" s="14" t="s">
        <v>926</v>
      </c>
      <c r="H670" s="4"/>
      <c r="I670" s="4">
        <f t="shared" si="49"/>
        <v>0</v>
      </c>
      <c r="J670" s="4"/>
      <c r="K670" s="4">
        <f t="shared" si="44"/>
        <v>0</v>
      </c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">
      <c r="A671" s="1">
        <v>925</v>
      </c>
      <c r="B671" s="13" t="s">
        <v>694</v>
      </c>
      <c r="C671" s="14" t="s">
        <v>961</v>
      </c>
      <c r="D671" s="14" t="s">
        <v>120</v>
      </c>
      <c r="E671" s="14" t="s">
        <v>306</v>
      </c>
      <c r="F671" s="14" t="s">
        <v>843</v>
      </c>
      <c r="G671" s="14" t="s">
        <v>926</v>
      </c>
      <c r="H671" s="4"/>
      <c r="I671" s="4">
        <f t="shared" si="49"/>
        <v>0</v>
      </c>
      <c r="J671" s="4"/>
      <c r="K671" s="4">
        <f t="shared" si="44"/>
        <v>0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">
      <c r="A672" s="1">
        <v>2049</v>
      </c>
      <c r="B672" s="13" t="s">
        <v>701</v>
      </c>
      <c r="C672" s="14" t="s">
        <v>961</v>
      </c>
      <c r="D672" s="14" t="s">
        <v>120</v>
      </c>
      <c r="E672" s="14" t="s">
        <v>306</v>
      </c>
      <c r="F672" s="14" t="s">
        <v>843</v>
      </c>
      <c r="G672" s="14" t="s">
        <v>926</v>
      </c>
      <c r="H672" s="4"/>
      <c r="I672" s="4">
        <f t="shared" si="49"/>
        <v>0</v>
      </c>
      <c r="J672" s="4"/>
      <c r="K672" s="4">
        <f t="shared" si="44"/>
        <v>0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">
      <c r="A673" s="1">
        <v>2641</v>
      </c>
      <c r="B673" s="13" t="s">
        <v>702</v>
      </c>
      <c r="C673" s="14" t="s">
        <v>961</v>
      </c>
      <c r="D673" s="14" t="s">
        <v>120</v>
      </c>
      <c r="E673" s="14" t="s">
        <v>306</v>
      </c>
      <c r="F673" s="14" t="s">
        <v>843</v>
      </c>
      <c r="G673" s="14" t="s">
        <v>926</v>
      </c>
      <c r="H673" s="4"/>
      <c r="I673" s="4">
        <f t="shared" si="49"/>
        <v>0</v>
      </c>
      <c r="J673" s="4"/>
      <c r="K673" s="4">
        <f t="shared" si="44"/>
        <v>0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">
      <c r="A674" s="1">
        <v>1419</v>
      </c>
      <c r="B674" s="13" t="s">
        <v>386</v>
      </c>
      <c r="C674" s="14" t="s">
        <v>847</v>
      </c>
      <c r="D674" s="14" t="s">
        <v>871</v>
      </c>
      <c r="E674" s="14" t="s">
        <v>571</v>
      </c>
      <c r="F674" s="14" t="s">
        <v>848</v>
      </c>
      <c r="G674" s="14" t="s">
        <v>926</v>
      </c>
      <c r="H674" s="4"/>
      <c r="I674" s="4">
        <f t="shared" si="49"/>
        <v>0</v>
      </c>
      <c r="J674" s="4"/>
      <c r="K674" s="4">
        <f t="shared" si="44"/>
        <v>0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">
      <c r="A675" s="1">
        <v>1885</v>
      </c>
      <c r="B675" s="13" t="s">
        <v>711</v>
      </c>
      <c r="C675" s="14" t="s">
        <v>847</v>
      </c>
      <c r="D675" s="14" t="s">
        <v>871</v>
      </c>
      <c r="E675" s="14" t="s">
        <v>571</v>
      </c>
      <c r="F675" s="14" t="s">
        <v>848</v>
      </c>
      <c r="G675" s="14" t="s">
        <v>926</v>
      </c>
      <c r="H675" s="4"/>
      <c r="I675" s="4">
        <f t="shared" si="49"/>
        <v>0</v>
      </c>
      <c r="J675" s="4"/>
      <c r="K675" s="4">
        <f t="shared" si="44"/>
        <v>0</v>
      </c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">
      <c r="A676" s="1">
        <v>1183</v>
      </c>
      <c r="B676" s="13" t="s">
        <v>256</v>
      </c>
      <c r="C676" s="14" t="s">
        <v>962</v>
      </c>
      <c r="D676" s="14" t="s">
        <v>963</v>
      </c>
      <c r="E676" s="14" t="s">
        <v>348</v>
      </c>
      <c r="F676" s="14" t="s">
        <v>848</v>
      </c>
      <c r="G676" s="14" t="s">
        <v>926</v>
      </c>
      <c r="H676" s="4"/>
      <c r="I676" s="4">
        <f t="shared" si="49"/>
        <v>0</v>
      </c>
      <c r="J676" s="4"/>
      <c r="K676" s="4">
        <f t="shared" si="44"/>
        <v>0</v>
      </c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">
      <c r="A677" s="1">
        <v>2571</v>
      </c>
      <c r="B677" s="13" t="s">
        <v>286</v>
      </c>
      <c r="C677" s="14" t="s">
        <v>962</v>
      </c>
      <c r="D677" s="14" t="s">
        <v>963</v>
      </c>
      <c r="E677" s="14" t="s">
        <v>348</v>
      </c>
      <c r="F677" s="14" t="s">
        <v>848</v>
      </c>
      <c r="G677" s="14" t="s">
        <v>926</v>
      </c>
      <c r="H677" s="4"/>
      <c r="I677" s="4">
        <f t="shared" si="49"/>
        <v>0</v>
      </c>
      <c r="J677" s="4"/>
      <c r="K677" s="4">
        <f t="shared" si="44"/>
        <v>0</v>
      </c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">
      <c r="A678" s="1">
        <v>1159</v>
      </c>
      <c r="B678" s="13" t="s">
        <v>433</v>
      </c>
      <c r="C678" s="14" t="s">
        <v>964</v>
      </c>
      <c r="D678" s="14" t="s">
        <v>17</v>
      </c>
      <c r="E678" s="14" t="s">
        <v>259</v>
      </c>
      <c r="F678" s="14" t="s">
        <v>848</v>
      </c>
      <c r="G678" s="14" t="s">
        <v>926</v>
      </c>
      <c r="H678" s="4"/>
      <c r="I678" s="4">
        <f t="shared" si="49"/>
        <v>0</v>
      </c>
      <c r="J678" s="4"/>
      <c r="K678" s="4">
        <f t="shared" si="44"/>
        <v>0</v>
      </c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">
      <c r="A679" s="1">
        <v>2569</v>
      </c>
      <c r="B679" s="13" t="s">
        <v>286</v>
      </c>
      <c r="C679" s="14" t="s">
        <v>964</v>
      </c>
      <c r="D679" s="14" t="s">
        <v>17</v>
      </c>
      <c r="E679" s="14" t="s">
        <v>259</v>
      </c>
      <c r="F679" s="14" t="s">
        <v>848</v>
      </c>
      <c r="G679" s="14" t="s">
        <v>926</v>
      </c>
      <c r="H679" s="4"/>
      <c r="I679" s="4">
        <f t="shared" si="49"/>
        <v>0</v>
      </c>
      <c r="J679" s="4"/>
      <c r="K679" s="4">
        <f t="shared" si="44"/>
        <v>0</v>
      </c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">
      <c r="A680" s="1">
        <v>2597</v>
      </c>
      <c r="B680" s="13" t="s">
        <v>287</v>
      </c>
      <c r="C680" s="14" t="s">
        <v>965</v>
      </c>
      <c r="D680" s="14" t="s">
        <v>474</v>
      </c>
      <c r="E680" s="14" t="s">
        <v>389</v>
      </c>
      <c r="F680" s="14" t="s">
        <v>848</v>
      </c>
      <c r="G680" s="14" t="s">
        <v>926</v>
      </c>
      <c r="H680" s="4"/>
      <c r="I680" s="4">
        <f t="shared" si="49"/>
        <v>0</v>
      </c>
      <c r="J680" s="4"/>
      <c r="K680" s="4">
        <f t="shared" si="44"/>
        <v>0</v>
      </c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">
      <c r="A681" s="1">
        <v>2867</v>
      </c>
      <c r="B681" s="13" t="s">
        <v>519</v>
      </c>
      <c r="C681" s="14" t="s">
        <v>965</v>
      </c>
      <c r="D681" s="14" t="s">
        <v>474</v>
      </c>
      <c r="E681" s="14" t="s">
        <v>389</v>
      </c>
      <c r="F681" s="14" t="s">
        <v>848</v>
      </c>
      <c r="G681" s="14" t="s">
        <v>926</v>
      </c>
      <c r="H681" s="4"/>
      <c r="I681" s="4">
        <f t="shared" si="49"/>
        <v>0</v>
      </c>
      <c r="J681" s="4"/>
      <c r="K681" s="4">
        <f t="shared" si="44"/>
        <v>0</v>
      </c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">
      <c r="A682" s="1">
        <v>2357</v>
      </c>
      <c r="B682" s="13" t="s">
        <v>137</v>
      </c>
      <c r="C682" s="14" t="s">
        <v>966</v>
      </c>
      <c r="D682" s="14" t="s">
        <v>967</v>
      </c>
      <c r="E682" s="14" t="s">
        <v>968</v>
      </c>
      <c r="F682" s="14" t="s">
        <v>866</v>
      </c>
      <c r="G682" s="14" t="s">
        <v>926</v>
      </c>
      <c r="H682" s="4"/>
      <c r="I682" s="4">
        <f t="shared" si="49"/>
        <v>0</v>
      </c>
      <c r="J682" s="4"/>
      <c r="K682" s="4">
        <f t="shared" si="44"/>
        <v>0</v>
      </c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">
      <c r="A683" s="1">
        <v>2427</v>
      </c>
      <c r="B683" s="13" t="s">
        <v>201</v>
      </c>
      <c r="C683" s="14" t="s">
        <v>969</v>
      </c>
      <c r="D683" s="14" t="s">
        <v>898</v>
      </c>
      <c r="E683" s="14" t="s">
        <v>32</v>
      </c>
      <c r="F683" s="14" t="s">
        <v>866</v>
      </c>
      <c r="G683" s="14" t="s">
        <v>926</v>
      </c>
      <c r="H683" s="4"/>
      <c r="I683" s="4">
        <f t="shared" si="49"/>
        <v>0</v>
      </c>
      <c r="J683" s="4"/>
      <c r="K683" s="4">
        <f t="shared" si="44"/>
        <v>0</v>
      </c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">
      <c r="A684" s="1">
        <v>2395</v>
      </c>
      <c r="B684" s="13" t="s">
        <v>154</v>
      </c>
      <c r="C684" s="14" t="s">
        <v>970</v>
      </c>
      <c r="D684" s="14" t="s">
        <v>884</v>
      </c>
      <c r="E684" s="14" t="s">
        <v>424</v>
      </c>
      <c r="F684" s="14" t="s">
        <v>866</v>
      </c>
      <c r="G684" s="14" t="s">
        <v>926</v>
      </c>
      <c r="H684" s="4"/>
      <c r="I684" s="4">
        <f t="shared" si="49"/>
        <v>0</v>
      </c>
      <c r="J684" s="4"/>
      <c r="K684" s="4">
        <f t="shared" si="44"/>
        <v>0</v>
      </c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">
      <c r="A685" s="1">
        <v>821</v>
      </c>
      <c r="B685" s="13" t="s">
        <v>971</v>
      </c>
      <c r="C685" s="14" t="s">
        <v>972</v>
      </c>
      <c r="D685" s="14" t="s">
        <v>973</v>
      </c>
      <c r="E685" s="14" t="s">
        <v>974</v>
      </c>
      <c r="F685" s="14" t="s">
        <v>883</v>
      </c>
      <c r="G685" s="14" t="s">
        <v>926</v>
      </c>
      <c r="H685" s="4"/>
      <c r="I685" s="4">
        <f t="shared" si="49"/>
        <v>0</v>
      </c>
      <c r="J685" s="4"/>
      <c r="K685" s="4">
        <f t="shared" si="44"/>
        <v>0</v>
      </c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">
      <c r="A686" s="1">
        <v>2425</v>
      </c>
      <c r="B686" s="13" t="s">
        <v>201</v>
      </c>
      <c r="C686" s="14" t="s">
        <v>972</v>
      </c>
      <c r="D686" s="14" t="s">
        <v>973</v>
      </c>
      <c r="E686" s="14" t="s">
        <v>974</v>
      </c>
      <c r="F686" s="14" t="s">
        <v>883</v>
      </c>
      <c r="G686" s="14" t="s">
        <v>926</v>
      </c>
      <c r="H686" s="4"/>
      <c r="I686" s="4">
        <f t="shared" si="49"/>
        <v>0</v>
      </c>
      <c r="J686" s="4"/>
      <c r="K686" s="4">
        <f t="shared" si="44"/>
        <v>0</v>
      </c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">
      <c r="A687" s="1">
        <v>849</v>
      </c>
      <c r="B687" s="13" t="s">
        <v>975</v>
      </c>
      <c r="C687" s="14" t="s">
        <v>976</v>
      </c>
      <c r="D687" s="14" t="s">
        <v>399</v>
      </c>
      <c r="E687" s="14" t="s">
        <v>319</v>
      </c>
      <c r="F687" s="14" t="s">
        <v>883</v>
      </c>
      <c r="G687" s="14" t="s">
        <v>926</v>
      </c>
      <c r="H687" s="4"/>
      <c r="I687" s="4">
        <f t="shared" si="49"/>
        <v>0</v>
      </c>
      <c r="J687" s="4"/>
      <c r="K687" s="4">
        <f t="shared" si="44"/>
        <v>0</v>
      </c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">
      <c r="A688" s="1">
        <v>2461</v>
      </c>
      <c r="B688" s="13" t="s">
        <v>169</v>
      </c>
      <c r="C688" s="14" t="s">
        <v>976</v>
      </c>
      <c r="D688" s="14" t="s">
        <v>399</v>
      </c>
      <c r="E688" s="14" t="s">
        <v>319</v>
      </c>
      <c r="F688" s="14" t="s">
        <v>883</v>
      </c>
      <c r="G688" s="14" t="s">
        <v>926</v>
      </c>
      <c r="H688" s="4"/>
      <c r="I688" s="4">
        <f t="shared" si="49"/>
        <v>0</v>
      </c>
      <c r="J688" s="4"/>
      <c r="K688" s="4">
        <f t="shared" si="44"/>
        <v>0</v>
      </c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">
      <c r="A689" s="1">
        <v>755</v>
      </c>
      <c r="B689" s="13" t="s">
        <v>977</v>
      </c>
      <c r="C689" s="14" t="s">
        <v>978</v>
      </c>
      <c r="D689" s="14" t="s">
        <v>506</v>
      </c>
      <c r="E689" s="14" t="s">
        <v>22</v>
      </c>
      <c r="F689" s="14" t="s">
        <v>979</v>
      </c>
      <c r="G689" s="14" t="s">
        <v>926</v>
      </c>
      <c r="H689" s="4"/>
      <c r="I689" s="4">
        <f t="shared" si="49"/>
        <v>0</v>
      </c>
      <c r="J689" s="4"/>
      <c r="K689" s="4">
        <f t="shared" si="44"/>
        <v>0</v>
      </c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">
      <c r="A690" s="1">
        <v>277</v>
      </c>
      <c r="B690" s="13" t="s">
        <v>896</v>
      </c>
      <c r="C690" s="14" t="s">
        <v>978</v>
      </c>
      <c r="D690" s="14" t="s">
        <v>506</v>
      </c>
      <c r="E690" s="14" t="s">
        <v>22</v>
      </c>
      <c r="F690" s="14" t="s">
        <v>979</v>
      </c>
      <c r="G690" s="14" t="s">
        <v>926</v>
      </c>
      <c r="H690" s="4"/>
      <c r="I690" s="4">
        <f t="shared" si="49"/>
        <v>0</v>
      </c>
      <c r="J690" s="4"/>
      <c r="K690" s="4">
        <f t="shared" si="44"/>
        <v>0</v>
      </c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">
      <c r="A691" s="1">
        <v>841</v>
      </c>
      <c r="B691" s="13" t="s">
        <v>980</v>
      </c>
      <c r="C691" s="14" t="s">
        <v>981</v>
      </c>
      <c r="D691" s="14" t="s">
        <v>353</v>
      </c>
      <c r="E691" s="14" t="s">
        <v>357</v>
      </c>
      <c r="F691" s="14" t="s">
        <v>982</v>
      </c>
      <c r="G691" s="14" t="s">
        <v>926</v>
      </c>
      <c r="H691" s="4"/>
      <c r="I691" s="4">
        <f t="shared" si="49"/>
        <v>0</v>
      </c>
      <c r="J691" s="4"/>
      <c r="K691" s="4">
        <f t="shared" si="44"/>
        <v>0</v>
      </c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">
      <c r="A692" s="1">
        <v>2341</v>
      </c>
      <c r="B692" s="13" t="s">
        <v>285</v>
      </c>
      <c r="C692" s="14" t="s">
        <v>983</v>
      </c>
      <c r="D692" s="14" t="s">
        <v>984</v>
      </c>
      <c r="E692" s="14" t="s">
        <v>985</v>
      </c>
      <c r="F692" s="14" t="s">
        <v>908</v>
      </c>
      <c r="G692" s="14" t="s">
        <v>926</v>
      </c>
      <c r="H692" s="4">
        <v>60</v>
      </c>
      <c r="I692" s="4">
        <f t="shared" si="49"/>
        <v>138000</v>
      </c>
      <c r="J692" s="4">
        <v>2</v>
      </c>
      <c r="K692" s="4">
        <f t="shared" si="44"/>
        <v>8000</v>
      </c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">
      <c r="A693" s="1">
        <v>2887</v>
      </c>
      <c r="B693" s="13" t="s">
        <v>378</v>
      </c>
      <c r="C693" s="14" t="s">
        <v>983</v>
      </c>
      <c r="D693" s="14" t="s">
        <v>984</v>
      </c>
      <c r="E693" s="14" t="s">
        <v>985</v>
      </c>
      <c r="F693" s="14" t="s">
        <v>908</v>
      </c>
      <c r="G693" s="14" t="s">
        <v>926</v>
      </c>
      <c r="H693" s="4"/>
      <c r="I693" s="4">
        <f t="shared" si="49"/>
        <v>0</v>
      </c>
      <c r="J693" s="4"/>
      <c r="K693" s="4">
        <f t="shared" si="44"/>
        <v>0</v>
      </c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">
      <c r="A694" s="1">
        <v>1529</v>
      </c>
      <c r="B694" s="13" t="s">
        <v>263</v>
      </c>
      <c r="C694" s="14" t="s">
        <v>986</v>
      </c>
      <c r="D694" s="14" t="s">
        <v>987</v>
      </c>
      <c r="E694" s="14" t="s">
        <v>18</v>
      </c>
      <c r="F694" s="14" t="s">
        <v>908</v>
      </c>
      <c r="G694" s="14" t="s">
        <v>926</v>
      </c>
      <c r="H694" s="4"/>
      <c r="I694" s="4">
        <f t="shared" si="49"/>
        <v>0</v>
      </c>
      <c r="J694" s="4"/>
      <c r="K694" s="4">
        <f t="shared" si="44"/>
        <v>0</v>
      </c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">
      <c r="A695" s="1">
        <v>2325</v>
      </c>
      <c r="B695" s="13" t="s">
        <v>285</v>
      </c>
      <c r="C695" s="14" t="s">
        <v>986</v>
      </c>
      <c r="D695" s="14" t="s">
        <v>987</v>
      </c>
      <c r="E695" s="14" t="s">
        <v>18</v>
      </c>
      <c r="F695" s="14" t="s">
        <v>908</v>
      </c>
      <c r="G695" s="14" t="s">
        <v>926</v>
      </c>
      <c r="H695" s="4"/>
      <c r="I695" s="4">
        <f t="shared" si="49"/>
        <v>0</v>
      </c>
      <c r="J695" s="4"/>
      <c r="K695" s="4">
        <f t="shared" si="44"/>
        <v>0</v>
      </c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">
      <c r="A696" s="1">
        <v>1355</v>
      </c>
      <c r="B696" s="13" t="s">
        <v>601</v>
      </c>
      <c r="C696" s="14" t="s">
        <v>988</v>
      </c>
      <c r="D696" s="14" t="s">
        <v>989</v>
      </c>
      <c r="E696" s="14" t="s">
        <v>306</v>
      </c>
      <c r="F696" s="14" t="s">
        <v>908</v>
      </c>
      <c r="G696" s="14" t="s">
        <v>926</v>
      </c>
      <c r="H696" s="4"/>
      <c r="I696" s="4">
        <f t="shared" si="49"/>
        <v>0</v>
      </c>
      <c r="J696" s="4"/>
      <c r="K696" s="4">
        <f t="shared" si="44"/>
        <v>0</v>
      </c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">
      <c r="A697" s="1">
        <v>2145</v>
      </c>
      <c r="B697" s="13" t="s">
        <v>281</v>
      </c>
      <c r="C697" s="14" t="s">
        <v>988</v>
      </c>
      <c r="D697" s="14" t="s">
        <v>989</v>
      </c>
      <c r="E697" s="14" t="s">
        <v>306</v>
      </c>
      <c r="F697" s="14" t="s">
        <v>908</v>
      </c>
      <c r="G697" s="14" t="s">
        <v>926</v>
      </c>
      <c r="H697" s="4"/>
      <c r="I697" s="4">
        <f t="shared" si="49"/>
        <v>0</v>
      </c>
      <c r="J697" s="4"/>
      <c r="K697" s="4">
        <f t="shared" si="44"/>
        <v>0</v>
      </c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">
      <c r="A698" s="1">
        <v>1313</v>
      </c>
      <c r="B698" s="13" t="s">
        <v>936</v>
      </c>
      <c r="C698" s="14" t="s">
        <v>990</v>
      </c>
      <c r="D698" s="14" t="s">
        <v>697</v>
      </c>
      <c r="E698" s="14" t="s">
        <v>397</v>
      </c>
      <c r="F698" s="14" t="s">
        <v>908</v>
      </c>
      <c r="G698" s="14" t="s">
        <v>926</v>
      </c>
      <c r="H698" s="4"/>
      <c r="I698" s="4">
        <f t="shared" si="49"/>
        <v>0</v>
      </c>
      <c r="J698" s="4"/>
      <c r="K698" s="4">
        <f t="shared" si="44"/>
        <v>0</v>
      </c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">
      <c r="A699" s="1">
        <v>2111</v>
      </c>
      <c r="B699" s="13" t="s">
        <v>280</v>
      </c>
      <c r="C699" s="14" t="s">
        <v>990</v>
      </c>
      <c r="D699" s="14" t="s">
        <v>697</v>
      </c>
      <c r="E699" s="14" t="s">
        <v>397</v>
      </c>
      <c r="F699" s="14" t="s">
        <v>908</v>
      </c>
      <c r="G699" s="14" t="s">
        <v>926</v>
      </c>
      <c r="H699" s="4"/>
      <c r="I699" s="4">
        <f t="shared" si="49"/>
        <v>0</v>
      </c>
      <c r="J699" s="4"/>
      <c r="K699" s="4">
        <f t="shared" si="44"/>
        <v>0</v>
      </c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">
      <c r="A700" s="1">
        <v>1071</v>
      </c>
      <c r="B700" s="13" t="s">
        <v>458</v>
      </c>
      <c r="C700" s="14" t="s">
        <v>991</v>
      </c>
      <c r="D700" s="14" t="s">
        <v>992</v>
      </c>
      <c r="E700" s="14" t="s">
        <v>129</v>
      </c>
      <c r="F700" s="14" t="s">
        <v>908</v>
      </c>
      <c r="G700" s="14" t="s">
        <v>926</v>
      </c>
      <c r="H700" s="4"/>
      <c r="I700" s="4">
        <f t="shared" si="49"/>
        <v>0</v>
      </c>
      <c r="J700" s="4"/>
      <c r="K700" s="4">
        <f t="shared" si="44"/>
        <v>0</v>
      </c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">
      <c r="A701" s="1">
        <v>2083</v>
      </c>
      <c r="B701" s="13" t="s">
        <v>653</v>
      </c>
      <c r="C701" s="14" t="s">
        <v>991</v>
      </c>
      <c r="D701" s="14" t="s">
        <v>992</v>
      </c>
      <c r="E701" s="14" t="s">
        <v>129</v>
      </c>
      <c r="F701" s="14" t="s">
        <v>908</v>
      </c>
      <c r="G701" s="14" t="s">
        <v>926</v>
      </c>
      <c r="H701" s="4"/>
      <c r="I701" s="4">
        <f t="shared" si="49"/>
        <v>0</v>
      </c>
      <c r="J701" s="4"/>
      <c r="K701" s="4">
        <f t="shared" si="44"/>
        <v>0</v>
      </c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">
      <c r="A702" s="1">
        <v>1091</v>
      </c>
      <c r="B702" s="13" t="s">
        <v>710</v>
      </c>
      <c r="C702" s="14" t="s">
        <v>993</v>
      </c>
      <c r="D702" s="14" t="s">
        <v>266</v>
      </c>
      <c r="E702" s="14" t="s">
        <v>968</v>
      </c>
      <c r="F702" s="14" t="s">
        <v>908</v>
      </c>
      <c r="G702" s="14" t="s">
        <v>926</v>
      </c>
      <c r="H702" s="4"/>
      <c r="I702" s="4">
        <f t="shared" si="49"/>
        <v>0</v>
      </c>
      <c r="J702" s="4"/>
      <c r="K702" s="4">
        <f t="shared" si="44"/>
        <v>0</v>
      </c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">
      <c r="A703" s="1">
        <v>2081</v>
      </c>
      <c r="B703" s="13" t="s">
        <v>653</v>
      </c>
      <c r="C703" s="14" t="s">
        <v>993</v>
      </c>
      <c r="D703" s="14" t="s">
        <v>266</v>
      </c>
      <c r="E703" s="14" t="s">
        <v>968</v>
      </c>
      <c r="F703" s="14" t="s">
        <v>908</v>
      </c>
      <c r="G703" s="14" t="s">
        <v>926</v>
      </c>
      <c r="H703" s="4"/>
      <c r="I703" s="4">
        <f t="shared" si="49"/>
        <v>0</v>
      </c>
      <c r="J703" s="4"/>
      <c r="K703" s="4">
        <f t="shared" si="44"/>
        <v>0</v>
      </c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">
      <c r="A704" s="1">
        <v>303</v>
      </c>
      <c r="B704" s="13" t="s">
        <v>951</v>
      </c>
      <c r="C704" s="14" t="s">
        <v>994</v>
      </c>
      <c r="D704" s="14" t="s">
        <v>995</v>
      </c>
      <c r="E704" s="14" t="s">
        <v>996</v>
      </c>
      <c r="F704" s="14" t="s">
        <v>997</v>
      </c>
      <c r="G704" s="14" t="s">
        <v>926</v>
      </c>
      <c r="H704" s="4"/>
      <c r="I704" s="4">
        <f t="shared" si="49"/>
        <v>0</v>
      </c>
      <c r="J704" s="4"/>
      <c r="K704" s="4">
        <f t="shared" si="44"/>
        <v>0</v>
      </c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">
      <c r="A705" s="1"/>
      <c r="B705" s="2" t="s">
        <v>114</v>
      </c>
      <c r="C705" s="3" t="s">
        <v>998</v>
      </c>
      <c r="D705" s="3" t="s">
        <v>426</v>
      </c>
      <c r="E705" s="3" t="s">
        <v>255</v>
      </c>
      <c r="F705" s="3" t="s">
        <v>999</v>
      </c>
      <c r="G705" s="3" t="s">
        <v>1000</v>
      </c>
      <c r="H705" s="4"/>
      <c r="I705" s="4">
        <f t="shared" ref="I705:I714" si="50">H705*1800</f>
        <v>0</v>
      </c>
      <c r="J705" s="4"/>
      <c r="K705" s="4">
        <f t="shared" si="44"/>
        <v>0</v>
      </c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">
      <c r="A706" s="1"/>
      <c r="B706" s="2" t="s">
        <v>728</v>
      </c>
      <c r="C706" s="3" t="s">
        <v>998</v>
      </c>
      <c r="D706" s="3" t="s">
        <v>426</v>
      </c>
      <c r="E706" s="3" t="s">
        <v>255</v>
      </c>
      <c r="F706" s="3" t="s">
        <v>999</v>
      </c>
      <c r="G706" s="3" t="s">
        <v>1000</v>
      </c>
      <c r="H706" s="4"/>
      <c r="I706" s="4">
        <f t="shared" si="50"/>
        <v>0</v>
      </c>
      <c r="J706" s="4"/>
      <c r="K706" s="4">
        <f t="shared" si="44"/>
        <v>0</v>
      </c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">
      <c r="A707" s="1"/>
      <c r="B707" s="2" t="s">
        <v>307</v>
      </c>
      <c r="C707" s="3" t="s">
        <v>1001</v>
      </c>
      <c r="D707" s="3" t="s">
        <v>86</v>
      </c>
      <c r="E707" s="3" t="s">
        <v>129</v>
      </c>
      <c r="F707" s="3" t="s">
        <v>999</v>
      </c>
      <c r="G707" s="3" t="s">
        <v>1000</v>
      </c>
      <c r="H707" s="4"/>
      <c r="I707" s="4">
        <f t="shared" si="50"/>
        <v>0</v>
      </c>
      <c r="J707" s="4"/>
      <c r="K707" s="4">
        <f t="shared" si="44"/>
        <v>0</v>
      </c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">
      <c r="A708" s="1"/>
      <c r="B708" s="2" t="s">
        <v>311</v>
      </c>
      <c r="C708" s="3" t="s">
        <v>1001</v>
      </c>
      <c r="D708" s="3" t="s">
        <v>86</v>
      </c>
      <c r="E708" s="3" t="s">
        <v>129</v>
      </c>
      <c r="F708" s="3" t="s">
        <v>999</v>
      </c>
      <c r="G708" s="3" t="s">
        <v>1000</v>
      </c>
      <c r="H708" s="4"/>
      <c r="I708" s="4">
        <f t="shared" si="50"/>
        <v>0</v>
      </c>
      <c r="J708" s="4"/>
      <c r="K708" s="4">
        <f t="shared" si="44"/>
        <v>0</v>
      </c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">
      <c r="A709" s="1"/>
      <c r="B709" s="2" t="s">
        <v>728</v>
      </c>
      <c r="C709" s="3" t="s">
        <v>1001</v>
      </c>
      <c r="D709" s="3" t="s">
        <v>86</v>
      </c>
      <c r="E709" s="3" t="s">
        <v>129</v>
      </c>
      <c r="F709" s="3" t="s">
        <v>999</v>
      </c>
      <c r="G709" s="3" t="s">
        <v>1000</v>
      </c>
      <c r="H709" s="4"/>
      <c r="I709" s="4">
        <f t="shared" si="50"/>
        <v>0</v>
      </c>
      <c r="J709" s="4"/>
      <c r="K709" s="4">
        <f t="shared" si="44"/>
        <v>0</v>
      </c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">
      <c r="A710" s="1"/>
      <c r="B710" s="2" t="s">
        <v>421</v>
      </c>
      <c r="C710" s="3" t="s">
        <v>1002</v>
      </c>
      <c r="D710" s="3" t="s">
        <v>124</v>
      </c>
      <c r="E710" s="3" t="s">
        <v>40</v>
      </c>
      <c r="F710" s="3" t="s">
        <v>1003</v>
      </c>
      <c r="G710" s="3" t="s">
        <v>1000</v>
      </c>
      <c r="H710" s="4"/>
      <c r="I710" s="4">
        <f t="shared" si="50"/>
        <v>0</v>
      </c>
      <c r="J710" s="4"/>
      <c r="K710" s="4">
        <f t="shared" si="44"/>
        <v>0</v>
      </c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">
      <c r="A711" s="1"/>
      <c r="B711" s="2" t="s">
        <v>307</v>
      </c>
      <c r="C711" s="3" t="s">
        <v>1002</v>
      </c>
      <c r="D711" s="3" t="s">
        <v>124</v>
      </c>
      <c r="E711" s="3" t="s">
        <v>40</v>
      </c>
      <c r="F711" s="3" t="s">
        <v>1003</v>
      </c>
      <c r="G711" s="3" t="s">
        <v>1000</v>
      </c>
      <c r="H711" s="4"/>
      <c r="I711" s="4">
        <f t="shared" si="50"/>
        <v>0</v>
      </c>
      <c r="J711" s="4"/>
      <c r="K711" s="4">
        <f t="shared" si="44"/>
        <v>0</v>
      </c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">
      <c r="A712" s="1"/>
      <c r="B712" s="2" t="s">
        <v>300</v>
      </c>
      <c r="C712" s="3" t="s">
        <v>1004</v>
      </c>
      <c r="D712" s="3" t="s">
        <v>31</v>
      </c>
      <c r="E712" s="3" t="s">
        <v>337</v>
      </c>
      <c r="F712" s="3" t="s">
        <v>1003</v>
      </c>
      <c r="G712" s="3" t="s">
        <v>1000</v>
      </c>
      <c r="H712" s="4"/>
      <c r="I712" s="4">
        <f t="shared" si="50"/>
        <v>0</v>
      </c>
      <c r="J712" s="4"/>
      <c r="K712" s="4">
        <f t="shared" si="44"/>
        <v>0</v>
      </c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">
      <c r="A713" s="1"/>
      <c r="B713" s="2" t="s">
        <v>102</v>
      </c>
      <c r="C713" s="3" t="s">
        <v>1004</v>
      </c>
      <c r="D713" s="3" t="s">
        <v>31</v>
      </c>
      <c r="E713" s="3" t="s">
        <v>337</v>
      </c>
      <c r="F713" s="3" t="s">
        <v>1003</v>
      </c>
      <c r="G713" s="3" t="s">
        <v>1000</v>
      </c>
      <c r="H713" s="4"/>
      <c r="I713" s="4">
        <f t="shared" si="50"/>
        <v>0</v>
      </c>
      <c r="J713" s="4"/>
      <c r="K713" s="4">
        <f t="shared" si="44"/>
        <v>0</v>
      </c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">
      <c r="A714" s="1"/>
      <c r="B714" s="2" t="s">
        <v>109</v>
      </c>
      <c r="C714" s="3" t="s">
        <v>1005</v>
      </c>
      <c r="D714" s="3" t="s">
        <v>1006</v>
      </c>
      <c r="E714" s="3" t="s">
        <v>1007</v>
      </c>
      <c r="F714" s="3" t="s">
        <v>1003</v>
      </c>
      <c r="G714" s="3" t="s">
        <v>1000</v>
      </c>
      <c r="H714" s="4"/>
      <c r="I714" s="4">
        <f t="shared" si="50"/>
        <v>0</v>
      </c>
      <c r="J714" s="4"/>
      <c r="K714" s="4">
        <f t="shared" si="44"/>
        <v>0</v>
      </c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">
      <c r="A715" s="1">
        <v>209</v>
      </c>
      <c r="B715" s="13" t="s">
        <v>1008</v>
      </c>
      <c r="C715" s="14" t="s">
        <v>667</v>
      </c>
      <c r="D715" s="14" t="s">
        <v>333</v>
      </c>
      <c r="E715" s="14" t="s">
        <v>334</v>
      </c>
      <c r="F715" s="14" t="s">
        <v>1009</v>
      </c>
      <c r="G715" s="14" t="s">
        <v>1010</v>
      </c>
      <c r="H715" s="4"/>
      <c r="I715" s="4">
        <f>H715*2300</f>
        <v>0</v>
      </c>
      <c r="J715" s="4"/>
      <c r="K715" s="4">
        <f t="shared" si="44"/>
        <v>0</v>
      </c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">
      <c r="A716" s="1"/>
      <c r="B716" s="2" t="s">
        <v>307</v>
      </c>
      <c r="C716" s="3" t="s">
        <v>1011</v>
      </c>
      <c r="D716" s="3" t="s">
        <v>236</v>
      </c>
      <c r="E716" s="3" t="s">
        <v>413</v>
      </c>
      <c r="F716" s="3" t="s">
        <v>1009</v>
      </c>
      <c r="G716" s="3" t="s">
        <v>1010</v>
      </c>
      <c r="H716" s="4"/>
      <c r="I716" s="4">
        <f t="shared" ref="I716:I728" si="51">H716*1800</f>
        <v>0</v>
      </c>
      <c r="J716" s="4"/>
      <c r="K716" s="4">
        <f t="shared" si="44"/>
        <v>0</v>
      </c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">
      <c r="A717" s="1"/>
      <c r="B717" s="2" t="s">
        <v>232</v>
      </c>
      <c r="C717" s="3" t="s">
        <v>1011</v>
      </c>
      <c r="D717" s="3" t="s">
        <v>236</v>
      </c>
      <c r="E717" s="3" t="s">
        <v>413</v>
      </c>
      <c r="F717" s="3" t="s">
        <v>1009</v>
      </c>
      <c r="G717" s="3" t="s">
        <v>1010</v>
      </c>
      <c r="H717" s="4"/>
      <c r="I717" s="4">
        <f t="shared" si="51"/>
        <v>0</v>
      </c>
      <c r="J717" s="4"/>
      <c r="K717" s="4">
        <f t="shared" si="44"/>
        <v>0</v>
      </c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">
      <c r="A718" s="1"/>
      <c r="B718" s="2" t="s">
        <v>108</v>
      </c>
      <c r="C718" s="3" t="s">
        <v>1011</v>
      </c>
      <c r="D718" s="3" t="s">
        <v>236</v>
      </c>
      <c r="E718" s="3" t="s">
        <v>413</v>
      </c>
      <c r="F718" s="3" t="s">
        <v>1009</v>
      </c>
      <c r="G718" s="3" t="s">
        <v>1010</v>
      </c>
      <c r="H718" s="4"/>
      <c r="I718" s="4">
        <f t="shared" si="51"/>
        <v>0</v>
      </c>
      <c r="J718" s="4"/>
      <c r="K718" s="4">
        <f t="shared" si="44"/>
        <v>0</v>
      </c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">
      <c r="A719" s="1"/>
      <c r="B719" s="2" t="s">
        <v>232</v>
      </c>
      <c r="C719" s="3" t="s">
        <v>1012</v>
      </c>
      <c r="D719" s="3" t="s">
        <v>183</v>
      </c>
      <c r="E719" s="3" t="s">
        <v>87</v>
      </c>
      <c r="F719" s="3" t="s">
        <v>1009</v>
      </c>
      <c r="G719" s="3" t="s">
        <v>1010</v>
      </c>
      <c r="H719" s="4"/>
      <c r="I719" s="4">
        <f t="shared" si="51"/>
        <v>0</v>
      </c>
      <c r="J719" s="4"/>
      <c r="K719" s="4">
        <f t="shared" si="44"/>
        <v>0</v>
      </c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">
      <c r="A720" s="1"/>
      <c r="B720" s="2" t="s">
        <v>114</v>
      </c>
      <c r="C720" s="3" t="s">
        <v>1012</v>
      </c>
      <c r="D720" s="3" t="s">
        <v>183</v>
      </c>
      <c r="E720" s="3" t="s">
        <v>87</v>
      </c>
      <c r="F720" s="3" t="s">
        <v>1009</v>
      </c>
      <c r="G720" s="3" t="s">
        <v>1010</v>
      </c>
      <c r="H720" s="4"/>
      <c r="I720" s="4">
        <f t="shared" si="51"/>
        <v>0</v>
      </c>
      <c r="J720" s="4"/>
      <c r="K720" s="4">
        <f t="shared" si="44"/>
        <v>0</v>
      </c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">
      <c r="A721" s="1"/>
      <c r="B721" s="2" t="s">
        <v>108</v>
      </c>
      <c r="C721" s="3" t="s">
        <v>1012</v>
      </c>
      <c r="D721" s="3" t="s">
        <v>183</v>
      </c>
      <c r="E721" s="3" t="s">
        <v>87</v>
      </c>
      <c r="F721" s="3" t="s">
        <v>1009</v>
      </c>
      <c r="G721" s="3" t="s">
        <v>1010</v>
      </c>
      <c r="H721" s="4"/>
      <c r="I721" s="4">
        <f t="shared" si="51"/>
        <v>0</v>
      </c>
      <c r="J721" s="4"/>
      <c r="K721" s="4">
        <f t="shared" si="44"/>
        <v>0</v>
      </c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">
      <c r="A722" s="1"/>
      <c r="B722" s="2" t="s">
        <v>296</v>
      </c>
      <c r="C722" s="3" t="s">
        <v>667</v>
      </c>
      <c r="D722" s="3" t="s">
        <v>333</v>
      </c>
      <c r="E722" s="3" t="s">
        <v>334</v>
      </c>
      <c r="F722" s="3" t="s">
        <v>1009</v>
      </c>
      <c r="G722" s="3" t="s">
        <v>1010</v>
      </c>
      <c r="H722" s="4"/>
      <c r="I722" s="4">
        <f t="shared" si="51"/>
        <v>0</v>
      </c>
      <c r="J722" s="4"/>
      <c r="K722" s="4">
        <f t="shared" si="44"/>
        <v>0</v>
      </c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">
      <c r="A723" s="1"/>
      <c r="B723" s="2" t="s">
        <v>108</v>
      </c>
      <c r="C723" s="3" t="s">
        <v>667</v>
      </c>
      <c r="D723" s="3" t="s">
        <v>333</v>
      </c>
      <c r="E723" s="3" t="s">
        <v>334</v>
      </c>
      <c r="F723" s="3" t="s">
        <v>1009</v>
      </c>
      <c r="G723" s="3" t="s">
        <v>1010</v>
      </c>
      <c r="H723" s="4"/>
      <c r="I723" s="4">
        <f t="shared" si="51"/>
        <v>0</v>
      </c>
      <c r="J723" s="4"/>
      <c r="K723" s="4">
        <f t="shared" si="44"/>
        <v>0</v>
      </c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">
      <c r="A724" s="1"/>
      <c r="B724" s="2" t="s">
        <v>315</v>
      </c>
      <c r="C724" s="3" t="s">
        <v>1013</v>
      </c>
      <c r="D724" s="3" t="s">
        <v>28</v>
      </c>
      <c r="E724" s="3" t="s">
        <v>650</v>
      </c>
      <c r="F724" s="3" t="s">
        <v>1009</v>
      </c>
      <c r="G724" s="3" t="s">
        <v>1010</v>
      </c>
      <c r="H724" s="4"/>
      <c r="I724" s="4">
        <f t="shared" si="51"/>
        <v>0</v>
      </c>
      <c r="J724" s="4"/>
      <c r="K724" s="4">
        <f t="shared" si="44"/>
        <v>0</v>
      </c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">
      <c r="A725" s="1"/>
      <c r="B725" s="2" t="s">
        <v>94</v>
      </c>
      <c r="C725" s="3" t="s">
        <v>1013</v>
      </c>
      <c r="D725" s="3" t="s">
        <v>28</v>
      </c>
      <c r="E725" s="3" t="s">
        <v>650</v>
      </c>
      <c r="F725" s="3" t="s">
        <v>1009</v>
      </c>
      <c r="G725" s="3" t="s">
        <v>1010</v>
      </c>
      <c r="H725" s="4"/>
      <c r="I725" s="4">
        <f t="shared" si="51"/>
        <v>0</v>
      </c>
      <c r="J725" s="4"/>
      <c r="K725" s="4">
        <f t="shared" si="44"/>
        <v>0</v>
      </c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">
      <c r="A726" s="1"/>
      <c r="B726" s="2" t="s">
        <v>232</v>
      </c>
      <c r="C726" s="3" t="s">
        <v>1014</v>
      </c>
      <c r="D726" s="3" t="s">
        <v>124</v>
      </c>
      <c r="E726" s="3" t="s">
        <v>87</v>
      </c>
      <c r="F726" s="3" t="s">
        <v>1009</v>
      </c>
      <c r="G726" s="3" t="s">
        <v>1010</v>
      </c>
      <c r="H726" s="4"/>
      <c r="I726" s="4">
        <f t="shared" si="51"/>
        <v>0</v>
      </c>
      <c r="J726" s="4"/>
      <c r="K726" s="4">
        <f t="shared" si="44"/>
        <v>0</v>
      </c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">
      <c r="A727" s="1"/>
      <c r="B727" s="2" t="s">
        <v>114</v>
      </c>
      <c r="C727" s="3" t="s">
        <v>1014</v>
      </c>
      <c r="D727" s="3" t="s">
        <v>124</v>
      </c>
      <c r="E727" s="3" t="s">
        <v>87</v>
      </c>
      <c r="F727" s="3" t="s">
        <v>1009</v>
      </c>
      <c r="G727" s="3" t="s">
        <v>1010</v>
      </c>
      <c r="H727" s="4"/>
      <c r="I727" s="4">
        <f t="shared" si="51"/>
        <v>0</v>
      </c>
      <c r="J727" s="4"/>
      <c r="K727" s="4">
        <f t="shared" si="44"/>
        <v>0</v>
      </c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">
      <c r="A728" s="1"/>
      <c r="B728" s="2" t="s">
        <v>108</v>
      </c>
      <c r="C728" s="3" t="s">
        <v>1014</v>
      </c>
      <c r="D728" s="3" t="s">
        <v>124</v>
      </c>
      <c r="E728" s="3" t="s">
        <v>87</v>
      </c>
      <c r="F728" s="3" t="s">
        <v>1009</v>
      </c>
      <c r="G728" s="3" t="s">
        <v>1010</v>
      </c>
      <c r="H728" s="4"/>
      <c r="I728" s="4">
        <f t="shared" si="51"/>
        <v>0</v>
      </c>
      <c r="J728" s="4"/>
      <c r="K728" s="4">
        <f t="shared" si="44"/>
        <v>0</v>
      </c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">
      <c r="A729" s="1">
        <v>285</v>
      </c>
      <c r="B729" s="13" t="s">
        <v>628</v>
      </c>
      <c r="C729" s="14" t="s">
        <v>1015</v>
      </c>
      <c r="D729" s="14" t="s">
        <v>554</v>
      </c>
      <c r="E729" s="14" t="s">
        <v>306</v>
      </c>
      <c r="F729" s="14" t="s">
        <v>1016</v>
      </c>
      <c r="G729" s="14" t="s">
        <v>1010</v>
      </c>
      <c r="H729" s="4"/>
      <c r="I729" s="4">
        <f t="shared" ref="I729:I734" si="52">H729*2300</f>
        <v>0</v>
      </c>
      <c r="J729" s="4"/>
      <c r="K729" s="4">
        <f t="shared" si="44"/>
        <v>0</v>
      </c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">
      <c r="A730" s="1">
        <v>395</v>
      </c>
      <c r="B730" s="13" t="s">
        <v>246</v>
      </c>
      <c r="C730" s="14" t="s">
        <v>1017</v>
      </c>
      <c r="D730" s="14" t="s">
        <v>124</v>
      </c>
      <c r="E730" s="14" t="s">
        <v>424</v>
      </c>
      <c r="F730" s="14" t="s">
        <v>1016</v>
      </c>
      <c r="G730" s="14" t="s">
        <v>1010</v>
      </c>
      <c r="H730" s="4"/>
      <c r="I730" s="4">
        <f t="shared" si="52"/>
        <v>0</v>
      </c>
      <c r="J730" s="4"/>
      <c r="K730" s="4">
        <f t="shared" si="44"/>
        <v>0</v>
      </c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">
      <c r="A731" s="1">
        <v>1097</v>
      </c>
      <c r="B731" s="13" t="s">
        <v>710</v>
      </c>
      <c r="C731" s="14" t="s">
        <v>1015</v>
      </c>
      <c r="D731" s="14" t="s">
        <v>554</v>
      </c>
      <c r="E731" s="14" t="s">
        <v>306</v>
      </c>
      <c r="F731" s="14" t="s">
        <v>1016</v>
      </c>
      <c r="G731" s="14" t="s">
        <v>1010</v>
      </c>
      <c r="H731" s="4"/>
      <c r="I731" s="4">
        <f t="shared" si="52"/>
        <v>0</v>
      </c>
      <c r="J731" s="4"/>
      <c r="K731" s="4">
        <f t="shared" ref="K731:K985" si="53">J731*4000</f>
        <v>0</v>
      </c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">
      <c r="A732" s="1">
        <v>1433</v>
      </c>
      <c r="B732" s="13" t="s">
        <v>386</v>
      </c>
      <c r="C732" s="14" t="s">
        <v>1017</v>
      </c>
      <c r="D732" s="14" t="s">
        <v>124</v>
      </c>
      <c r="E732" s="14" t="s">
        <v>424</v>
      </c>
      <c r="F732" s="14" t="s">
        <v>1016</v>
      </c>
      <c r="G732" s="14" t="s">
        <v>1010</v>
      </c>
      <c r="H732" s="4"/>
      <c r="I732" s="4">
        <f t="shared" si="52"/>
        <v>0</v>
      </c>
      <c r="J732" s="4"/>
      <c r="K732" s="4">
        <f t="shared" si="53"/>
        <v>0</v>
      </c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">
      <c r="A733" s="1">
        <v>473</v>
      </c>
      <c r="B733" s="13" t="s">
        <v>1018</v>
      </c>
      <c r="C733" s="14" t="s">
        <v>1019</v>
      </c>
      <c r="D733" s="14" t="s">
        <v>1020</v>
      </c>
      <c r="E733" s="14" t="s">
        <v>1021</v>
      </c>
      <c r="F733" s="14" t="s">
        <v>1022</v>
      </c>
      <c r="G733" s="14" t="s">
        <v>1010</v>
      </c>
      <c r="H733" s="4"/>
      <c r="I733" s="4">
        <f t="shared" si="52"/>
        <v>0</v>
      </c>
      <c r="J733" s="4"/>
      <c r="K733" s="4">
        <f t="shared" si="53"/>
        <v>0</v>
      </c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">
      <c r="A734" s="1">
        <v>1843</v>
      </c>
      <c r="B734" s="13" t="s">
        <v>439</v>
      </c>
      <c r="C734" s="14" t="s">
        <v>1019</v>
      </c>
      <c r="D734" s="14" t="s">
        <v>1020</v>
      </c>
      <c r="E734" s="14" t="s">
        <v>1021</v>
      </c>
      <c r="F734" s="14" t="s">
        <v>1022</v>
      </c>
      <c r="G734" s="14" t="s">
        <v>1010</v>
      </c>
      <c r="H734" s="4"/>
      <c r="I734" s="4">
        <f t="shared" si="52"/>
        <v>0</v>
      </c>
      <c r="J734" s="4"/>
      <c r="K734" s="4">
        <f t="shared" si="53"/>
        <v>0</v>
      </c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">
      <c r="A735" s="1"/>
      <c r="B735" s="2" t="s">
        <v>307</v>
      </c>
      <c r="C735" s="3" t="s">
        <v>1023</v>
      </c>
      <c r="D735" s="3" t="s">
        <v>183</v>
      </c>
      <c r="E735" s="3" t="s">
        <v>79</v>
      </c>
      <c r="F735" s="3" t="s">
        <v>1022</v>
      </c>
      <c r="G735" s="3" t="s">
        <v>1010</v>
      </c>
      <c r="H735" s="4"/>
      <c r="I735" s="4">
        <f t="shared" ref="I735:I742" si="54">H735*1800</f>
        <v>0</v>
      </c>
      <c r="J735" s="4"/>
      <c r="K735" s="4">
        <f t="shared" si="53"/>
        <v>0</v>
      </c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">
      <c r="A736" s="1"/>
      <c r="B736" s="2" t="s">
        <v>232</v>
      </c>
      <c r="C736" s="3" t="s">
        <v>1023</v>
      </c>
      <c r="D736" s="3" t="s">
        <v>183</v>
      </c>
      <c r="E736" s="3" t="s">
        <v>79</v>
      </c>
      <c r="F736" s="3" t="s">
        <v>1022</v>
      </c>
      <c r="G736" s="3" t="s">
        <v>1010</v>
      </c>
      <c r="H736" s="4"/>
      <c r="I736" s="4">
        <f t="shared" si="54"/>
        <v>0</v>
      </c>
      <c r="J736" s="4"/>
      <c r="K736" s="4">
        <f t="shared" si="53"/>
        <v>0</v>
      </c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">
      <c r="A737" s="1"/>
      <c r="B737" s="2" t="s">
        <v>108</v>
      </c>
      <c r="C737" s="3" t="s">
        <v>1023</v>
      </c>
      <c r="D737" s="3" t="s">
        <v>183</v>
      </c>
      <c r="E737" s="3" t="s">
        <v>79</v>
      </c>
      <c r="F737" s="3" t="s">
        <v>1022</v>
      </c>
      <c r="G737" s="3" t="s">
        <v>1010</v>
      </c>
      <c r="H737" s="4"/>
      <c r="I737" s="4">
        <f t="shared" si="54"/>
        <v>0</v>
      </c>
      <c r="J737" s="4"/>
      <c r="K737" s="4">
        <f t="shared" si="53"/>
        <v>0</v>
      </c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">
      <c r="A738" s="1"/>
      <c r="B738" s="2" t="s">
        <v>102</v>
      </c>
      <c r="C738" s="3" t="s">
        <v>1019</v>
      </c>
      <c r="D738" s="3" t="s">
        <v>1024</v>
      </c>
      <c r="E738" s="3" t="s">
        <v>1021</v>
      </c>
      <c r="F738" s="3" t="s">
        <v>1022</v>
      </c>
      <c r="G738" s="3" t="s">
        <v>1010</v>
      </c>
      <c r="H738" s="4"/>
      <c r="I738" s="4">
        <f t="shared" si="54"/>
        <v>0</v>
      </c>
      <c r="J738" s="4"/>
      <c r="K738" s="4">
        <f t="shared" si="53"/>
        <v>0</v>
      </c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">
      <c r="A739" s="1"/>
      <c r="B739" s="2" t="s">
        <v>232</v>
      </c>
      <c r="C739" s="3" t="s">
        <v>1019</v>
      </c>
      <c r="D739" s="3" t="s">
        <v>1024</v>
      </c>
      <c r="E739" s="3" t="s">
        <v>1021</v>
      </c>
      <c r="F739" s="3" t="s">
        <v>1022</v>
      </c>
      <c r="G739" s="3" t="s">
        <v>1010</v>
      </c>
      <c r="H739" s="4"/>
      <c r="I739" s="4">
        <f t="shared" si="54"/>
        <v>0</v>
      </c>
      <c r="J739" s="4"/>
      <c r="K739" s="4">
        <f t="shared" si="53"/>
        <v>0</v>
      </c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">
      <c r="A740" s="1"/>
      <c r="B740" s="2" t="s">
        <v>94</v>
      </c>
      <c r="C740" s="3" t="s">
        <v>1019</v>
      </c>
      <c r="D740" s="3" t="s">
        <v>1024</v>
      </c>
      <c r="E740" s="3" t="s">
        <v>1021</v>
      </c>
      <c r="F740" s="3" t="s">
        <v>1022</v>
      </c>
      <c r="G740" s="3" t="s">
        <v>1010</v>
      </c>
      <c r="H740" s="4"/>
      <c r="I740" s="4">
        <f t="shared" si="54"/>
        <v>0</v>
      </c>
      <c r="J740" s="4"/>
      <c r="K740" s="4">
        <f t="shared" si="53"/>
        <v>0</v>
      </c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">
      <c r="A741" s="1"/>
      <c r="B741" s="2" t="s">
        <v>88</v>
      </c>
      <c r="C741" s="3" t="s">
        <v>1025</v>
      </c>
      <c r="D741" s="3" t="s">
        <v>491</v>
      </c>
      <c r="E741" s="3" t="s">
        <v>637</v>
      </c>
      <c r="F741" s="3" t="s">
        <v>1026</v>
      </c>
      <c r="G741" s="3" t="s">
        <v>1010</v>
      </c>
      <c r="H741" s="4"/>
      <c r="I741" s="4">
        <f t="shared" si="54"/>
        <v>0</v>
      </c>
      <c r="J741" s="4"/>
      <c r="K741" s="4">
        <f t="shared" si="53"/>
        <v>0</v>
      </c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">
      <c r="A742" s="1"/>
      <c r="B742" s="2" t="s">
        <v>88</v>
      </c>
      <c r="C742" s="3" t="s">
        <v>1027</v>
      </c>
      <c r="D742" s="3" t="s">
        <v>1028</v>
      </c>
      <c r="E742" s="3" t="s">
        <v>1029</v>
      </c>
      <c r="F742" s="3" t="s">
        <v>1026</v>
      </c>
      <c r="G742" s="3" t="s">
        <v>1010</v>
      </c>
      <c r="H742" s="4"/>
      <c r="I742" s="4">
        <f t="shared" si="54"/>
        <v>0</v>
      </c>
      <c r="J742" s="4"/>
      <c r="K742" s="4">
        <f t="shared" si="53"/>
        <v>0</v>
      </c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">
      <c r="A743" s="1">
        <v>577</v>
      </c>
      <c r="B743" s="13" t="s">
        <v>368</v>
      </c>
      <c r="C743" s="14" t="s">
        <v>1030</v>
      </c>
      <c r="D743" s="14" t="s">
        <v>1031</v>
      </c>
      <c r="E743" s="14" t="s">
        <v>374</v>
      </c>
      <c r="F743" s="14" t="s">
        <v>1032</v>
      </c>
      <c r="G743" s="14" t="s">
        <v>1033</v>
      </c>
      <c r="H743" s="4"/>
      <c r="I743" s="4">
        <f t="shared" ref="I743:I744" si="55">H743*2300</f>
        <v>0</v>
      </c>
      <c r="J743" s="4"/>
      <c r="K743" s="4">
        <f t="shared" si="53"/>
        <v>0</v>
      </c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">
      <c r="A744" s="1">
        <v>579</v>
      </c>
      <c r="B744" s="13" t="s">
        <v>368</v>
      </c>
      <c r="C744" s="14" t="s">
        <v>1034</v>
      </c>
      <c r="D744" s="14" t="s">
        <v>295</v>
      </c>
      <c r="E744" s="14" t="s">
        <v>18</v>
      </c>
      <c r="F744" s="14" t="s">
        <v>1032</v>
      </c>
      <c r="G744" s="14" t="s">
        <v>1033</v>
      </c>
      <c r="H744" s="4"/>
      <c r="I744" s="4">
        <f t="shared" si="55"/>
        <v>0</v>
      </c>
      <c r="J744" s="4"/>
      <c r="K744" s="4">
        <f t="shared" si="53"/>
        <v>0</v>
      </c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">
      <c r="A745" s="1"/>
      <c r="B745" s="2" t="s">
        <v>94</v>
      </c>
      <c r="C745" s="3" t="s">
        <v>1035</v>
      </c>
      <c r="D745" s="3" t="s">
        <v>124</v>
      </c>
      <c r="E745" s="3" t="s">
        <v>397</v>
      </c>
      <c r="F745" s="3" t="s">
        <v>1032</v>
      </c>
      <c r="G745" s="3" t="s">
        <v>1033</v>
      </c>
      <c r="H745" s="4"/>
      <c r="I745" s="4">
        <f>H745*1800</f>
        <v>0</v>
      </c>
      <c r="J745" s="4"/>
      <c r="K745" s="4">
        <f t="shared" si="53"/>
        <v>0</v>
      </c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">
      <c r="A746" s="1">
        <v>453</v>
      </c>
      <c r="B746" s="13" t="s">
        <v>674</v>
      </c>
      <c r="C746" s="14" t="s">
        <v>1036</v>
      </c>
      <c r="D746" s="14" t="s">
        <v>1037</v>
      </c>
      <c r="E746" s="14" t="s">
        <v>1038</v>
      </c>
      <c r="F746" s="14" t="s">
        <v>1032</v>
      </c>
      <c r="G746" s="14" t="s">
        <v>1033</v>
      </c>
      <c r="H746" s="4"/>
      <c r="I746" s="4">
        <f t="shared" ref="I746:I751" si="56">H746*2300</f>
        <v>0</v>
      </c>
      <c r="J746" s="4"/>
      <c r="K746" s="4">
        <f t="shared" si="53"/>
        <v>0</v>
      </c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">
      <c r="A747" s="1">
        <v>287</v>
      </c>
      <c r="B747" s="13" t="s">
        <v>628</v>
      </c>
      <c r="C747" s="14" t="s">
        <v>1039</v>
      </c>
      <c r="D747" s="14" t="s">
        <v>309</v>
      </c>
      <c r="E747" s="14" t="s">
        <v>393</v>
      </c>
      <c r="F747" s="14" t="s">
        <v>1032</v>
      </c>
      <c r="G747" s="14" t="s">
        <v>1033</v>
      </c>
      <c r="H747" s="4"/>
      <c r="I747" s="4">
        <f t="shared" si="56"/>
        <v>0</v>
      </c>
      <c r="J747" s="4"/>
      <c r="K747" s="4">
        <f t="shared" si="53"/>
        <v>0</v>
      </c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">
      <c r="A748" s="1">
        <v>157</v>
      </c>
      <c r="B748" s="13" t="s">
        <v>460</v>
      </c>
      <c r="C748" s="14" t="s">
        <v>1040</v>
      </c>
      <c r="D748" s="14" t="s">
        <v>1041</v>
      </c>
      <c r="E748" s="14" t="s">
        <v>1042</v>
      </c>
      <c r="F748" s="14" t="s">
        <v>1032</v>
      </c>
      <c r="G748" s="14" t="s">
        <v>1033</v>
      </c>
      <c r="H748" s="4"/>
      <c r="I748" s="4">
        <f t="shared" si="56"/>
        <v>0</v>
      </c>
      <c r="J748" s="4"/>
      <c r="K748" s="4">
        <f t="shared" si="53"/>
        <v>0</v>
      </c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">
      <c r="A749" s="1">
        <v>2989</v>
      </c>
      <c r="B749" s="13" t="s">
        <v>289</v>
      </c>
      <c r="C749" s="14" t="s">
        <v>1043</v>
      </c>
      <c r="D749" s="14" t="s">
        <v>605</v>
      </c>
      <c r="E749" s="14" t="s">
        <v>539</v>
      </c>
      <c r="F749" s="14" t="s">
        <v>1032</v>
      </c>
      <c r="G749" s="14" t="s">
        <v>1033</v>
      </c>
      <c r="H749" s="4"/>
      <c r="I749" s="4">
        <f t="shared" si="56"/>
        <v>0</v>
      </c>
      <c r="J749" s="4"/>
      <c r="K749" s="4">
        <f t="shared" si="53"/>
        <v>0</v>
      </c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">
      <c r="A750" s="1">
        <v>7</v>
      </c>
      <c r="B750" s="13" t="s">
        <v>704</v>
      </c>
      <c r="C750" s="14" t="s">
        <v>1044</v>
      </c>
      <c r="D750" s="14" t="s">
        <v>491</v>
      </c>
      <c r="E750" s="14" t="s">
        <v>306</v>
      </c>
      <c r="F750" s="14" t="s">
        <v>1032</v>
      </c>
      <c r="G750" s="14" t="s">
        <v>1033</v>
      </c>
      <c r="H750" s="4"/>
      <c r="I750" s="4">
        <f t="shared" si="56"/>
        <v>0</v>
      </c>
      <c r="J750" s="4"/>
      <c r="K750" s="4">
        <f t="shared" si="53"/>
        <v>0</v>
      </c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">
      <c r="A751" s="1">
        <v>581</v>
      </c>
      <c r="B751" s="13" t="s">
        <v>368</v>
      </c>
      <c r="C751" s="14" t="s">
        <v>1045</v>
      </c>
      <c r="D751" s="14" t="s">
        <v>373</v>
      </c>
      <c r="E751" s="14" t="s">
        <v>787</v>
      </c>
      <c r="F751" s="14" t="s">
        <v>1032</v>
      </c>
      <c r="G751" s="14" t="s">
        <v>1033</v>
      </c>
      <c r="H751" s="4"/>
      <c r="I751" s="4">
        <f t="shared" si="56"/>
        <v>0</v>
      </c>
      <c r="J751" s="4"/>
      <c r="K751" s="4">
        <f t="shared" si="53"/>
        <v>0</v>
      </c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">
      <c r="A752" s="1"/>
      <c r="B752" s="2" t="s">
        <v>94</v>
      </c>
      <c r="C752" s="3" t="s">
        <v>1046</v>
      </c>
      <c r="D752" s="3" t="s">
        <v>353</v>
      </c>
      <c r="E752" s="3" t="s">
        <v>575</v>
      </c>
      <c r="F752" s="3" t="s">
        <v>1032</v>
      </c>
      <c r="G752" s="3" t="s">
        <v>1033</v>
      </c>
      <c r="H752" s="4"/>
      <c r="I752" s="4">
        <f t="shared" ref="I752:I754" si="57">H752*1800</f>
        <v>0</v>
      </c>
      <c r="J752" s="4"/>
      <c r="K752" s="4">
        <f t="shared" si="53"/>
        <v>0</v>
      </c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">
      <c r="A753" s="1"/>
      <c r="B753" s="2" t="s">
        <v>94</v>
      </c>
      <c r="C753" s="3" t="s">
        <v>1047</v>
      </c>
      <c r="D753" s="3" t="s">
        <v>31</v>
      </c>
      <c r="E753" s="3" t="s">
        <v>1048</v>
      </c>
      <c r="F753" s="3" t="s">
        <v>1032</v>
      </c>
      <c r="G753" s="3" t="s">
        <v>1033</v>
      </c>
      <c r="H753" s="4"/>
      <c r="I753" s="4">
        <f t="shared" si="57"/>
        <v>0</v>
      </c>
      <c r="J753" s="4"/>
      <c r="K753" s="4">
        <f t="shared" si="53"/>
        <v>0</v>
      </c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">
      <c r="A754" s="1"/>
      <c r="B754" s="2" t="s">
        <v>94</v>
      </c>
      <c r="C754" s="3" t="s">
        <v>1047</v>
      </c>
      <c r="D754" s="3" t="s">
        <v>1049</v>
      </c>
      <c r="E754" s="3" t="s">
        <v>1048</v>
      </c>
      <c r="F754" s="3" t="s">
        <v>1032</v>
      </c>
      <c r="G754" s="3" t="s">
        <v>1033</v>
      </c>
      <c r="H754" s="4"/>
      <c r="I754" s="4">
        <f t="shared" si="57"/>
        <v>0</v>
      </c>
      <c r="J754" s="4"/>
      <c r="K754" s="4">
        <f t="shared" si="53"/>
        <v>0</v>
      </c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">
      <c r="A755" s="1">
        <v>227</v>
      </c>
      <c r="B755" s="13" t="s">
        <v>946</v>
      </c>
      <c r="C755" s="14" t="s">
        <v>1050</v>
      </c>
      <c r="D755" s="14" t="s">
        <v>339</v>
      </c>
      <c r="E755" s="14" t="s">
        <v>393</v>
      </c>
      <c r="F755" s="14" t="s">
        <v>1032</v>
      </c>
      <c r="G755" s="14" t="s">
        <v>1033</v>
      </c>
      <c r="H755" s="4"/>
      <c r="I755" s="4">
        <f t="shared" ref="I755:I756" si="58">H755*2300</f>
        <v>0</v>
      </c>
      <c r="J755" s="4"/>
      <c r="K755" s="4">
        <f t="shared" si="53"/>
        <v>0</v>
      </c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">
      <c r="A756" s="1">
        <v>455</v>
      </c>
      <c r="B756" s="13" t="s">
        <v>674</v>
      </c>
      <c r="C756" s="14" t="s">
        <v>1051</v>
      </c>
      <c r="D756" s="14" t="s">
        <v>104</v>
      </c>
      <c r="E756" s="14" t="s">
        <v>787</v>
      </c>
      <c r="F756" s="14" t="s">
        <v>1032</v>
      </c>
      <c r="G756" s="14" t="s">
        <v>1033</v>
      </c>
      <c r="H756" s="4"/>
      <c r="I756" s="4">
        <f t="shared" si="58"/>
        <v>0</v>
      </c>
      <c r="J756" s="4"/>
      <c r="K756" s="4">
        <f t="shared" si="53"/>
        <v>0</v>
      </c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">
      <c r="A757" s="1"/>
      <c r="B757" s="2" t="s">
        <v>94</v>
      </c>
      <c r="C757" s="3" t="s">
        <v>1052</v>
      </c>
      <c r="D757" s="3" t="s">
        <v>1053</v>
      </c>
      <c r="E757" s="3" t="s">
        <v>374</v>
      </c>
      <c r="F757" s="3" t="s">
        <v>1032</v>
      </c>
      <c r="G757" s="3" t="s">
        <v>1033</v>
      </c>
      <c r="H757" s="4"/>
      <c r="I757" s="4">
        <f>H757*1800</f>
        <v>0</v>
      </c>
      <c r="J757" s="4"/>
      <c r="K757" s="4">
        <f t="shared" si="53"/>
        <v>0</v>
      </c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">
      <c r="A758" s="1">
        <v>489</v>
      </c>
      <c r="B758" s="13" t="s">
        <v>445</v>
      </c>
      <c r="C758" s="14" t="s">
        <v>873</v>
      </c>
      <c r="D758" s="14" t="s">
        <v>1054</v>
      </c>
      <c r="E758" s="14" t="s">
        <v>319</v>
      </c>
      <c r="F758" s="14" t="s">
        <v>1032</v>
      </c>
      <c r="G758" s="14" t="s">
        <v>1033</v>
      </c>
      <c r="H758" s="4"/>
      <c r="I758" s="4">
        <f t="shared" ref="I758:I763" si="59">H758*2300</f>
        <v>0</v>
      </c>
      <c r="J758" s="4"/>
      <c r="K758" s="4">
        <f t="shared" si="53"/>
        <v>0</v>
      </c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">
      <c r="A759" s="1">
        <v>2665</v>
      </c>
      <c r="B759" s="13" t="s">
        <v>1055</v>
      </c>
      <c r="C759" s="14" t="s">
        <v>1056</v>
      </c>
      <c r="D759" s="14" t="s">
        <v>292</v>
      </c>
      <c r="E759" s="14" t="s">
        <v>129</v>
      </c>
      <c r="F759" s="14" t="s">
        <v>1032</v>
      </c>
      <c r="G759" s="14" t="s">
        <v>1033</v>
      </c>
      <c r="H759" s="4"/>
      <c r="I759" s="4">
        <f t="shared" si="59"/>
        <v>0</v>
      </c>
      <c r="J759" s="4"/>
      <c r="K759" s="4">
        <f t="shared" si="53"/>
        <v>0</v>
      </c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">
      <c r="A760" s="1">
        <v>2643</v>
      </c>
      <c r="B760" s="13" t="s">
        <v>702</v>
      </c>
      <c r="C760" s="14" t="s">
        <v>1057</v>
      </c>
      <c r="D760" s="14" t="s">
        <v>116</v>
      </c>
      <c r="E760" s="14" t="s">
        <v>1058</v>
      </c>
      <c r="F760" s="14" t="s">
        <v>1032</v>
      </c>
      <c r="G760" s="14" t="s">
        <v>1033</v>
      </c>
      <c r="H760" s="4"/>
      <c r="I760" s="4">
        <f t="shared" si="59"/>
        <v>0</v>
      </c>
      <c r="J760" s="4"/>
      <c r="K760" s="4">
        <f t="shared" si="53"/>
        <v>0</v>
      </c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">
      <c r="A761" s="1">
        <v>397</v>
      </c>
      <c r="B761" s="13" t="s">
        <v>246</v>
      </c>
      <c r="C761" s="14" t="s">
        <v>1059</v>
      </c>
      <c r="D761" s="14" t="s">
        <v>116</v>
      </c>
      <c r="E761" s="14" t="s">
        <v>79</v>
      </c>
      <c r="F761" s="14" t="s">
        <v>1032</v>
      </c>
      <c r="G761" s="14" t="s">
        <v>1033</v>
      </c>
      <c r="H761" s="4"/>
      <c r="I761" s="4">
        <f t="shared" si="59"/>
        <v>0</v>
      </c>
      <c r="J761" s="4"/>
      <c r="K761" s="4">
        <f t="shared" si="53"/>
        <v>0</v>
      </c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">
      <c r="A762" s="1">
        <v>399</v>
      </c>
      <c r="B762" s="13" t="s">
        <v>246</v>
      </c>
      <c r="C762" s="14" t="s">
        <v>1060</v>
      </c>
      <c r="D762" s="14" t="s">
        <v>58</v>
      </c>
      <c r="E762" s="14" t="s">
        <v>306</v>
      </c>
      <c r="F762" s="14" t="s">
        <v>1032</v>
      </c>
      <c r="G762" s="14" t="s">
        <v>1033</v>
      </c>
      <c r="H762" s="4"/>
      <c r="I762" s="4">
        <f t="shared" si="59"/>
        <v>0</v>
      </c>
      <c r="J762" s="4"/>
      <c r="K762" s="4">
        <f t="shared" si="53"/>
        <v>0</v>
      </c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">
      <c r="A763" s="1">
        <v>2645</v>
      </c>
      <c r="B763" s="13" t="s">
        <v>702</v>
      </c>
      <c r="C763" s="14" t="s">
        <v>729</v>
      </c>
      <c r="D763" s="14" t="s">
        <v>269</v>
      </c>
      <c r="E763" s="14" t="s">
        <v>424</v>
      </c>
      <c r="F763" s="14" t="s">
        <v>1032</v>
      </c>
      <c r="G763" s="14" t="s">
        <v>1033</v>
      </c>
      <c r="H763" s="4"/>
      <c r="I763" s="4">
        <f t="shared" si="59"/>
        <v>0</v>
      </c>
      <c r="J763" s="4"/>
      <c r="K763" s="4">
        <f t="shared" si="53"/>
        <v>0</v>
      </c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">
      <c r="A764" s="1"/>
      <c r="B764" s="2" t="s">
        <v>94</v>
      </c>
      <c r="C764" s="3" t="s">
        <v>1061</v>
      </c>
      <c r="D764" s="3" t="s">
        <v>437</v>
      </c>
      <c r="E764" s="3" t="s">
        <v>571</v>
      </c>
      <c r="F764" s="3" t="s">
        <v>1032</v>
      </c>
      <c r="G764" s="3" t="s">
        <v>1033</v>
      </c>
      <c r="H764" s="4"/>
      <c r="I764" s="4">
        <f t="shared" ref="I764:I765" si="60">H764*1800</f>
        <v>0</v>
      </c>
      <c r="J764" s="4"/>
      <c r="K764" s="4">
        <f t="shared" si="53"/>
        <v>0</v>
      </c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">
      <c r="A765" s="1"/>
      <c r="B765" s="2" t="s">
        <v>94</v>
      </c>
      <c r="C765" s="3" t="s">
        <v>1062</v>
      </c>
      <c r="D765" s="3" t="s">
        <v>574</v>
      </c>
      <c r="E765" s="3" t="s">
        <v>676</v>
      </c>
      <c r="F765" s="3" t="s">
        <v>1032</v>
      </c>
      <c r="G765" s="3" t="s">
        <v>1033</v>
      </c>
      <c r="H765" s="4"/>
      <c r="I765" s="4">
        <f t="shared" si="60"/>
        <v>0</v>
      </c>
      <c r="J765" s="4"/>
      <c r="K765" s="4">
        <f t="shared" si="53"/>
        <v>0</v>
      </c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">
      <c r="A766" s="1">
        <v>289</v>
      </c>
      <c r="B766" s="13" t="s">
        <v>628</v>
      </c>
      <c r="C766" s="14" t="s">
        <v>1063</v>
      </c>
      <c r="D766" s="14" t="s">
        <v>554</v>
      </c>
      <c r="E766" s="14" t="s">
        <v>306</v>
      </c>
      <c r="F766" s="14" t="s">
        <v>1032</v>
      </c>
      <c r="G766" s="14" t="s">
        <v>1033</v>
      </c>
      <c r="H766" s="4"/>
      <c r="I766" s="4">
        <f t="shared" ref="I766:I769" si="61">H766*2300</f>
        <v>0</v>
      </c>
      <c r="J766" s="4"/>
      <c r="K766" s="4">
        <f t="shared" si="53"/>
        <v>0</v>
      </c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">
      <c r="A767" s="1">
        <v>457</v>
      </c>
      <c r="B767" s="13" t="s">
        <v>674</v>
      </c>
      <c r="C767" s="14" t="s">
        <v>1064</v>
      </c>
      <c r="D767" s="14" t="s">
        <v>353</v>
      </c>
      <c r="E767" s="14" t="s">
        <v>1065</v>
      </c>
      <c r="F767" s="14" t="s">
        <v>1032</v>
      </c>
      <c r="G767" s="14" t="s">
        <v>1033</v>
      </c>
      <c r="H767" s="4"/>
      <c r="I767" s="4">
        <f t="shared" si="61"/>
        <v>0</v>
      </c>
      <c r="J767" s="4"/>
      <c r="K767" s="4">
        <f t="shared" si="53"/>
        <v>0</v>
      </c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">
      <c r="A768" s="1">
        <v>2845</v>
      </c>
      <c r="B768" s="13" t="s">
        <v>654</v>
      </c>
      <c r="C768" s="14" t="s">
        <v>1066</v>
      </c>
      <c r="D768" s="14" t="s">
        <v>309</v>
      </c>
      <c r="E768" s="14" t="s">
        <v>32</v>
      </c>
      <c r="F768" s="14" t="s">
        <v>1032</v>
      </c>
      <c r="G768" s="14" t="s">
        <v>1033</v>
      </c>
      <c r="H768" s="4"/>
      <c r="I768" s="4">
        <f t="shared" si="61"/>
        <v>0</v>
      </c>
      <c r="J768" s="4"/>
      <c r="K768" s="4">
        <f t="shared" si="53"/>
        <v>0</v>
      </c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">
      <c r="A769" s="1">
        <v>87</v>
      </c>
      <c r="B769" s="13" t="s">
        <v>226</v>
      </c>
      <c r="C769" s="14" t="s">
        <v>1066</v>
      </c>
      <c r="D769" s="14" t="s">
        <v>989</v>
      </c>
      <c r="E769" s="14" t="s">
        <v>32</v>
      </c>
      <c r="F769" s="14" t="s">
        <v>1032</v>
      </c>
      <c r="G769" s="14" t="s">
        <v>1033</v>
      </c>
      <c r="H769" s="4"/>
      <c r="I769" s="4">
        <f t="shared" si="61"/>
        <v>0</v>
      </c>
      <c r="J769" s="4"/>
      <c r="K769" s="4">
        <f t="shared" si="53"/>
        <v>0</v>
      </c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">
      <c r="A770" s="1"/>
      <c r="B770" s="2" t="s">
        <v>94</v>
      </c>
      <c r="C770" s="3" t="s">
        <v>1066</v>
      </c>
      <c r="D770" s="3" t="s">
        <v>989</v>
      </c>
      <c r="E770" s="3" t="s">
        <v>32</v>
      </c>
      <c r="F770" s="3" t="s">
        <v>1032</v>
      </c>
      <c r="G770" s="3" t="s">
        <v>1033</v>
      </c>
      <c r="H770" s="4"/>
      <c r="I770" s="4">
        <f t="shared" ref="I770:I771" si="62">H770*1800</f>
        <v>0</v>
      </c>
      <c r="J770" s="4"/>
      <c r="K770" s="4">
        <f t="shared" si="53"/>
        <v>0</v>
      </c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">
      <c r="A771" s="1"/>
      <c r="B771" s="2" t="s">
        <v>94</v>
      </c>
      <c r="C771" s="3" t="s">
        <v>1066</v>
      </c>
      <c r="D771" s="3" t="s">
        <v>124</v>
      </c>
      <c r="E771" s="3" t="s">
        <v>32</v>
      </c>
      <c r="F771" s="3" t="s">
        <v>1032</v>
      </c>
      <c r="G771" s="3" t="s">
        <v>1033</v>
      </c>
      <c r="H771" s="4"/>
      <c r="I771" s="4">
        <f t="shared" si="62"/>
        <v>0</v>
      </c>
      <c r="J771" s="4"/>
      <c r="K771" s="4">
        <f t="shared" si="53"/>
        <v>0</v>
      </c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">
      <c r="A772" s="1">
        <v>549</v>
      </c>
      <c r="B772" s="13" t="s">
        <v>678</v>
      </c>
      <c r="C772" s="14" t="s">
        <v>1067</v>
      </c>
      <c r="D772" s="14" t="s">
        <v>1068</v>
      </c>
      <c r="E772" s="14" t="s">
        <v>134</v>
      </c>
      <c r="F772" s="14" t="s">
        <v>1032</v>
      </c>
      <c r="G772" s="14" t="s">
        <v>1033</v>
      </c>
      <c r="H772" s="4"/>
      <c r="I772" s="4">
        <f t="shared" ref="I772:I783" si="63">H772*2300</f>
        <v>0</v>
      </c>
      <c r="J772" s="4"/>
      <c r="K772" s="4">
        <f t="shared" si="53"/>
        <v>0</v>
      </c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">
      <c r="A773" s="1">
        <v>291</v>
      </c>
      <c r="B773" s="13" t="s">
        <v>628</v>
      </c>
      <c r="C773" s="14" t="s">
        <v>1069</v>
      </c>
      <c r="D773" s="14" t="s">
        <v>1070</v>
      </c>
      <c r="E773" s="14" t="s">
        <v>79</v>
      </c>
      <c r="F773" s="14" t="s">
        <v>1032</v>
      </c>
      <c r="G773" s="14" t="s">
        <v>1033</v>
      </c>
      <c r="H773" s="4">
        <v>79</v>
      </c>
      <c r="I773" s="4">
        <f t="shared" si="63"/>
        <v>181700</v>
      </c>
      <c r="J773" s="4">
        <v>28</v>
      </c>
      <c r="K773" s="4">
        <f t="shared" si="53"/>
        <v>112000</v>
      </c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">
      <c r="A774" s="1">
        <v>2847</v>
      </c>
      <c r="B774" s="13" t="s">
        <v>654</v>
      </c>
      <c r="C774" s="14" t="s">
        <v>1071</v>
      </c>
      <c r="D774" s="14" t="s">
        <v>516</v>
      </c>
      <c r="E774" s="14" t="s">
        <v>306</v>
      </c>
      <c r="F774" s="14" t="s">
        <v>1032</v>
      </c>
      <c r="G774" s="14" t="s">
        <v>1033</v>
      </c>
      <c r="H774" s="4"/>
      <c r="I774" s="4">
        <f t="shared" si="63"/>
        <v>0</v>
      </c>
      <c r="J774" s="4"/>
      <c r="K774" s="4">
        <f t="shared" si="53"/>
        <v>0</v>
      </c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">
      <c r="A775" s="1">
        <v>89</v>
      </c>
      <c r="B775" s="13" t="s">
        <v>707</v>
      </c>
      <c r="C775" s="14" t="s">
        <v>1072</v>
      </c>
      <c r="D775" s="14" t="s">
        <v>51</v>
      </c>
      <c r="E775" s="14" t="s">
        <v>129</v>
      </c>
      <c r="F775" s="14" t="s">
        <v>1032</v>
      </c>
      <c r="G775" s="14" t="s">
        <v>1033</v>
      </c>
      <c r="H775" s="4"/>
      <c r="I775" s="4">
        <f t="shared" si="63"/>
        <v>0</v>
      </c>
      <c r="J775" s="4"/>
      <c r="K775" s="4">
        <f t="shared" si="53"/>
        <v>0</v>
      </c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">
      <c r="A776" s="1">
        <v>89</v>
      </c>
      <c r="B776" s="13" t="s">
        <v>226</v>
      </c>
      <c r="C776" s="14" t="s">
        <v>1073</v>
      </c>
      <c r="D776" s="14" t="s">
        <v>1074</v>
      </c>
      <c r="E776" s="14" t="s">
        <v>1075</v>
      </c>
      <c r="F776" s="14" t="s">
        <v>1032</v>
      </c>
      <c r="G776" s="14" t="s">
        <v>1033</v>
      </c>
      <c r="H776" s="4"/>
      <c r="I776" s="4">
        <f t="shared" si="63"/>
        <v>0</v>
      </c>
      <c r="J776" s="4"/>
      <c r="K776" s="4">
        <f t="shared" si="53"/>
        <v>0</v>
      </c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">
      <c r="A777" s="1">
        <v>1023</v>
      </c>
      <c r="B777" s="13" t="s">
        <v>1076</v>
      </c>
      <c r="C777" s="14" t="s">
        <v>1077</v>
      </c>
      <c r="D777" s="14" t="s">
        <v>266</v>
      </c>
      <c r="E777" s="14" t="s">
        <v>1078</v>
      </c>
      <c r="F777" s="14" t="s">
        <v>1079</v>
      </c>
      <c r="G777" s="14" t="s">
        <v>1033</v>
      </c>
      <c r="H777" s="4"/>
      <c r="I777" s="4">
        <f t="shared" si="63"/>
        <v>0</v>
      </c>
      <c r="J777" s="4"/>
      <c r="K777" s="4">
        <f t="shared" si="53"/>
        <v>0</v>
      </c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">
      <c r="A778" s="1">
        <v>1747</v>
      </c>
      <c r="B778" s="13" t="s">
        <v>465</v>
      </c>
      <c r="C778" s="14" t="s">
        <v>1077</v>
      </c>
      <c r="D778" s="14" t="s">
        <v>266</v>
      </c>
      <c r="E778" s="14" t="s">
        <v>1078</v>
      </c>
      <c r="F778" s="14" t="s">
        <v>1079</v>
      </c>
      <c r="G778" s="14" t="s">
        <v>1033</v>
      </c>
      <c r="H778" s="4"/>
      <c r="I778" s="4">
        <f t="shared" si="63"/>
        <v>0</v>
      </c>
      <c r="J778" s="4"/>
      <c r="K778" s="4">
        <f t="shared" si="53"/>
        <v>0</v>
      </c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">
      <c r="A779" s="1">
        <v>1169</v>
      </c>
      <c r="B779" s="13" t="s">
        <v>433</v>
      </c>
      <c r="C779" s="14" t="s">
        <v>1080</v>
      </c>
      <c r="D779" s="14" t="s">
        <v>353</v>
      </c>
      <c r="E779" s="14" t="s">
        <v>1081</v>
      </c>
      <c r="F779" s="14" t="s">
        <v>1079</v>
      </c>
      <c r="G779" s="14" t="s">
        <v>1033</v>
      </c>
      <c r="H779" s="4"/>
      <c r="I779" s="4">
        <f t="shared" si="63"/>
        <v>0</v>
      </c>
      <c r="J779" s="4"/>
      <c r="K779" s="4">
        <f t="shared" si="53"/>
        <v>0</v>
      </c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">
      <c r="A780" s="1">
        <v>2519</v>
      </c>
      <c r="B780" s="13" t="s">
        <v>434</v>
      </c>
      <c r="C780" s="14" t="s">
        <v>1080</v>
      </c>
      <c r="D780" s="14" t="s">
        <v>353</v>
      </c>
      <c r="E780" s="14" t="s">
        <v>1081</v>
      </c>
      <c r="F780" s="14" t="s">
        <v>1079</v>
      </c>
      <c r="G780" s="14" t="s">
        <v>1033</v>
      </c>
      <c r="H780" s="4"/>
      <c r="I780" s="4">
        <f t="shared" si="63"/>
        <v>0</v>
      </c>
      <c r="J780" s="4"/>
      <c r="K780" s="4">
        <f t="shared" si="53"/>
        <v>0</v>
      </c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">
      <c r="A781" s="1">
        <v>1555</v>
      </c>
      <c r="B781" s="13" t="s">
        <v>377</v>
      </c>
      <c r="C781" s="14" t="s">
        <v>1082</v>
      </c>
      <c r="D781" s="14" t="s">
        <v>574</v>
      </c>
      <c r="E781" s="14" t="s">
        <v>1083</v>
      </c>
      <c r="F781" s="14" t="s">
        <v>1079</v>
      </c>
      <c r="G781" s="14" t="s">
        <v>1033</v>
      </c>
      <c r="H781" s="4"/>
      <c r="I781" s="4">
        <f t="shared" si="63"/>
        <v>0</v>
      </c>
      <c r="J781" s="4"/>
      <c r="K781" s="4">
        <f t="shared" si="53"/>
        <v>0</v>
      </c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 x14ac:dyDescent="0.2">
      <c r="A782" s="1">
        <v>1685</v>
      </c>
      <c r="B782" s="13" t="s">
        <v>270</v>
      </c>
      <c r="C782" s="14" t="s">
        <v>1084</v>
      </c>
      <c r="D782" s="14" t="s">
        <v>58</v>
      </c>
      <c r="E782" s="14" t="s">
        <v>306</v>
      </c>
      <c r="F782" s="14" t="s">
        <v>1079</v>
      </c>
      <c r="G782" s="14" t="s">
        <v>1033</v>
      </c>
      <c r="H782" s="4"/>
      <c r="I782" s="4">
        <f t="shared" si="63"/>
        <v>0</v>
      </c>
      <c r="J782" s="4"/>
      <c r="K782" s="4">
        <f t="shared" si="53"/>
        <v>0</v>
      </c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">
      <c r="A783" s="1">
        <v>1671</v>
      </c>
      <c r="B783" s="13" t="s">
        <v>435</v>
      </c>
      <c r="C783" s="14" t="s">
        <v>1085</v>
      </c>
      <c r="D783" s="14" t="s">
        <v>183</v>
      </c>
      <c r="E783" s="14" t="s">
        <v>79</v>
      </c>
      <c r="F783" s="14" t="s">
        <v>1079</v>
      </c>
      <c r="G783" s="14" t="s">
        <v>1033</v>
      </c>
      <c r="H783" s="4"/>
      <c r="I783" s="4">
        <f t="shared" si="63"/>
        <v>0</v>
      </c>
      <c r="J783" s="4"/>
      <c r="K783" s="4">
        <f t="shared" si="53"/>
        <v>0</v>
      </c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">
      <c r="A784" s="1"/>
      <c r="B784" s="2" t="s">
        <v>122</v>
      </c>
      <c r="C784" s="3" t="s">
        <v>1086</v>
      </c>
      <c r="D784" s="3" t="s">
        <v>554</v>
      </c>
      <c r="E784" s="3" t="s">
        <v>571</v>
      </c>
      <c r="F784" s="3" t="s">
        <v>1079</v>
      </c>
      <c r="G784" s="3" t="s">
        <v>1033</v>
      </c>
      <c r="H784" s="4"/>
      <c r="I784" s="4">
        <f t="shared" ref="I784:I785" si="64">H784*1800</f>
        <v>0</v>
      </c>
      <c r="J784" s="4"/>
      <c r="K784" s="4">
        <f t="shared" si="53"/>
        <v>0</v>
      </c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">
      <c r="A785" s="1"/>
      <c r="B785" s="2" t="s">
        <v>126</v>
      </c>
      <c r="C785" s="3" t="s">
        <v>1086</v>
      </c>
      <c r="D785" s="3" t="s">
        <v>554</v>
      </c>
      <c r="E785" s="3" t="s">
        <v>571</v>
      </c>
      <c r="F785" s="3" t="s">
        <v>1079</v>
      </c>
      <c r="G785" s="3" t="s">
        <v>1033</v>
      </c>
      <c r="H785" s="4"/>
      <c r="I785" s="4">
        <f t="shared" si="64"/>
        <v>0</v>
      </c>
      <c r="J785" s="4"/>
      <c r="K785" s="4">
        <f t="shared" si="53"/>
        <v>0</v>
      </c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">
      <c r="A786" s="1">
        <v>1179</v>
      </c>
      <c r="B786" s="13" t="s">
        <v>256</v>
      </c>
      <c r="C786" s="14" t="s">
        <v>1087</v>
      </c>
      <c r="D786" s="14" t="s">
        <v>355</v>
      </c>
      <c r="E786" s="14" t="s">
        <v>319</v>
      </c>
      <c r="F786" s="14" t="s">
        <v>1079</v>
      </c>
      <c r="G786" s="14" t="s">
        <v>1033</v>
      </c>
      <c r="H786" s="4"/>
      <c r="I786" s="4">
        <f t="shared" ref="I786:I790" si="65">H786*2300</f>
        <v>0</v>
      </c>
      <c r="J786" s="4"/>
      <c r="K786" s="4">
        <f t="shared" si="53"/>
        <v>0</v>
      </c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">
      <c r="A787" s="1">
        <v>2865</v>
      </c>
      <c r="B787" s="13" t="s">
        <v>519</v>
      </c>
      <c r="C787" s="14" t="s">
        <v>644</v>
      </c>
      <c r="D787" s="14" t="s">
        <v>513</v>
      </c>
      <c r="E787" s="14" t="s">
        <v>18</v>
      </c>
      <c r="F787" s="14" t="s">
        <v>1079</v>
      </c>
      <c r="G787" s="14" t="s">
        <v>1033</v>
      </c>
      <c r="H787" s="4"/>
      <c r="I787" s="4">
        <f t="shared" si="65"/>
        <v>0</v>
      </c>
      <c r="J787" s="4"/>
      <c r="K787" s="4">
        <f t="shared" si="53"/>
        <v>0</v>
      </c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 x14ac:dyDescent="0.2">
      <c r="A788" s="1">
        <v>1609</v>
      </c>
      <c r="B788" s="13" t="s">
        <v>264</v>
      </c>
      <c r="C788" s="14" t="s">
        <v>1088</v>
      </c>
      <c r="D788" s="14" t="s">
        <v>491</v>
      </c>
      <c r="E788" s="14" t="s">
        <v>79</v>
      </c>
      <c r="F788" s="14" t="s">
        <v>1079</v>
      </c>
      <c r="G788" s="14" t="s">
        <v>1033</v>
      </c>
      <c r="H788" s="4"/>
      <c r="I788" s="4">
        <f t="shared" si="65"/>
        <v>0</v>
      </c>
      <c r="J788" s="4"/>
      <c r="K788" s="4">
        <f t="shared" si="53"/>
        <v>0</v>
      </c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">
      <c r="A789" s="1">
        <v>1391</v>
      </c>
      <c r="B789" s="13" t="s">
        <v>601</v>
      </c>
      <c r="C789" s="14" t="s">
        <v>1089</v>
      </c>
      <c r="D789" s="14" t="s">
        <v>183</v>
      </c>
      <c r="E789" s="14" t="s">
        <v>1090</v>
      </c>
      <c r="F789" s="14" t="s">
        <v>1079</v>
      </c>
      <c r="G789" s="14" t="s">
        <v>1033</v>
      </c>
      <c r="H789" s="4"/>
      <c r="I789" s="4">
        <f t="shared" si="65"/>
        <v>0</v>
      </c>
      <c r="J789" s="4"/>
      <c r="K789" s="4">
        <f t="shared" si="53"/>
        <v>0</v>
      </c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">
      <c r="A790" s="1">
        <v>1889</v>
      </c>
      <c r="B790" s="13" t="s">
        <v>711</v>
      </c>
      <c r="C790" s="14" t="s">
        <v>1089</v>
      </c>
      <c r="D790" s="14" t="s">
        <v>183</v>
      </c>
      <c r="E790" s="14" t="s">
        <v>1090</v>
      </c>
      <c r="F790" s="14" t="s">
        <v>1079</v>
      </c>
      <c r="G790" s="14" t="s">
        <v>1033</v>
      </c>
      <c r="H790" s="4"/>
      <c r="I790" s="4">
        <f t="shared" si="65"/>
        <v>0</v>
      </c>
      <c r="J790" s="4"/>
      <c r="K790" s="4">
        <f t="shared" si="53"/>
        <v>0</v>
      </c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">
      <c r="A791" s="1"/>
      <c r="B791" s="2" t="s">
        <v>122</v>
      </c>
      <c r="C791" s="3" t="s">
        <v>1091</v>
      </c>
      <c r="D791" s="3" t="s">
        <v>78</v>
      </c>
      <c r="E791" s="3" t="s">
        <v>306</v>
      </c>
      <c r="F791" s="3" t="s">
        <v>1079</v>
      </c>
      <c r="G791" s="3" t="s">
        <v>1033</v>
      </c>
      <c r="H791" s="4"/>
      <c r="I791" s="4">
        <f t="shared" ref="I791:I793" si="66">H791*1800</f>
        <v>0</v>
      </c>
      <c r="J791" s="4"/>
      <c r="K791" s="4">
        <f t="shared" si="53"/>
        <v>0</v>
      </c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">
      <c r="A792" s="1"/>
      <c r="B792" s="2" t="s">
        <v>126</v>
      </c>
      <c r="C792" s="3" t="s">
        <v>1091</v>
      </c>
      <c r="D792" s="3" t="s">
        <v>78</v>
      </c>
      <c r="E792" s="3" t="s">
        <v>306</v>
      </c>
      <c r="F792" s="3" t="s">
        <v>1079</v>
      </c>
      <c r="G792" s="3" t="s">
        <v>1033</v>
      </c>
      <c r="H792" s="4"/>
      <c r="I792" s="4">
        <f t="shared" si="66"/>
        <v>0</v>
      </c>
      <c r="J792" s="4"/>
      <c r="K792" s="4">
        <f t="shared" si="53"/>
        <v>0</v>
      </c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">
      <c r="A793" s="1"/>
      <c r="B793" s="2" t="s">
        <v>315</v>
      </c>
      <c r="C793" s="3" t="s">
        <v>1092</v>
      </c>
      <c r="D793" s="3" t="s">
        <v>526</v>
      </c>
      <c r="E793" s="3" t="s">
        <v>530</v>
      </c>
      <c r="F793" s="3" t="s">
        <v>1079</v>
      </c>
      <c r="G793" s="3" t="s">
        <v>1033</v>
      </c>
      <c r="H793" s="4"/>
      <c r="I793" s="4">
        <f t="shared" si="66"/>
        <v>0</v>
      </c>
      <c r="J793" s="4"/>
      <c r="K793" s="4">
        <f t="shared" si="53"/>
        <v>0</v>
      </c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">
      <c r="A794" s="1">
        <v>45</v>
      </c>
      <c r="B794" s="13" t="s">
        <v>226</v>
      </c>
      <c r="C794" s="14" t="s">
        <v>737</v>
      </c>
      <c r="D794" s="14" t="s">
        <v>39</v>
      </c>
      <c r="E794" s="14" t="s">
        <v>393</v>
      </c>
      <c r="F794" s="14" t="s">
        <v>1079</v>
      </c>
      <c r="G794" s="14" t="s">
        <v>1033</v>
      </c>
      <c r="H794" s="4"/>
      <c r="I794" s="4">
        <f>H794*2300</f>
        <v>0</v>
      </c>
      <c r="J794" s="4"/>
      <c r="K794" s="4">
        <f t="shared" si="53"/>
        <v>0</v>
      </c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">
      <c r="A795" s="1"/>
      <c r="B795" s="2" t="s">
        <v>94</v>
      </c>
      <c r="C795" s="3" t="s">
        <v>737</v>
      </c>
      <c r="D795" s="3" t="s">
        <v>39</v>
      </c>
      <c r="E795" s="3" t="s">
        <v>393</v>
      </c>
      <c r="F795" s="3" t="s">
        <v>1079</v>
      </c>
      <c r="G795" s="3" t="s">
        <v>1033</v>
      </c>
      <c r="H795" s="4"/>
      <c r="I795" s="4">
        <f>H795*1800</f>
        <v>0</v>
      </c>
      <c r="J795" s="4"/>
      <c r="K795" s="4">
        <f t="shared" si="53"/>
        <v>0</v>
      </c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">
      <c r="A796" s="1"/>
      <c r="B796" s="2" t="s">
        <v>94</v>
      </c>
      <c r="C796" s="3" t="s">
        <v>1093</v>
      </c>
      <c r="D796" s="3" t="s">
        <v>78</v>
      </c>
      <c r="E796" s="3" t="s">
        <v>310</v>
      </c>
      <c r="F796" s="3" t="s">
        <v>1094</v>
      </c>
      <c r="G796" s="3" t="s">
        <v>1033</v>
      </c>
      <c r="H796" s="4"/>
      <c r="I796" s="4">
        <f t="shared" ref="I796:I824" si="67">H796*2300</f>
        <v>0</v>
      </c>
      <c r="J796" s="4"/>
      <c r="K796" s="4">
        <f t="shared" si="53"/>
        <v>0</v>
      </c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">
      <c r="A797" s="1"/>
      <c r="B797" s="2" t="s">
        <v>728</v>
      </c>
      <c r="C797" s="3" t="s">
        <v>1093</v>
      </c>
      <c r="D797" s="3" t="s">
        <v>78</v>
      </c>
      <c r="E797" s="3" t="s">
        <v>310</v>
      </c>
      <c r="F797" s="3" t="s">
        <v>1094</v>
      </c>
      <c r="G797" s="3" t="s">
        <v>1033</v>
      </c>
      <c r="H797" s="4"/>
      <c r="I797" s="4">
        <f t="shared" si="67"/>
        <v>0</v>
      </c>
      <c r="J797" s="4"/>
      <c r="K797" s="4">
        <f t="shared" si="53"/>
        <v>0</v>
      </c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">
      <c r="A798" s="1"/>
      <c r="B798" s="2" t="s">
        <v>94</v>
      </c>
      <c r="C798" s="3" t="s">
        <v>1095</v>
      </c>
      <c r="D798" s="3" t="s">
        <v>511</v>
      </c>
      <c r="E798" s="3" t="s">
        <v>371</v>
      </c>
      <c r="F798" s="3" t="s">
        <v>1094</v>
      </c>
      <c r="G798" s="3" t="s">
        <v>1033</v>
      </c>
      <c r="H798" s="4"/>
      <c r="I798" s="4">
        <f t="shared" si="67"/>
        <v>0</v>
      </c>
      <c r="J798" s="4"/>
      <c r="K798" s="4">
        <f t="shared" si="53"/>
        <v>0</v>
      </c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">
      <c r="A799" s="1"/>
      <c r="B799" s="2" t="s">
        <v>728</v>
      </c>
      <c r="C799" s="3" t="s">
        <v>1095</v>
      </c>
      <c r="D799" s="3" t="s">
        <v>511</v>
      </c>
      <c r="E799" s="3" t="s">
        <v>371</v>
      </c>
      <c r="F799" s="3" t="s">
        <v>1094</v>
      </c>
      <c r="G799" s="3" t="s">
        <v>1033</v>
      </c>
      <c r="H799" s="4"/>
      <c r="I799" s="4">
        <f t="shared" si="67"/>
        <v>0</v>
      </c>
      <c r="J799" s="4"/>
      <c r="K799" s="4">
        <f t="shared" si="53"/>
        <v>0</v>
      </c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">
      <c r="A800" s="1">
        <v>147</v>
      </c>
      <c r="B800" s="13" t="s">
        <v>460</v>
      </c>
      <c r="C800" s="14" t="s">
        <v>1096</v>
      </c>
      <c r="D800" s="14" t="s">
        <v>266</v>
      </c>
      <c r="E800" s="14" t="s">
        <v>1097</v>
      </c>
      <c r="F800" s="14" t="s">
        <v>1094</v>
      </c>
      <c r="G800" s="14" t="s">
        <v>1033</v>
      </c>
      <c r="H800" s="4"/>
      <c r="I800" s="4">
        <f t="shared" si="67"/>
        <v>0</v>
      </c>
      <c r="J800" s="4"/>
      <c r="K800" s="4">
        <f t="shared" si="53"/>
        <v>0</v>
      </c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">
      <c r="A801" s="1">
        <v>257</v>
      </c>
      <c r="B801" s="13" t="s">
        <v>243</v>
      </c>
      <c r="C801" s="14" t="s">
        <v>1096</v>
      </c>
      <c r="D801" s="14" t="s">
        <v>266</v>
      </c>
      <c r="E801" s="14" t="s">
        <v>1097</v>
      </c>
      <c r="F801" s="14" t="s">
        <v>1094</v>
      </c>
      <c r="G801" s="14" t="s">
        <v>1033</v>
      </c>
      <c r="H801" s="4"/>
      <c r="I801" s="4">
        <f t="shared" si="67"/>
        <v>0</v>
      </c>
      <c r="J801" s="4"/>
      <c r="K801" s="4">
        <f t="shared" si="53"/>
        <v>0</v>
      </c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">
      <c r="A802" s="1">
        <v>1099</v>
      </c>
      <c r="B802" s="13" t="s">
        <v>641</v>
      </c>
      <c r="C802" s="14" t="s">
        <v>1096</v>
      </c>
      <c r="D802" s="14" t="s">
        <v>266</v>
      </c>
      <c r="E802" s="14" t="s">
        <v>1097</v>
      </c>
      <c r="F802" s="14" t="s">
        <v>1094</v>
      </c>
      <c r="G802" s="14" t="s">
        <v>1033</v>
      </c>
      <c r="H802" s="4"/>
      <c r="I802" s="4">
        <f t="shared" si="67"/>
        <v>0</v>
      </c>
      <c r="J802" s="4"/>
      <c r="K802" s="4">
        <f t="shared" si="53"/>
        <v>0</v>
      </c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">
      <c r="A803" s="1">
        <v>2699</v>
      </c>
      <c r="B803" s="13" t="s">
        <v>1098</v>
      </c>
      <c r="C803" s="14" t="s">
        <v>1096</v>
      </c>
      <c r="D803" s="14" t="s">
        <v>266</v>
      </c>
      <c r="E803" s="14" t="s">
        <v>1097</v>
      </c>
      <c r="F803" s="14" t="s">
        <v>1094</v>
      </c>
      <c r="G803" s="14" t="s">
        <v>1033</v>
      </c>
      <c r="H803" s="4"/>
      <c r="I803" s="4">
        <f t="shared" si="67"/>
        <v>0</v>
      </c>
      <c r="J803" s="4"/>
      <c r="K803" s="4">
        <f t="shared" si="53"/>
        <v>0</v>
      </c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">
      <c r="A804" s="1"/>
      <c r="B804" s="2" t="s">
        <v>94</v>
      </c>
      <c r="C804" s="3" t="s">
        <v>1099</v>
      </c>
      <c r="D804" s="3" t="s">
        <v>13</v>
      </c>
      <c r="E804" s="3" t="s">
        <v>1100</v>
      </c>
      <c r="F804" s="3" t="s">
        <v>1094</v>
      </c>
      <c r="G804" s="3" t="s">
        <v>1033</v>
      </c>
      <c r="H804" s="4"/>
      <c r="I804" s="4">
        <f t="shared" si="67"/>
        <v>0</v>
      </c>
      <c r="J804" s="4"/>
      <c r="K804" s="4">
        <f t="shared" si="53"/>
        <v>0</v>
      </c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">
      <c r="A805" s="1"/>
      <c r="B805" s="2" t="s">
        <v>728</v>
      </c>
      <c r="C805" s="3" t="s">
        <v>1099</v>
      </c>
      <c r="D805" s="3" t="s">
        <v>13</v>
      </c>
      <c r="E805" s="3" t="s">
        <v>1100</v>
      </c>
      <c r="F805" s="3" t="s">
        <v>1094</v>
      </c>
      <c r="G805" s="3" t="s">
        <v>1033</v>
      </c>
      <c r="H805" s="4"/>
      <c r="I805" s="4">
        <f t="shared" si="67"/>
        <v>0</v>
      </c>
      <c r="J805" s="4"/>
      <c r="K805" s="4">
        <f t="shared" si="53"/>
        <v>0</v>
      </c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">
      <c r="A806" s="1">
        <v>625</v>
      </c>
      <c r="B806" s="13" t="s">
        <v>248</v>
      </c>
      <c r="C806" s="14" t="s">
        <v>1101</v>
      </c>
      <c r="D806" s="14" t="s">
        <v>1102</v>
      </c>
      <c r="E806" s="14" t="s">
        <v>1100</v>
      </c>
      <c r="F806" s="14" t="s">
        <v>1094</v>
      </c>
      <c r="G806" s="14" t="s">
        <v>1033</v>
      </c>
      <c r="H806" s="4"/>
      <c r="I806" s="4">
        <f t="shared" si="67"/>
        <v>0</v>
      </c>
      <c r="J806" s="4"/>
      <c r="K806" s="4">
        <f t="shared" si="53"/>
        <v>0</v>
      </c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">
      <c r="A807" s="1">
        <v>663</v>
      </c>
      <c r="B807" s="13" t="s">
        <v>252</v>
      </c>
      <c r="C807" s="14" t="s">
        <v>1101</v>
      </c>
      <c r="D807" s="14" t="s">
        <v>1102</v>
      </c>
      <c r="E807" s="14" t="s">
        <v>1100</v>
      </c>
      <c r="F807" s="14" t="s">
        <v>1094</v>
      </c>
      <c r="G807" s="14" t="s">
        <v>1033</v>
      </c>
      <c r="H807" s="4"/>
      <c r="I807" s="4">
        <f t="shared" si="67"/>
        <v>0</v>
      </c>
      <c r="J807" s="4"/>
      <c r="K807" s="4">
        <f t="shared" si="53"/>
        <v>0</v>
      </c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">
      <c r="A808" s="1">
        <v>805</v>
      </c>
      <c r="B808" s="13" t="s">
        <v>1103</v>
      </c>
      <c r="C808" s="14" t="s">
        <v>1101</v>
      </c>
      <c r="D808" s="14" t="s">
        <v>1102</v>
      </c>
      <c r="E808" s="14" t="s">
        <v>1100</v>
      </c>
      <c r="F808" s="14" t="s">
        <v>1094</v>
      </c>
      <c r="G808" s="14" t="s">
        <v>1033</v>
      </c>
      <c r="H808" s="4"/>
      <c r="I808" s="4">
        <f t="shared" si="67"/>
        <v>0</v>
      </c>
      <c r="J808" s="4"/>
      <c r="K808" s="4">
        <f t="shared" si="53"/>
        <v>0</v>
      </c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">
      <c r="A809" s="1">
        <v>809</v>
      </c>
      <c r="B809" s="13" t="s">
        <v>1104</v>
      </c>
      <c r="C809" s="14" t="s">
        <v>1101</v>
      </c>
      <c r="D809" s="14" t="s">
        <v>1102</v>
      </c>
      <c r="E809" s="14" t="s">
        <v>1100</v>
      </c>
      <c r="F809" s="14" t="s">
        <v>1094</v>
      </c>
      <c r="G809" s="14" t="s">
        <v>1033</v>
      </c>
      <c r="H809" s="4"/>
      <c r="I809" s="4">
        <f t="shared" si="67"/>
        <v>0</v>
      </c>
      <c r="J809" s="4"/>
      <c r="K809" s="4">
        <f t="shared" si="53"/>
        <v>0</v>
      </c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">
      <c r="A810" s="1">
        <v>751</v>
      </c>
      <c r="B810" s="13" t="s">
        <v>977</v>
      </c>
      <c r="C810" s="14" t="s">
        <v>271</v>
      </c>
      <c r="D810" s="14" t="s">
        <v>333</v>
      </c>
      <c r="E810" s="14" t="s">
        <v>187</v>
      </c>
      <c r="F810" s="14" t="s">
        <v>1094</v>
      </c>
      <c r="G810" s="14" t="s">
        <v>1033</v>
      </c>
      <c r="H810" s="4"/>
      <c r="I810" s="4">
        <f t="shared" si="67"/>
        <v>0</v>
      </c>
      <c r="J810" s="4"/>
      <c r="K810" s="4">
        <f t="shared" si="53"/>
        <v>0</v>
      </c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">
      <c r="A811" s="1">
        <v>773</v>
      </c>
      <c r="B811" s="13" t="s">
        <v>405</v>
      </c>
      <c r="C811" s="14" t="s">
        <v>271</v>
      </c>
      <c r="D811" s="14" t="s">
        <v>333</v>
      </c>
      <c r="E811" s="14" t="s">
        <v>187</v>
      </c>
      <c r="F811" s="14" t="s">
        <v>1094</v>
      </c>
      <c r="G811" s="14" t="s">
        <v>1033</v>
      </c>
      <c r="H811" s="4"/>
      <c r="I811" s="4">
        <f t="shared" si="67"/>
        <v>0</v>
      </c>
      <c r="J811" s="4"/>
      <c r="K811" s="4">
        <f t="shared" si="53"/>
        <v>0</v>
      </c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">
      <c r="A812" s="1"/>
      <c r="B812" s="2" t="s">
        <v>94</v>
      </c>
      <c r="C812" s="3" t="s">
        <v>1105</v>
      </c>
      <c r="D812" s="3" t="s">
        <v>516</v>
      </c>
      <c r="E812" s="3" t="s">
        <v>630</v>
      </c>
      <c r="F812" s="3" t="s">
        <v>1094</v>
      </c>
      <c r="G812" s="3" t="s">
        <v>1033</v>
      </c>
      <c r="H812" s="4"/>
      <c r="I812" s="4">
        <f t="shared" si="67"/>
        <v>0</v>
      </c>
      <c r="J812" s="4"/>
      <c r="K812" s="4">
        <f t="shared" si="53"/>
        <v>0</v>
      </c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">
      <c r="A813" s="1"/>
      <c r="B813" s="2" t="s">
        <v>728</v>
      </c>
      <c r="C813" s="3" t="s">
        <v>1105</v>
      </c>
      <c r="D813" s="3" t="s">
        <v>516</v>
      </c>
      <c r="E813" s="3" t="s">
        <v>630</v>
      </c>
      <c r="F813" s="3" t="s">
        <v>1094</v>
      </c>
      <c r="G813" s="3" t="s">
        <v>1033</v>
      </c>
      <c r="H813" s="4"/>
      <c r="I813" s="4">
        <f t="shared" si="67"/>
        <v>0</v>
      </c>
      <c r="J813" s="4"/>
      <c r="K813" s="4">
        <f t="shared" si="53"/>
        <v>0</v>
      </c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">
      <c r="A814" s="1"/>
      <c r="B814" s="2" t="s">
        <v>94</v>
      </c>
      <c r="C814" s="3" t="s">
        <v>1106</v>
      </c>
      <c r="D814" s="3" t="s">
        <v>1107</v>
      </c>
      <c r="E814" s="3" t="s">
        <v>787</v>
      </c>
      <c r="F814" s="3" t="s">
        <v>1094</v>
      </c>
      <c r="G814" s="3" t="s">
        <v>1033</v>
      </c>
      <c r="H814" s="4"/>
      <c r="I814" s="4">
        <f t="shared" si="67"/>
        <v>0</v>
      </c>
      <c r="J814" s="4"/>
      <c r="K814" s="4">
        <f t="shared" si="53"/>
        <v>0</v>
      </c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">
      <c r="A815" s="1"/>
      <c r="B815" s="2" t="s">
        <v>131</v>
      </c>
      <c r="C815" s="3" t="s">
        <v>1108</v>
      </c>
      <c r="D815" s="3" t="s">
        <v>86</v>
      </c>
      <c r="E815" s="3" t="s">
        <v>306</v>
      </c>
      <c r="F815" s="3" t="s">
        <v>1094</v>
      </c>
      <c r="G815" s="3" t="s">
        <v>1033</v>
      </c>
      <c r="H815" s="4"/>
      <c r="I815" s="4">
        <f t="shared" si="67"/>
        <v>0</v>
      </c>
      <c r="J815" s="4"/>
      <c r="K815" s="4">
        <f t="shared" si="53"/>
        <v>0</v>
      </c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">
      <c r="A816" s="1"/>
      <c r="B816" s="2" t="s">
        <v>303</v>
      </c>
      <c r="C816" s="3" t="s">
        <v>1108</v>
      </c>
      <c r="D816" s="3" t="s">
        <v>86</v>
      </c>
      <c r="E816" s="3" t="s">
        <v>306</v>
      </c>
      <c r="F816" s="3" t="s">
        <v>1094</v>
      </c>
      <c r="G816" s="3" t="s">
        <v>1033</v>
      </c>
      <c r="H816" s="4"/>
      <c r="I816" s="4">
        <f t="shared" si="67"/>
        <v>0</v>
      </c>
      <c r="J816" s="4"/>
      <c r="K816" s="4">
        <f t="shared" si="53"/>
        <v>0</v>
      </c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">
      <c r="A817" s="1"/>
      <c r="B817" s="2" t="s">
        <v>94</v>
      </c>
      <c r="C817" s="3" t="s">
        <v>1108</v>
      </c>
      <c r="D817" s="3" t="s">
        <v>86</v>
      </c>
      <c r="E817" s="3" t="s">
        <v>306</v>
      </c>
      <c r="F817" s="3" t="s">
        <v>1094</v>
      </c>
      <c r="G817" s="3" t="s">
        <v>1033</v>
      </c>
      <c r="H817" s="4"/>
      <c r="I817" s="4">
        <f t="shared" si="67"/>
        <v>0</v>
      </c>
      <c r="J817" s="4"/>
      <c r="K817" s="4">
        <f t="shared" si="53"/>
        <v>0</v>
      </c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">
      <c r="A818" s="1"/>
      <c r="B818" s="2" t="s">
        <v>728</v>
      </c>
      <c r="C818" s="3" t="s">
        <v>1108</v>
      </c>
      <c r="D818" s="3" t="s">
        <v>86</v>
      </c>
      <c r="E818" s="3" t="s">
        <v>306</v>
      </c>
      <c r="F818" s="3" t="s">
        <v>1094</v>
      </c>
      <c r="G818" s="3" t="s">
        <v>1033</v>
      </c>
      <c r="H818" s="4"/>
      <c r="I818" s="4">
        <f t="shared" si="67"/>
        <v>0</v>
      </c>
      <c r="J818" s="4"/>
      <c r="K818" s="4">
        <f t="shared" si="53"/>
        <v>0</v>
      </c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">
      <c r="A819" s="1"/>
      <c r="B819" s="2" t="s">
        <v>421</v>
      </c>
      <c r="C819" s="3" t="s">
        <v>1108</v>
      </c>
      <c r="D819" s="3" t="s">
        <v>39</v>
      </c>
      <c r="E819" s="3" t="s">
        <v>306</v>
      </c>
      <c r="F819" s="3" t="s">
        <v>1094</v>
      </c>
      <c r="G819" s="3" t="s">
        <v>1033</v>
      </c>
      <c r="H819" s="4"/>
      <c r="I819" s="4">
        <f t="shared" si="67"/>
        <v>0</v>
      </c>
      <c r="J819" s="4"/>
      <c r="K819" s="4">
        <f t="shared" si="53"/>
        <v>0</v>
      </c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">
      <c r="A820" s="1"/>
      <c r="B820" s="2" t="s">
        <v>307</v>
      </c>
      <c r="C820" s="3" t="s">
        <v>1108</v>
      </c>
      <c r="D820" s="3" t="s">
        <v>39</v>
      </c>
      <c r="E820" s="3" t="s">
        <v>306</v>
      </c>
      <c r="F820" s="3" t="s">
        <v>1094</v>
      </c>
      <c r="G820" s="3" t="s">
        <v>1033</v>
      </c>
      <c r="H820" s="4"/>
      <c r="I820" s="4">
        <f t="shared" si="67"/>
        <v>0</v>
      </c>
      <c r="J820" s="4"/>
      <c r="K820" s="4">
        <f t="shared" si="53"/>
        <v>0</v>
      </c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">
      <c r="A821" s="1"/>
      <c r="B821" s="2" t="s">
        <v>94</v>
      </c>
      <c r="C821" s="3" t="s">
        <v>1108</v>
      </c>
      <c r="D821" s="3" t="s">
        <v>39</v>
      </c>
      <c r="E821" s="3" t="s">
        <v>306</v>
      </c>
      <c r="F821" s="3" t="s">
        <v>1094</v>
      </c>
      <c r="G821" s="3" t="s">
        <v>1033</v>
      </c>
      <c r="H821" s="4"/>
      <c r="I821" s="4">
        <f t="shared" si="67"/>
        <v>0</v>
      </c>
      <c r="J821" s="4"/>
      <c r="K821" s="4">
        <f t="shared" si="53"/>
        <v>0</v>
      </c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">
      <c r="A822" s="1">
        <v>649</v>
      </c>
      <c r="B822" s="13" t="s">
        <v>248</v>
      </c>
      <c r="C822" s="14" t="s">
        <v>1109</v>
      </c>
      <c r="D822" s="14" t="s">
        <v>574</v>
      </c>
      <c r="E822" s="14" t="s">
        <v>319</v>
      </c>
      <c r="F822" s="14" t="s">
        <v>1094</v>
      </c>
      <c r="G822" s="14" t="s">
        <v>1033</v>
      </c>
      <c r="H822" s="4"/>
      <c r="I822" s="4">
        <f t="shared" si="67"/>
        <v>0</v>
      </c>
      <c r="J822" s="4"/>
      <c r="K822" s="4">
        <f t="shared" si="53"/>
        <v>0</v>
      </c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">
      <c r="A823" s="1">
        <v>681</v>
      </c>
      <c r="B823" s="13" t="s">
        <v>252</v>
      </c>
      <c r="C823" s="14" t="s">
        <v>1109</v>
      </c>
      <c r="D823" s="14" t="s">
        <v>574</v>
      </c>
      <c r="E823" s="14" t="s">
        <v>319</v>
      </c>
      <c r="F823" s="14" t="s">
        <v>1094</v>
      </c>
      <c r="G823" s="14" t="s">
        <v>1033</v>
      </c>
      <c r="H823" s="4"/>
      <c r="I823" s="4">
        <f t="shared" si="67"/>
        <v>0</v>
      </c>
      <c r="J823" s="4"/>
      <c r="K823" s="4">
        <f t="shared" si="53"/>
        <v>0</v>
      </c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">
      <c r="A824" s="1">
        <v>787</v>
      </c>
      <c r="B824" s="13" t="s">
        <v>691</v>
      </c>
      <c r="C824" s="14" t="s">
        <v>1110</v>
      </c>
      <c r="D824" s="14" t="s">
        <v>474</v>
      </c>
      <c r="E824" s="14" t="s">
        <v>259</v>
      </c>
      <c r="F824" s="14" t="s">
        <v>1094</v>
      </c>
      <c r="G824" s="14" t="s">
        <v>1033</v>
      </c>
      <c r="H824" s="4"/>
      <c r="I824" s="4">
        <f t="shared" si="67"/>
        <v>0</v>
      </c>
      <c r="J824" s="4"/>
      <c r="K824" s="4">
        <f t="shared" si="53"/>
        <v>0</v>
      </c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">
      <c r="A825" s="1">
        <v>799</v>
      </c>
      <c r="B825" s="13" t="s">
        <v>610</v>
      </c>
      <c r="C825" s="14" t="s">
        <v>1110</v>
      </c>
      <c r="D825" s="14" t="s">
        <v>474</v>
      </c>
      <c r="E825" s="14" t="s">
        <v>259</v>
      </c>
      <c r="F825" s="14" t="s">
        <v>1094</v>
      </c>
      <c r="G825" s="14" t="s">
        <v>1033</v>
      </c>
      <c r="H825" s="4"/>
      <c r="I825" s="4">
        <f t="shared" ref="I825:I841" si="68">H825*1800</f>
        <v>0</v>
      </c>
      <c r="J825" s="4"/>
      <c r="K825" s="4">
        <f t="shared" si="53"/>
        <v>0</v>
      </c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">
      <c r="A826" s="1">
        <v>759</v>
      </c>
      <c r="B826" s="13" t="s">
        <v>977</v>
      </c>
      <c r="C826" s="14" t="s">
        <v>1111</v>
      </c>
      <c r="D826" s="14" t="s">
        <v>272</v>
      </c>
      <c r="E826" s="14" t="s">
        <v>397</v>
      </c>
      <c r="F826" s="14" t="s">
        <v>1094</v>
      </c>
      <c r="G826" s="14" t="s">
        <v>1033</v>
      </c>
      <c r="H826" s="4"/>
      <c r="I826" s="4">
        <f t="shared" si="68"/>
        <v>0</v>
      </c>
      <c r="J826" s="4"/>
      <c r="K826" s="4">
        <f t="shared" si="53"/>
        <v>0</v>
      </c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">
      <c r="A827" s="1">
        <v>767</v>
      </c>
      <c r="B827" s="13" t="s">
        <v>1112</v>
      </c>
      <c r="C827" s="14" t="s">
        <v>1111</v>
      </c>
      <c r="D827" s="14" t="s">
        <v>272</v>
      </c>
      <c r="E827" s="14" t="s">
        <v>397</v>
      </c>
      <c r="F827" s="14" t="s">
        <v>1094</v>
      </c>
      <c r="G827" s="14" t="s">
        <v>1033</v>
      </c>
      <c r="H827" s="4"/>
      <c r="I827" s="4">
        <f t="shared" si="68"/>
        <v>0</v>
      </c>
      <c r="J827" s="4"/>
      <c r="K827" s="4">
        <f t="shared" si="53"/>
        <v>0</v>
      </c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">
      <c r="A828" s="1"/>
      <c r="B828" s="2" t="s">
        <v>94</v>
      </c>
      <c r="C828" s="3" t="s">
        <v>1113</v>
      </c>
      <c r="D828" s="3" t="s">
        <v>383</v>
      </c>
      <c r="E828" s="3" t="s">
        <v>40</v>
      </c>
      <c r="F828" s="3" t="s">
        <v>1094</v>
      </c>
      <c r="G828" s="3" t="s">
        <v>1033</v>
      </c>
      <c r="H828" s="4"/>
      <c r="I828" s="4">
        <f t="shared" si="68"/>
        <v>0</v>
      </c>
      <c r="J828" s="4"/>
      <c r="K828" s="4">
        <f t="shared" si="53"/>
        <v>0</v>
      </c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">
      <c r="A829" s="1">
        <v>623</v>
      </c>
      <c r="B829" s="13" t="s">
        <v>248</v>
      </c>
      <c r="C829" s="14" t="s">
        <v>1114</v>
      </c>
      <c r="D829" s="14" t="s">
        <v>355</v>
      </c>
      <c r="E829" s="14" t="s">
        <v>134</v>
      </c>
      <c r="F829" s="14" t="s">
        <v>1094</v>
      </c>
      <c r="G829" s="14" t="s">
        <v>1033</v>
      </c>
      <c r="H829" s="4"/>
      <c r="I829" s="4">
        <f t="shared" si="68"/>
        <v>0</v>
      </c>
      <c r="J829" s="4"/>
      <c r="K829" s="4">
        <f t="shared" si="53"/>
        <v>0</v>
      </c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">
      <c r="A830" s="1">
        <v>661</v>
      </c>
      <c r="B830" s="13" t="s">
        <v>252</v>
      </c>
      <c r="C830" s="14" t="s">
        <v>1114</v>
      </c>
      <c r="D830" s="14" t="s">
        <v>355</v>
      </c>
      <c r="E830" s="14" t="s">
        <v>134</v>
      </c>
      <c r="F830" s="14" t="s">
        <v>1094</v>
      </c>
      <c r="G830" s="14" t="s">
        <v>1033</v>
      </c>
      <c r="H830" s="4"/>
      <c r="I830" s="4">
        <f t="shared" si="68"/>
        <v>0</v>
      </c>
      <c r="J830" s="4"/>
      <c r="K830" s="4">
        <f t="shared" si="53"/>
        <v>0</v>
      </c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">
      <c r="A831" s="1">
        <v>1569</v>
      </c>
      <c r="B831" s="13" t="s">
        <v>585</v>
      </c>
      <c r="C831" s="14" t="s">
        <v>1114</v>
      </c>
      <c r="D831" s="14" t="s">
        <v>355</v>
      </c>
      <c r="E831" s="14" t="s">
        <v>134</v>
      </c>
      <c r="F831" s="14" t="s">
        <v>1094</v>
      </c>
      <c r="G831" s="14" t="s">
        <v>1033</v>
      </c>
      <c r="H831" s="4"/>
      <c r="I831" s="4">
        <f t="shared" si="68"/>
        <v>0</v>
      </c>
      <c r="J831" s="4"/>
      <c r="K831" s="4">
        <f t="shared" si="53"/>
        <v>0</v>
      </c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">
      <c r="A832" s="1"/>
      <c r="B832" s="2" t="s">
        <v>300</v>
      </c>
      <c r="C832" s="3" t="s">
        <v>1115</v>
      </c>
      <c r="D832" s="3" t="s">
        <v>522</v>
      </c>
      <c r="E832" s="3" t="s">
        <v>337</v>
      </c>
      <c r="F832" s="3" t="s">
        <v>1094</v>
      </c>
      <c r="G832" s="3" t="s">
        <v>1033</v>
      </c>
      <c r="H832" s="4"/>
      <c r="I832" s="4">
        <f t="shared" si="68"/>
        <v>0</v>
      </c>
      <c r="J832" s="4"/>
      <c r="K832" s="4">
        <f t="shared" si="53"/>
        <v>0</v>
      </c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">
      <c r="A833" s="1"/>
      <c r="B833" s="2" t="s">
        <v>102</v>
      </c>
      <c r="C833" s="3" t="s">
        <v>1115</v>
      </c>
      <c r="D833" s="3" t="s">
        <v>522</v>
      </c>
      <c r="E833" s="3" t="s">
        <v>337</v>
      </c>
      <c r="F833" s="3" t="s">
        <v>1094</v>
      </c>
      <c r="G833" s="3" t="s">
        <v>1033</v>
      </c>
      <c r="H833" s="4"/>
      <c r="I833" s="4">
        <f t="shared" si="68"/>
        <v>0</v>
      </c>
      <c r="J833" s="4"/>
      <c r="K833" s="4">
        <f t="shared" si="53"/>
        <v>0</v>
      </c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">
      <c r="A834" s="1">
        <v>679</v>
      </c>
      <c r="B834" s="13" t="s">
        <v>252</v>
      </c>
      <c r="C834" s="14" t="s">
        <v>1116</v>
      </c>
      <c r="D834" s="14" t="s">
        <v>1117</v>
      </c>
      <c r="E834" s="14" t="s">
        <v>720</v>
      </c>
      <c r="F834" s="14" t="s">
        <v>1094</v>
      </c>
      <c r="G834" s="14" t="s">
        <v>1033</v>
      </c>
      <c r="H834" s="4"/>
      <c r="I834" s="4">
        <f t="shared" si="68"/>
        <v>0</v>
      </c>
      <c r="J834" s="4"/>
      <c r="K834" s="4">
        <f t="shared" si="53"/>
        <v>0</v>
      </c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">
      <c r="A835" s="1">
        <v>2723</v>
      </c>
      <c r="B835" s="13" t="s">
        <v>703</v>
      </c>
      <c r="C835" s="14" t="s">
        <v>1116</v>
      </c>
      <c r="D835" s="14" t="s">
        <v>1117</v>
      </c>
      <c r="E835" s="14" t="s">
        <v>720</v>
      </c>
      <c r="F835" s="14" t="s">
        <v>1094</v>
      </c>
      <c r="G835" s="14" t="s">
        <v>1033</v>
      </c>
      <c r="H835" s="4"/>
      <c r="I835" s="4">
        <f t="shared" si="68"/>
        <v>0</v>
      </c>
      <c r="J835" s="4"/>
      <c r="K835" s="4">
        <f t="shared" si="53"/>
        <v>0</v>
      </c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">
      <c r="A836" s="1">
        <v>295</v>
      </c>
      <c r="B836" s="13" t="s">
        <v>726</v>
      </c>
      <c r="C836" s="14" t="s">
        <v>1118</v>
      </c>
      <c r="D836" s="14" t="s">
        <v>1119</v>
      </c>
      <c r="E836" s="14" t="s">
        <v>1120</v>
      </c>
      <c r="F836" s="14" t="s">
        <v>1094</v>
      </c>
      <c r="G836" s="14" t="s">
        <v>1033</v>
      </c>
      <c r="H836" s="4"/>
      <c r="I836" s="4">
        <f t="shared" si="68"/>
        <v>0</v>
      </c>
      <c r="J836" s="4"/>
      <c r="K836" s="4">
        <f t="shared" si="53"/>
        <v>0</v>
      </c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">
      <c r="A837" s="1">
        <v>163</v>
      </c>
      <c r="B837" s="13" t="s">
        <v>1121</v>
      </c>
      <c r="C837" s="14" t="s">
        <v>1122</v>
      </c>
      <c r="D837" s="14" t="s">
        <v>1123</v>
      </c>
      <c r="E837" s="14" t="s">
        <v>1124</v>
      </c>
      <c r="F837" s="14" t="s">
        <v>1094</v>
      </c>
      <c r="G837" s="14" t="s">
        <v>1033</v>
      </c>
      <c r="H837" s="4"/>
      <c r="I837" s="4">
        <f t="shared" si="68"/>
        <v>0</v>
      </c>
      <c r="J837" s="4"/>
      <c r="K837" s="4">
        <f t="shared" si="53"/>
        <v>0</v>
      </c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">
      <c r="A838" s="1">
        <v>183</v>
      </c>
      <c r="B838" s="13" t="s">
        <v>1125</v>
      </c>
      <c r="C838" s="14" t="s">
        <v>1122</v>
      </c>
      <c r="D838" s="14" t="s">
        <v>1123</v>
      </c>
      <c r="E838" s="14" t="s">
        <v>1124</v>
      </c>
      <c r="F838" s="14" t="s">
        <v>1094</v>
      </c>
      <c r="G838" s="14" t="s">
        <v>1033</v>
      </c>
      <c r="H838" s="4"/>
      <c r="I838" s="4">
        <f t="shared" si="68"/>
        <v>0</v>
      </c>
      <c r="J838" s="4"/>
      <c r="K838" s="4">
        <f t="shared" si="53"/>
        <v>0</v>
      </c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">
      <c r="A839" s="20">
        <v>403</v>
      </c>
      <c r="B839" s="21" t="s">
        <v>1126</v>
      </c>
      <c r="C839" s="22" t="s">
        <v>1127</v>
      </c>
      <c r="D839" s="22" t="s">
        <v>1128</v>
      </c>
      <c r="E839" s="22" t="s">
        <v>1129</v>
      </c>
      <c r="F839" s="14" t="s">
        <v>1094</v>
      </c>
      <c r="G839" s="14" t="s">
        <v>1033</v>
      </c>
      <c r="H839" s="4"/>
      <c r="I839" s="4">
        <f t="shared" si="68"/>
        <v>0</v>
      </c>
      <c r="J839" s="4"/>
      <c r="K839" s="4">
        <f t="shared" si="53"/>
        <v>0</v>
      </c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">
      <c r="A840" s="1"/>
      <c r="B840" s="2" t="s">
        <v>297</v>
      </c>
      <c r="C840" s="3" t="s">
        <v>1130</v>
      </c>
      <c r="D840" s="3" t="s">
        <v>557</v>
      </c>
      <c r="E840" s="3" t="s">
        <v>129</v>
      </c>
      <c r="F840" s="3" t="s">
        <v>1131</v>
      </c>
      <c r="G840" s="3" t="s">
        <v>1033</v>
      </c>
      <c r="H840" s="4"/>
      <c r="I840" s="4">
        <f t="shared" si="68"/>
        <v>0</v>
      </c>
      <c r="J840" s="4"/>
      <c r="K840" s="4">
        <f t="shared" si="53"/>
        <v>0</v>
      </c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">
      <c r="A841" s="1"/>
      <c r="B841" s="2" t="s">
        <v>300</v>
      </c>
      <c r="C841" s="3" t="s">
        <v>1130</v>
      </c>
      <c r="D841" s="3" t="s">
        <v>557</v>
      </c>
      <c r="E841" s="3" t="s">
        <v>129</v>
      </c>
      <c r="F841" s="3" t="s">
        <v>1131</v>
      </c>
      <c r="G841" s="3" t="s">
        <v>1033</v>
      </c>
      <c r="H841" s="4"/>
      <c r="I841" s="4">
        <f t="shared" si="68"/>
        <v>0</v>
      </c>
      <c r="J841" s="4"/>
      <c r="K841" s="4">
        <f t="shared" si="53"/>
        <v>0</v>
      </c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">
      <c r="A842" s="1">
        <v>333</v>
      </c>
      <c r="B842" s="13" t="s">
        <v>365</v>
      </c>
      <c r="C842" s="14" t="s">
        <v>1132</v>
      </c>
      <c r="D842" s="14" t="s">
        <v>456</v>
      </c>
      <c r="E842" s="14" t="s">
        <v>32</v>
      </c>
      <c r="F842" s="14" t="s">
        <v>1131</v>
      </c>
      <c r="G842" s="14" t="s">
        <v>1033</v>
      </c>
      <c r="H842" s="4"/>
      <c r="I842" s="4">
        <f t="shared" ref="I842:I847" si="69">H842*2300</f>
        <v>0</v>
      </c>
      <c r="J842" s="4"/>
      <c r="K842" s="4">
        <f t="shared" si="53"/>
        <v>0</v>
      </c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">
      <c r="A843" s="1">
        <v>2227</v>
      </c>
      <c r="B843" s="13" t="s">
        <v>282</v>
      </c>
      <c r="C843" s="14" t="s">
        <v>1132</v>
      </c>
      <c r="D843" s="14" t="s">
        <v>456</v>
      </c>
      <c r="E843" s="14" t="s">
        <v>32</v>
      </c>
      <c r="F843" s="14" t="s">
        <v>1131</v>
      </c>
      <c r="G843" s="14" t="s">
        <v>1033</v>
      </c>
      <c r="H843" s="4"/>
      <c r="I843" s="4">
        <f t="shared" si="69"/>
        <v>0</v>
      </c>
      <c r="J843" s="4"/>
      <c r="K843" s="4">
        <f t="shared" si="53"/>
        <v>0</v>
      </c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">
      <c r="A844" s="1">
        <v>2907</v>
      </c>
      <c r="B844" s="13" t="s">
        <v>1133</v>
      </c>
      <c r="C844" s="14" t="s">
        <v>1132</v>
      </c>
      <c r="D844" s="14" t="s">
        <v>456</v>
      </c>
      <c r="E844" s="14" t="s">
        <v>32</v>
      </c>
      <c r="F844" s="14" t="s">
        <v>1131</v>
      </c>
      <c r="G844" s="14" t="s">
        <v>1033</v>
      </c>
      <c r="H844" s="4"/>
      <c r="I844" s="4">
        <f t="shared" si="69"/>
        <v>0</v>
      </c>
      <c r="J844" s="4"/>
      <c r="K844" s="4">
        <f t="shared" si="53"/>
        <v>0</v>
      </c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">
      <c r="A845" s="1">
        <v>1561</v>
      </c>
      <c r="B845" s="13" t="s">
        <v>377</v>
      </c>
      <c r="C845" s="14" t="s">
        <v>1134</v>
      </c>
      <c r="D845" s="14" t="s">
        <v>526</v>
      </c>
      <c r="E845" s="14" t="s">
        <v>693</v>
      </c>
      <c r="F845" s="14" t="s">
        <v>1131</v>
      </c>
      <c r="G845" s="14" t="s">
        <v>1033</v>
      </c>
      <c r="H845" s="4"/>
      <c r="I845" s="4">
        <f t="shared" si="69"/>
        <v>0</v>
      </c>
      <c r="J845" s="4"/>
      <c r="K845" s="4">
        <f t="shared" si="53"/>
        <v>0</v>
      </c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">
      <c r="A846" s="1">
        <v>2603</v>
      </c>
      <c r="B846" s="13" t="s">
        <v>287</v>
      </c>
      <c r="C846" s="14" t="s">
        <v>1134</v>
      </c>
      <c r="D846" s="14" t="s">
        <v>526</v>
      </c>
      <c r="E846" s="14" t="s">
        <v>693</v>
      </c>
      <c r="F846" s="14" t="s">
        <v>1131</v>
      </c>
      <c r="G846" s="14" t="s">
        <v>1033</v>
      </c>
      <c r="H846" s="4"/>
      <c r="I846" s="4">
        <f t="shared" si="69"/>
        <v>0</v>
      </c>
      <c r="J846" s="4"/>
      <c r="K846" s="4">
        <f t="shared" si="53"/>
        <v>0</v>
      </c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">
      <c r="A847" s="1">
        <v>2729</v>
      </c>
      <c r="B847" s="13" t="s">
        <v>703</v>
      </c>
      <c r="C847" s="14" t="s">
        <v>1134</v>
      </c>
      <c r="D847" s="14" t="s">
        <v>526</v>
      </c>
      <c r="E847" s="14" t="s">
        <v>693</v>
      </c>
      <c r="F847" s="14" t="s">
        <v>1131</v>
      </c>
      <c r="G847" s="14" t="s">
        <v>1033</v>
      </c>
      <c r="H847" s="4"/>
      <c r="I847" s="4">
        <f t="shared" si="69"/>
        <v>0</v>
      </c>
      <c r="J847" s="4"/>
      <c r="K847" s="4">
        <f t="shared" si="53"/>
        <v>0</v>
      </c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">
      <c r="A848" s="1"/>
      <c r="B848" s="2" t="s">
        <v>297</v>
      </c>
      <c r="C848" s="3" t="s">
        <v>1135</v>
      </c>
      <c r="D848" s="3" t="s">
        <v>506</v>
      </c>
      <c r="E848" s="3" t="s">
        <v>384</v>
      </c>
      <c r="F848" s="3" t="s">
        <v>1131</v>
      </c>
      <c r="G848" s="3" t="s">
        <v>1033</v>
      </c>
      <c r="H848" s="4"/>
      <c r="I848" s="4">
        <f t="shared" ref="I848:I849" si="70">H848*1800</f>
        <v>0</v>
      </c>
      <c r="J848" s="4"/>
      <c r="K848" s="4">
        <f t="shared" si="53"/>
        <v>0</v>
      </c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">
      <c r="A849" s="1"/>
      <c r="B849" s="2" t="s">
        <v>300</v>
      </c>
      <c r="C849" s="3" t="s">
        <v>1135</v>
      </c>
      <c r="D849" s="3" t="s">
        <v>506</v>
      </c>
      <c r="E849" s="3" t="s">
        <v>384</v>
      </c>
      <c r="F849" s="3" t="s">
        <v>1131</v>
      </c>
      <c r="G849" s="3" t="s">
        <v>1033</v>
      </c>
      <c r="H849" s="4"/>
      <c r="I849" s="4">
        <f t="shared" si="70"/>
        <v>0</v>
      </c>
      <c r="J849" s="4"/>
      <c r="K849" s="4">
        <f t="shared" si="53"/>
        <v>0</v>
      </c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">
      <c r="A850" s="1">
        <v>523</v>
      </c>
      <c r="B850" s="13" t="s">
        <v>509</v>
      </c>
      <c r="C850" s="14" t="s">
        <v>1136</v>
      </c>
      <c r="D850" s="14" t="s">
        <v>295</v>
      </c>
      <c r="E850" s="14" t="s">
        <v>314</v>
      </c>
      <c r="F850" s="14" t="s">
        <v>1131</v>
      </c>
      <c r="G850" s="14" t="s">
        <v>1033</v>
      </c>
      <c r="H850" s="4"/>
      <c r="I850" s="4">
        <f t="shared" ref="I850:I857" si="71">H850*2300</f>
        <v>0</v>
      </c>
      <c r="J850" s="4"/>
      <c r="K850" s="4">
        <f t="shared" si="53"/>
        <v>0</v>
      </c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">
      <c r="A851" s="1">
        <v>1195</v>
      </c>
      <c r="B851" s="13" t="s">
        <v>256</v>
      </c>
      <c r="C851" s="14" t="s">
        <v>1136</v>
      </c>
      <c r="D851" s="14" t="s">
        <v>295</v>
      </c>
      <c r="E851" s="14" t="s">
        <v>314</v>
      </c>
      <c r="F851" s="14" t="s">
        <v>1131</v>
      </c>
      <c r="G851" s="14" t="s">
        <v>1033</v>
      </c>
      <c r="H851" s="4"/>
      <c r="I851" s="4">
        <f t="shared" si="71"/>
        <v>0</v>
      </c>
      <c r="J851" s="4"/>
      <c r="K851" s="4">
        <f t="shared" si="53"/>
        <v>0</v>
      </c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">
      <c r="A852" s="1">
        <v>2517</v>
      </c>
      <c r="B852" s="13" t="s">
        <v>434</v>
      </c>
      <c r="C852" s="14" t="s">
        <v>1136</v>
      </c>
      <c r="D852" s="14" t="s">
        <v>295</v>
      </c>
      <c r="E852" s="14" t="s">
        <v>314</v>
      </c>
      <c r="F852" s="14" t="s">
        <v>1131</v>
      </c>
      <c r="G852" s="14" t="s">
        <v>1033</v>
      </c>
      <c r="H852" s="4"/>
      <c r="I852" s="4">
        <f t="shared" si="71"/>
        <v>0</v>
      </c>
      <c r="J852" s="4"/>
      <c r="K852" s="4">
        <f t="shared" si="53"/>
        <v>0</v>
      </c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">
      <c r="A853" s="1">
        <v>1077</v>
      </c>
      <c r="B853" s="13" t="s">
        <v>458</v>
      </c>
      <c r="C853" s="14" t="s">
        <v>1137</v>
      </c>
      <c r="D853" s="14" t="s">
        <v>333</v>
      </c>
      <c r="E853" s="14" t="s">
        <v>87</v>
      </c>
      <c r="F853" s="14" t="s">
        <v>1131</v>
      </c>
      <c r="G853" s="14" t="s">
        <v>1033</v>
      </c>
      <c r="H853" s="4"/>
      <c r="I853" s="4">
        <f t="shared" si="71"/>
        <v>0</v>
      </c>
      <c r="J853" s="4"/>
      <c r="K853" s="4">
        <f t="shared" si="53"/>
        <v>0</v>
      </c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">
      <c r="A854" s="1">
        <v>2975</v>
      </c>
      <c r="B854" s="13" t="s">
        <v>1138</v>
      </c>
      <c r="C854" s="14" t="s">
        <v>1137</v>
      </c>
      <c r="D854" s="14" t="s">
        <v>333</v>
      </c>
      <c r="E854" s="14" t="s">
        <v>87</v>
      </c>
      <c r="F854" s="14" t="s">
        <v>1131</v>
      </c>
      <c r="G854" s="14" t="s">
        <v>1033</v>
      </c>
      <c r="H854" s="4"/>
      <c r="I854" s="4">
        <f t="shared" si="71"/>
        <v>0</v>
      </c>
      <c r="J854" s="4"/>
      <c r="K854" s="4">
        <f t="shared" si="53"/>
        <v>0</v>
      </c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">
      <c r="A855" s="1">
        <v>2343</v>
      </c>
      <c r="B855" s="13" t="s">
        <v>285</v>
      </c>
      <c r="C855" s="14" t="s">
        <v>1139</v>
      </c>
      <c r="D855" s="14" t="s">
        <v>430</v>
      </c>
      <c r="E855" s="14" t="s">
        <v>374</v>
      </c>
      <c r="F855" s="14" t="s">
        <v>1131</v>
      </c>
      <c r="G855" s="14" t="s">
        <v>1033</v>
      </c>
      <c r="H855" s="4"/>
      <c r="I855" s="4">
        <f t="shared" si="71"/>
        <v>0</v>
      </c>
      <c r="J855" s="4"/>
      <c r="K855" s="4">
        <f t="shared" si="53"/>
        <v>0</v>
      </c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">
      <c r="A856" s="1">
        <v>2601</v>
      </c>
      <c r="B856" s="13" t="s">
        <v>287</v>
      </c>
      <c r="C856" s="14" t="s">
        <v>1139</v>
      </c>
      <c r="D856" s="14" t="s">
        <v>430</v>
      </c>
      <c r="E856" s="14" t="s">
        <v>374</v>
      </c>
      <c r="F856" s="14" t="s">
        <v>1131</v>
      </c>
      <c r="G856" s="14" t="s">
        <v>1033</v>
      </c>
      <c r="H856" s="4"/>
      <c r="I856" s="4">
        <f t="shared" si="71"/>
        <v>0</v>
      </c>
      <c r="J856" s="4"/>
      <c r="K856" s="4">
        <f t="shared" si="53"/>
        <v>0</v>
      </c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">
      <c r="A857" s="1">
        <v>2889</v>
      </c>
      <c r="B857" s="13" t="s">
        <v>378</v>
      </c>
      <c r="C857" s="14" t="s">
        <v>1139</v>
      </c>
      <c r="D857" s="14" t="s">
        <v>430</v>
      </c>
      <c r="E857" s="14" t="s">
        <v>374</v>
      </c>
      <c r="F857" s="14" t="s">
        <v>1131</v>
      </c>
      <c r="G857" s="14" t="s">
        <v>1033</v>
      </c>
      <c r="H857" s="4"/>
      <c r="I857" s="4">
        <f t="shared" si="71"/>
        <v>0</v>
      </c>
      <c r="J857" s="4"/>
      <c r="K857" s="4">
        <f t="shared" si="53"/>
        <v>0</v>
      </c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">
      <c r="A858" s="1"/>
      <c r="B858" s="2" t="s">
        <v>45</v>
      </c>
      <c r="C858" s="3" t="s">
        <v>1140</v>
      </c>
      <c r="D858" s="3" t="s">
        <v>522</v>
      </c>
      <c r="E858" s="3" t="s">
        <v>310</v>
      </c>
      <c r="F858" s="3" t="s">
        <v>1141</v>
      </c>
      <c r="G858" s="3" t="s">
        <v>1033</v>
      </c>
      <c r="H858" s="4"/>
      <c r="I858" s="4">
        <f t="shared" ref="I858:I865" si="72">H858*1800</f>
        <v>0</v>
      </c>
      <c r="J858" s="4"/>
      <c r="K858" s="4">
        <f t="shared" si="53"/>
        <v>0</v>
      </c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">
      <c r="A859" s="1"/>
      <c r="B859" s="2" t="s">
        <v>45</v>
      </c>
      <c r="C859" s="3" t="s">
        <v>1142</v>
      </c>
      <c r="D859" s="3" t="s">
        <v>516</v>
      </c>
      <c r="E859" s="3" t="s">
        <v>129</v>
      </c>
      <c r="F859" s="3" t="s">
        <v>1141</v>
      </c>
      <c r="G859" s="3" t="s">
        <v>1033</v>
      </c>
      <c r="H859" s="4"/>
      <c r="I859" s="4">
        <f t="shared" si="72"/>
        <v>0</v>
      </c>
      <c r="J859" s="4"/>
      <c r="K859" s="4">
        <f t="shared" si="53"/>
        <v>0</v>
      </c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">
      <c r="A860" s="1"/>
      <c r="B860" s="2" t="s">
        <v>45</v>
      </c>
      <c r="C860" s="3" t="s">
        <v>1143</v>
      </c>
      <c r="D860" s="3" t="s">
        <v>21</v>
      </c>
      <c r="E860" s="3" t="s">
        <v>40</v>
      </c>
      <c r="F860" s="3" t="s">
        <v>1141</v>
      </c>
      <c r="G860" s="3" t="s">
        <v>1033</v>
      </c>
      <c r="H860" s="4"/>
      <c r="I860" s="4">
        <f t="shared" si="72"/>
        <v>0</v>
      </c>
      <c r="J860" s="4"/>
      <c r="K860" s="4">
        <f t="shared" si="53"/>
        <v>0</v>
      </c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">
      <c r="A861" s="1"/>
      <c r="B861" s="2" t="s">
        <v>45</v>
      </c>
      <c r="C861" s="3" t="s">
        <v>1144</v>
      </c>
      <c r="D861" s="3" t="s">
        <v>120</v>
      </c>
      <c r="E861" s="3" t="s">
        <v>637</v>
      </c>
      <c r="F861" s="3" t="s">
        <v>1141</v>
      </c>
      <c r="G861" s="3" t="s">
        <v>1033</v>
      </c>
      <c r="H861" s="4"/>
      <c r="I861" s="4">
        <f t="shared" si="72"/>
        <v>0</v>
      </c>
      <c r="J861" s="4"/>
      <c r="K861" s="4">
        <f t="shared" si="53"/>
        <v>0</v>
      </c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">
      <c r="A862" s="1"/>
      <c r="B862" s="2" t="s">
        <v>45</v>
      </c>
      <c r="C862" s="3" t="s">
        <v>1145</v>
      </c>
      <c r="D862" s="3" t="s">
        <v>133</v>
      </c>
      <c r="E862" s="3" t="s">
        <v>587</v>
      </c>
      <c r="F862" s="3" t="s">
        <v>1141</v>
      </c>
      <c r="G862" s="3" t="s">
        <v>1033</v>
      </c>
      <c r="H862" s="4"/>
      <c r="I862" s="4">
        <f t="shared" si="72"/>
        <v>0</v>
      </c>
      <c r="J862" s="4"/>
      <c r="K862" s="4">
        <f t="shared" si="53"/>
        <v>0</v>
      </c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">
      <c r="A863" s="1"/>
      <c r="B863" s="2" t="s">
        <v>45</v>
      </c>
      <c r="C863" s="3" t="s">
        <v>1146</v>
      </c>
      <c r="D863" s="3" t="s">
        <v>383</v>
      </c>
      <c r="E863" s="3" t="s">
        <v>32</v>
      </c>
      <c r="F863" s="3" t="s">
        <v>1141</v>
      </c>
      <c r="G863" s="3" t="s">
        <v>1033</v>
      </c>
      <c r="H863" s="4"/>
      <c r="I863" s="4">
        <f t="shared" si="72"/>
        <v>0</v>
      </c>
      <c r="J863" s="4"/>
      <c r="K863" s="4">
        <f t="shared" si="53"/>
        <v>0</v>
      </c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">
      <c r="A864" s="1"/>
      <c r="B864" s="2" t="s">
        <v>45</v>
      </c>
      <c r="C864" s="3" t="s">
        <v>1147</v>
      </c>
      <c r="D864" s="3" t="s">
        <v>871</v>
      </c>
      <c r="E864" s="3" t="s">
        <v>397</v>
      </c>
      <c r="F864" s="3" t="s">
        <v>1141</v>
      </c>
      <c r="G864" s="3" t="s">
        <v>1033</v>
      </c>
      <c r="H864" s="4"/>
      <c r="I864" s="4">
        <f t="shared" si="72"/>
        <v>0</v>
      </c>
      <c r="J864" s="4"/>
      <c r="K864" s="4">
        <f t="shared" si="53"/>
        <v>0</v>
      </c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">
      <c r="A865" s="1"/>
      <c r="B865" s="2" t="s">
        <v>45</v>
      </c>
      <c r="C865" s="3" t="s">
        <v>1148</v>
      </c>
      <c r="D865" s="3" t="s">
        <v>388</v>
      </c>
      <c r="E865" s="3" t="s">
        <v>319</v>
      </c>
      <c r="F865" s="3" t="s">
        <v>1141</v>
      </c>
      <c r="G865" s="3" t="s">
        <v>1033</v>
      </c>
      <c r="H865" s="4"/>
      <c r="I865" s="4">
        <f t="shared" si="72"/>
        <v>0</v>
      </c>
      <c r="J865" s="4"/>
      <c r="K865" s="4">
        <f t="shared" si="53"/>
        <v>0</v>
      </c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">
      <c r="A866" s="1">
        <v>595</v>
      </c>
      <c r="B866" s="13" t="s">
        <v>428</v>
      </c>
      <c r="C866" s="14" t="s">
        <v>1149</v>
      </c>
      <c r="D866" s="14" t="s">
        <v>1150</v>
      </c>
      <c r="E866" s="14" t="s">
        <v>1151</v>
      </c>
      <c r="F866" s="14" t="s">
        <v>1152</v>
      </c>
      <c r="G866" s="14" t="s">
        <v>1033</v>
      </c>
      <c r="H866" s="4"/>
      <c r="I866" s="4">
        <f t="shared" ref="I866:I871" si="73">H866*2300</f>
        <v>0</v>
      </c>
      <c r="J866" s="4"/>
      <c r="K866" s="4">
        <f t="shared" si="53"/>
        <v>0</v>
      </c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">
      <c r="A867" s="1">
        <v>2883</v>
      </c>
      <c r="B867" s="13" t="s">
        <v>378</v>
      </c>
      <c r="C867" s="14" t="s">
        <v>1149</v>
      </c>
      <c r="D867" s="14" t="s">
        <v>1150</v>
      </c>
      <c r="E867" s="14" t="s">
        <v>1151</v>
      </c>
      <c r="F867" s="14" t="s">
        <v>1152</v>
      </c>
      <c r="G867" s="14" t="s">
        <v>1033</v>
      </c>
      <c r="H867" s="4"/>
      <c r="I867" s="4">
        <f t="shared" si="73"/>
        <v>0</v>
      </c>
      <c r="J867" s="4"/>
      <c r="K867" s="4">
        <f t="shared" si="53"/>
        <v>0</v>
      </c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">
      <c r="A868" s="1">
        <v>1281</v>
      </c>
      <c r="B868" s="13" t="s">
        <v>453</v>
      </c>
      <c r="C868" s="14" t="s">
        <v>1153</v>
      </c>
      <c r="D868" s="14" t="s">
        <v>1154</v>
      </c>
      <c r="E868" s="14" t="s">
        <v>1155</v>
      </c>
      <c r="F868" s="14" t="s">
        <v>1152</v>
      </c>
      <c r="G868" s="14" t="s">
        <v>1033</v>
      </c>
      <c r="H868" s="4"/>
      <c r="I868" s="4">
        <f t="shared" si="73"/>
        <v>0</v>
      </c>
      <c r="J868" s="4"/>
      <c r="K868" s="4">
        <f t="shared" si="53"/>
        <v>0</v>
      </c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">
      <c r="A869" s="1">
        <v>1785</v>
      </c>
      <c r="B869" s="13" t="s">
        <v>442</v>
      </c>
      <c r="C869" s="14" t="s">
        <v>1153</v>
      </c>
      <c r="D869" s="14" t="s">
        <v>1154</v>
      </c>
      <c r="E869" s="14" t="s">
        <v>1155</v>
      </c>
      <c r="F869" s="14" t="s">
        <v>1152</v>
      </c>
      <c r="G869" s="14" t="s">
        <v>1033</v>
      </c>
      <c r="H869" s="4"/>
      <c r="I869" s="4">
        <f t="shared" si="73"/>
        <v>0</v>
      </c>
      <c r="J869" s="4"/>
      <c r="K869" s="4">
        <f t="shared" si="53"/>
        <v>0</v>
      </c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">
      <c r="A870" s="1">
        <v>1975</v>
      </c>
      <c r="B870" s="13" t="s">
        <v>279</v>
      </c>
      <c r="C870" s="14" t="s">
        <v>1156</v>
      </c>
      <c r="D870" s="14" t="s">
        <v>1157</v>
      </c>
      <c r="E870" s="14" t="s">
        <v>1083</v>
      </c>
      <c r="F870" s="14" t="s">
        <v>1152</v>
      </c>
      <c r="G870" s="14" t="s">
        <v>1033</v>
      </c>
      <c r="H870" s="4"/>
      <c r="I870" s="4">
        <f t="shared" si="73"/>
        <v>0</v>
      </c>
      <c r="J870" s="4"/>
      <c r="K870" s="4">
        <f t="shared" si="53"/>
        <v>0</v>
      </c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">
      <c r="A871" s="1">
        <v>2861</v>
      </c>
      <c r="B871" s="13" t="s">
        <v>519</v>
      </c>
      <c r="C871" s="14" t="s">
        <v>1156</v>
      </c>
      <c r="D871" s="14" t="s">
        <v>1157</v>
      </c>
      <c r="E871" s="14" t="s">
        <v>1083</v>
      </c>
      <c r="F871" s="14" t="s">
        <v>1152</v>
      </c>
      <c r="G871" s="14" t="s">
        <v>1033</v>
      </c>
      <c r="H871" s="4"/>
      <c r="I871" s="4">
        <f t="shared" si="73"/>
        <v>0</v>
      </c>
      <c r="J871" s="4"/>
      <c r="K871" s="4">
        <f t="shared" si="53"/>
        <v>0</v>
      </c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">
      <c r="A872" s="1"/>
      <c r="B872" s="2" t="s">
        <v>94</v>
      </c>
      <c r="C872" s="3" t="s">
        <v>1158</v>
      </c>
      <c r="D872" s="3" t="s">
        <v>426</v>
      </c>
      <c r="E872" s="3" t="s">
        <v>18</v>
      </c>
      <c r="F872" s="3" t="s">
        <v>1152</v>
      </c>
      <c r="G872" s="3" t="s">
        <v>1033</v>
      </c>
      <c r="H872" s="4"/>
      <c r="I872" s="4">
        <f t="shared" ref="I872:I874" si="74">H872*1800</f>
        <v>0</v>
      </c>
      <c r="J872" s="4"/>
      <c r="K872" s="4">
        <f t="shared" si="53"/>
        <v>0</v>
      </c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">
      <c r="A873" s="1"/>
      <c r="B873" s="2" t="s">
        <v>316</v>
      </c>
      <c r="C873" s="3" t="s">
        <v>1045</v>
      </c>
      <c r="D873" s="3" t="s">
        <v>526</v>
      </c>
      <c r="E873" s="3" t="s">
        <v>371</v>
      </c>
      <c r="F873" s="3" t="s">
        <v>1152</v>
      </c>
      <c r="G873" s="3" t="s">
        <v>1033</v>
      </c>
      <c r="H873" s="4"/>
      <c r="I873" s="4">
        <f t="shared" si="74"/>
        <v>0</v>
      </c>
      <c r="J873" s="4"/>
      <c r="K873" s="4">
        <f t="shared" si="53"/>
        <v>0</v>
      </c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">
      <c r="A874" s="1"/>
      <c r="B874" s="2" t="s">
        <v>102</v>
      </c>
      <c r="C874" s="3" t="s">
        <v>1045</v>
      </c>
      <c r="D874" s="3" t="s">
        <v>526</v>
      </c>
      <c r="E874" s="3" t="s">
        <v>371</v>
      </c>
      <c r="F874" s="3" t="s">
        <v>1152</v>
      </c>
      <c r="G874" s="3" t="s">
        <v>1033</v>
      </c>
      <c r="H874" s="4"/>
      <c r="I874" s="4">
        <f t="shared" si="74"/>
        <v>0</v>
      </c>
      <c r="J874" s="4"/>
      <c r="K874" s="4">
        <f t="shared" si="53"/>
        <v>0</v>
      </c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">
      <c r="A875" s="1">
        <v>639</v>
      </c>
      <c r="B875" s="13" t="s">
        <v>248</v>
      </c>
      <c r="C875" s="14" t="s">
        <v>886</v>
      </c>
      <c r="D875" s="14" t="s">
        <v>692</v>
      </c>
      <c r="E875" s="14" t="s">
        <v>319</v>
      </c>
      <c r="F875" s="14" t="s">
        <v>1152</v>
      </c>
      <c r="G875" s="14" t="s">
        <v>1033</v>
      </c>
      <c r="H875" s="4"/>
      <c r="I875" s="4">
        <f t="shared" ref="I875:I876" si="75">H875*2300</f>
        <v>0</v>
      </c>
      <c r="J875" s="4"/>
      <c r="K875" s="4">
        <f t="shared" si="53"/>
        <v>0</v>
      </c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">
      <c r="A876" s="1">
        <v>1979</v>
      </c>
      <c r="B876" s="13" t="s">
        <v>279</v>
      </c>
      <c r="C876" s="14" t="s">
        <v>886</v>
      </c>
      <c r="D876" s="14" t="s">
        <v>692</v>
      </c>
      <c r="E876" s="14" t="s">
        <v>319</v>
      </c>
      <c r="F876" s="14" t="s">
        <v>1152</v>
      </c>
      <c r="G876" s="14" t="s">
        <v>1033</v>
      </c>
      <c r="H876" s="4"/>
      <c r="I876" s="4">
        <f t="shared" si="75"/>
        <v>0</v>
      </c>
      <c r="J876" s="4"/>
      <c r="K876" s="4">
        <f t="shared" si="53"/>
        <v>0</v>
      </c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">
      <c r="A877" s="1"/>
      <c r="B877" s="2" t="s">
        <v>117</v>
      </c>
      <c r="C877" s="3" t="s">
        <v>1159</v>
      </c>
      <c r="D877" s="3" t="s">
        <v>557</v>
      </c>
      <c r="E877" s="3" t="s">
        <v>112</v>
      </c>
      <c r="F877" s="3" t="s">
        <v>1152</v>
      </c>
      <c r="G877" s="3" t="s">
        <v>1033</v>
      </c>
      <c r="H877" s="4"/>
      <c r="I877" s="4">
        <f t="shared" ref="I877:I878" si="76">H877*1800</f>
        <v>0</v>
      </c>
      <c r="J877" s="4"/>
      <c r="K877" s="4">
        <f t="shared" si="53"/>
        <v>0</v>
      </c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">
      <c r="A878" s="1"/>
      <c r="B878" s="2" t="s">
        <v>296</v>
      </c>
      <c r="C878" s="3" t="s">
        <v>1159</v>
      </c>
      <c r="D878" s="3" t="s">
        <v>557</v>
      </c>
      <c r="E878" s="3" t="s">
        <v>112</v>
      </c>
      <c r="F878" s="3" t="s">
        <v>1152</v>
      </c>
      <c r="G878" s="3" t="s">
        <v>1033</v>
      </c>
      <c r="H878" s="4"/>
      <c r="I878" s="4">
        <f t="shared" si="76"/>
        <v>0</v>
      </c>
      <c r="J878" s="4"/>
      <c r="K878" s="4">
        <f t="shared" si="53"/>
        <v>0</v>
      </c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">
      <c r="A879" s="1">
        <v>1367</v>
      </c>
      <c r="B879" s="13" t="s">
        <v>601</v>
      </c>
      <c r="C879" s="14" t="s">
        <v>1160</v>
      </c>
      <c r="D879" s="14" t="s">
        <v>266</v>
      </c>
      <c r="E879" s="14" t="s">
        <v>1161</v>
      </c>
      <c r="F879" s="14" t="s">
        <v>1152</v>
      </c>
      <c r="G879" s="14" t="s">
        <v>1033</v>
      </c>
      <c r="H879" s="4"/>
      <c r="I879" s="4">
        <f t="shared" ref="I879:I888" si="77">H879*2300</f>
        <v>0</v>
      </c>
      <c r="J879" s="4"/>
      <c r="K879" s="4">
        <f t="shared" si="53"/>
        <v>0</v>
      </c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">
      <c r="A880" s="1">
        <v>1855</v>
      </c>
      <c r="B880" s="13" t="s">
        <v>604</v>
      </c>
      <c r="C880" s="14" t="s">
        <v>1160</v>
      </c>
      <c r="D880" s="14" t="s">
        <v>266</v>
      </c>
      <c r="E880" s="14" t="s">
        <v>1161</v>
      </c>
      <c r="F880" s="14" t="s">
        <v>1152</v>
      </c>
      <c r="G880" s="14" t="s">
        <v>1033</v>
      </c>
      <c r="H880" s="4"/>
      <c r="I880" s="4">
        <f t="shared" si="77"/>
        <v>0</v>
      </c>
      <c r="J880" s="4"/>
      <c r="K880" s="4">
        <f t="shared" si="53"/>
        <v>0</v>
      </c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">
      <c r="A881" s="1">
        <v>2701</v>
      </c>
      <c r="B881" s="13" t="s">
        <v>1098</v>
      </c>
      <c r="C881" s="14" t="s">
        <v>1160</v>
      </c>
      <c r="D881" s="14" t="s">
        <v>266</v>
      </c>
      <c r="E881" s="14" t="s">
        <v>1161</v>
      </c>
      <c r="F881" s="14" t="s">
        <v>1152</v>
      </c>
      <c r="G881" s="14" t="s">
        <v>1033</v>
      </c>
      <c r="H881" s="4"/>
      <c r="I881" s="4">
        <f t="shared" si="77"/>
        <v>0</v>
      </c>
      <c r="J881" s="4"/>
      <c r="K881" s="4">
        <f t="shared" si="53"/>
        <v>0</v>
      </c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">
      <c r="A882" s="1">
        <v>353</v>
      </c>
      <c r="B882" s="13" t="s">
        <v>1162</v>
      </c>
      <c r="C882" s="14" t="s">
        <v>1163</v>
      </c>
      <c r="D882" s="14" t="s">
        <v>86</v>
      </c>
      <c r="E882" s="14" t="s">
        <v>87</v>
      </c>
      <c r="F882" s="14" t="s">
        <v>1152</v>
      </c>
      <c r="G882" s="14" t="s">
        <v>1033</v>
      </c>
      <c r="H882" s="4"/>
      <c r="I882" s="4">
        <f t="shared" si="77"/>
        <v>0</v>
      </c>
      <c r="J882" s="4"/>
      <c r="K882" s="4">
        <f t="shared" si="53"/>
        <v>0</v>
      </c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">
      <c r="A883" s="1">
        <v>1303</v>
      </c>
      <c r="B883" s="13" t="s">
        <v>936</v>
      </c>
      <c r="C883" s="14" t="s">
        <v>1163</v>
      </c>
      <c r="D883" s="14" t="s">
        <v>116</v>
      </c>
      <c r="E883" s="14" t="s">
        <v>87</v>
      </c>
      <c r="F883" s="14" t="s">
        <v>1152</v>
      </c>
      <c r="G883" s="14" t="s">
        <v>1033</v>
      </c>
      <c r="H883" s="4"/>
      <c r="I883" s="4">
        <f t="shared" si="77"/>
        <v>0</v>
      </c>
      <c r="J883" s="4"/>
      <c r="K883" s="4">
        <f t="shared" si="53"/>
        <v>0</v>
      </c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">
      <c r="A884" s="1">
        <v>1773</v>
      </c>
      <c r="B884" s="13" t="s">
        <v>442</v>
      </c>
      <c r="C884" s="14" t="s">
        <v>1163</v>
      </c>
      <c r="D884" s="14" t="s">
        <v>116</v>
      </c>
      <c r="E884" s="14" t="s">
        <v>87</v>
      </c>
      <c r="F884" s="14" t="s">
        <v>1152</v>
      </c>
      <c r="G884" s="14" t="s">
        <v>1033</v>
      </c>
      <c r="H884" s="4"/>
      <c r="I884" s="4">
        <f t="shared" si="77"/>
        <v>0</v>
      </c>
      <c r="J884" s="4"/>
      <c r="K884" s="4">
        <f t="shared" si="53"/>
        <v>0</v>
      </c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">
      <c r="A885" s="1">
        <v>1263</v>
      </c>
      <c r="B885" s="13" t="s">
        <v>453</v>
      </c>
      <c r="C885" s="14" t="s">
        <v>1164</v>
      </c>
      <c r="D885" s="14" t="s">
        <v>266</v>
      </c>
      <c r="E885" s="14" t="s">
        <v>129</v>
      </c>
      <c r="F885" s="14" t="s">
        <v>1152</v>
      </c>
      <c r="G885" s="14" t="s">
        <v>1033</v>
      </c>
      <c r="H885" s="4"/>
      <c r="I885" s="4">
        <f t="shared" si="77"/>
        <v>0</v>
      </c>
      <c r="J885" s="4"/>
      <c r="K885" s="4">
        <f t="shared" si="53"/>
        <v>0</v>
      </c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">
      <c r="A886" s="1">
        <v>2915</v>
      </c>
      <c r="B886" s="13" t="s">
        <v>722</v>
      </c>
      <c r="C886" s="14" t="s">
        <v>1164</v>
      </c>
      <c r="D886" s="14" t="s">
        <v>266</v>
      </c>
      <c r="E886" s="14" t="s">
        <v>129</v>
      </c>
      <c r="F886" s="14" t="s">
        <v>1152</v>
      </c>
      <c r="G886" s="14" t="s">
        <v>1033</v>
      </c>
      <c r="H886" s="4"/>
      <c r="I886" s="4">
        <f t="shared" si="77"/>
        <v>0</v>
      </c>
      <c r="J886" s="4"/>
      <c r="K886" s="4">
        <f t="shared" si="53"/>
        <v>0</v>
      </c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">
      <c r="A887" s="1">
        <v>1649</v>
      </c>
      <c r="B887" s="13" t="s">
        <v>267</v>
      </c>
      <c r="C887" s="14" t="s">
        <v>1165</v>
      </c>
      <c r="D887" s="14" t="s">
        <v>407</v>
      </c>
      <c r="E887" s="14" t="s">
        <v>32</v>
      </c>
      <c r="F887" s="14" t="s">
        <v>1152</v>
      </c>
      <c r="G887" s="14" t="s">
        <v>1033</v>
      </c>
      <c r="H887" s="4"/>
      <c r="I887" s="4">
        <f t="shared" si="77"/>
        <v>0</v>
      </c>
      <c r="J887" s="4"/>
      <c r="K887" s="4">
        <f t="shared" si="53"/>
        <v>0</v>
      </c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">
      <c r="A888" s="1">
        <v>2229</v>
      </c>
      <c r="B888" s="13" t="s">
        <v>282</v>
      </c>
      <c r="C888" s="14" t="s">
        <v>1165</v>
      </c>
      <c r="D888" s="14" t="s">
        <v>407</v>
      </c>
      <c r="E888" s="14" t="s">
        <v>32</v>
      </c>
      <c r="F888" s="14" t="s">
        <v>1152</v>
      </c>
      <c r="G888" s="14" t="s">
        <v>1033</v>
      </c>
      <c r="H888" s="4"/>
      <c r="I888" s="4">
        <f t="shared" si="77"/>
        <v>0</v>
      </c>
      <c r="J888" s="4"/>
      <c r="K888" s="4">
        <f t="shared" si="53"/>
        <v>0</v>
      </c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">
      <c r="A889" s="1"/>
      <c r="B889" s="2" t="s">
        <v>234</v>
      </c>
      <c r="C889" s="3" t="s">
        <v>1166</v>
      </c>
      <c r="D889" s="3" t="s">
        <v>383</v>
      </c>
      <c r="E889" s="3" t="s">
        <v>337</v>
      </c>
      <c r="F889" s="3" t="s">
        <v>1152</v>
      </c>
      <c r="G889" s="3" t="s">
        <v>1033</v>
      </c>
      <c r="H889" s="4"/>
      <c r="I889" s="4">
        <f t="shared" ref="I889:I894" si="78">H889*1800</f>
        <v>0</v>
      </c>
      <c r="J889" s="4"/>
      <c r="K889" s="4">
        <f t="shared" si="53"/>
        <v>0</v>
      </c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">
      <c r="A890" s="1"/>
      <c r="B890" s="2" t="s">
        <v>238</v>
      </c>
      <c r="C890" s="3" t="s">
        <v>1166</v>
      </c>
      <c r="D890" s="3" t="s">
        <v>383</v>
      </c>
      <c r="E890" s="3" t="s">
        <v>337</v>
      </c>
      <c r="F890" s="3" t="s">
        <v>1152</v>
      </c>
      <c r="G890" s="3" t="s">
        <v>1033</v>
      </c>
      <c r="H890" s="4"/>
      <c r="I890" s="4">
        <f t="shared" si="78"/>
        <v>0</v>
      </c>
      <c r="J890" s="4"/>
      <c r="K890" s="4">
        <f t="shared" si="53"/>
        <v>0</v>
      </c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">
      <c r="A891" s="1"/>
      <c r="B891" s="2" t="s">
        <v>297</v>
      </c>
      <c r="C891" s="3" t="s">
        <v>1167</v>
      </c>
      <c r="D891" s="3" t="s">
        <v>58</v>
      </c>
      <c r="E891" s="3" t="s">
        <v>40</v>
      </c>
      <c r="F891" s="3" t="s">
        <v>1152</v>
      </c>
      <c r="G891" s="3" t="s">
        <v>1033</v>
      </c>
      <c r="H891" s="4"/>
      <c r="I891" s="4">
        <f t="shared" si="78"/>
        <v>0</v>
      </c>
      <c r="J891" s="4"/>
      <c r="K891" s="4">
        <f t="shared" si="53"/>
        <v>0</v>
      </c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">
      <c r="A892" s="1"/>
      <c r="B892" s="2" t="s">
        <v>300</v>
      </c>
      <c r="C892" s="3" t="s">
        <v>1167</v>
      </c>
      <c r="D892" s="3" t="s">
        <v>58</v>
      </c>
      <c r="E892" s="3" t="s">
        <v>40</v>
      </c>
      <c r="F892" s="3" t="s">
        <v>1152</v>
      </c>
      <c r="G892" s="3" t="s">
        <v>1033</v>
      </c>
      <c r="H892" s="4"/>
      <c r="I892" s="4">
        <f t="shared" si="78"/>
        <v>0</v>
      </c>
      <c r="J892" s="4"/>
      <c r="K892" s="4">
        <f t="shared" si="53"/>
        <v>0</v>
      </c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">
      <c r="A893" s="1"/>
      <c r="B893" s="2" t="s">
        <v>315</v>
      </c>
      <c r="C893" s="3" t="s">
        <v>1168</v>
      </c>
      <c r="D893" s="3" t="s">
        <v>183</v>
      </c>
      <c r="E893" s="3" t="s">
        <v>1169</v>
      </c>
      <c r="F893" s="3" t="s">
        <v>1152</v>
      </c>
      <c r="G893" s="3" t="s">
        <v>1033</v>
      </c>
      <c r="H893" s="4"/>
      <c r="I893" s="4">
        <f t="shared" si="78"/>
        <v>0</v>
      </c>
      <c r="J893" s="4"/>
      <c r="K893" s="4">
        <f t="shared" si="53"/>
        <v>0</v>
      </c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">
      <c r="A894" s="1"/>
      <c r="B894" s="2" t="s">
        <v>323</v>
      </c>
      <c r="C894" s="3" t="s">
        <v>1168</v>
      </c>
      <c r="D894" s="3" t="s">
        <v>183</v>
      </c>
      <c r="E894" s="3" t="s">
        <v>1169</v>
      </c>
      <c r="F894" s="3" t="s">
        <v>1152</v>
      </c>
      <c r="G894" s="3" t="s">
        <v>1033</v>
      </c>
      <c r="H894" s="4"/>
      <c r="I894" s="4">
        <f t="shared" si="78"/>
        <v>0</v>
      </c>
      <c r="J894" s="4"/>
      <c r="K894" s="4">
        <f t="shared" si="53"/>
        <v>0</v>
      </c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">
      <c r="A895" s="1">
        <v>605</v>
      </c>
      <c r="B895" s="13" t="s">
        <v>428</v>
      </c>
      <c r="C895" s="14" t="s">
        <v>1170</v>
      </c>
      <c r="D895" s="14" t="s">
        <v>1171</v>
      </c>
      <c r="E895" s="14" t="s">
        <v>1172</v>
      </c>
      <c r="F895" s="14" t="s">
        <v>1152</v>
      </c>
      <c r="G895" s="14" t="s">
        <v>1033</v>
      </c>
      <c r="H895" s="4"/>
      <c r="I895" s="4">
        <f t="shared" ref="I895:I906" si="79">H895*2300</f>
        <v>0</v>
      </c>
      <c r="J895" s="4"/>
      <c r="K895" s="4">
        <f t="shared" si="53"/>
        <v>0</v>
      </c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">
      <c r="A896" s="1">
        <v>1973</v>
      </c>
      <c r="B896" s="13" t="s">
        <v>279</v>
      </c>
      <c r="C896" s="14" t="s">
        <v>1170</v>
      </c>
      <c r="D896" s="14" t="s">
        <v>1171</v>
      </c>
      <c r="E896" s="14" t="s">
        <v>1172</v>
      </c>
      <c r="F896" s="14" t="s">
        <v>1152</v>
      </c>
      <c r="G896" s="14" t="s">
        <v>1033</v>
      </c>
      <c r="H896" s="4"/>
      <c r="I896" s="4">
        <f t="shared" si="79"/>
        <v>0</v>
      </c>
      <c r="J896" s="4"/>
      <c r="K896" s="4">
        <f t="shared" si="53"/>
        <v>0</v>
      </c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">
      <c r="A897" s="1">
        <v>2859</v>
      </c>
      <c r="B897" s="13" t="s">
        <v>519</v>
      </c>
      <c r="C897" s="14" t="s">
        <v>1170</v>
      </c>
      <c r="D897" s="14" t="s">
        <v>1171</v>
      </c>
      <c r="E897" s="14" t="s">
        <v>1172</v>
      </c>
      <c r="F897" s="14" t="s">
        <v>1152</v>
      </c>
      <c r="G897" s="14" t="s">
        <v>1033</v>
      </c>
      <c r="H897" s="4"/>
      <c r="I897" s="4">
        <f t="shared" si="79"/>
        <v>0</v>
      </c>
      <c r="J897" s="4"/>
      <c r="K897" s="4">
        <f t="shared" si="53"/>
        <v>0</v>
      </c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">
      <c r="A898" s="1">
        <v>607</v>
      </c>
      <c r="B898" s="13" t="s">
        <v>428</v>
      </c>
      <c r="C898" s="14" t="s">
        <v>1173</v>
      </c>
      <c r="D898" s="14" t="s">
        <v>1174</v>
      </c>
      <c r="E898" s="14" t="s">
        <v>596</v>
      </c>
      <c r="F898" s="14" t="s">
        <v>1152</v>
      </c>
      <c r="G898" s="14" t="s">
        <v>1033</v>
      </c>
      <c r="H898" s="4"/>
      <c r="I898" s="4">
        <f t="shared" si="79"/>
        <v>0</v>
      </c>
      <c r="J898" s="4"/>
      <c r="K898" s="4">
        <f t="shared" si="53"/>
        <v>0</v>
      </c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">
      <c r="A899" s="1">
        <v>635</v>
      </c>
      <c r="B899" s="13" t="s">
        <v>248</v>
      </c>
      <c r="C899" s="14" t="s">
        <v>1173</v>
      </c>
      <c r="D899" s="14" t="s">
        <v>1174</v>
      </c>
      <c r="E899" s="14" t="s">
        <v>596</v>
      </c>
      <c r="F899" s="14" t="s">
        <v>1152</v>
      </c>
      <c r="G899" s="14" t="s">
        <v>1033</v>
      </c>
      <c r="H899" s="4"/>
      <c r="I899" s="4">
        <f t="shared" si="79"/>
        <v>0</v>
      </c>
      <c r="J899" s="4"/>
      <c r="K899" s="4">
        <f t="shared" si="53"/>
        <v>0</v>
      </c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">
      <c r="A900" s="1">
        <v>1579</v>
      </c>
      <c r="B900" s="13" t="s">
        <v>585</v>
      </c>
      <c r="C900" s="14" t="s">
        <v>1173</v>
      </c>
      <c r="D900" s="14" t="s">
        <v>1174</v>
      </c>
      <c r="E900" s="14" t="s">
        <v>596</v>
      </c>
      <c r="F900" s="14" t="s">
        <v>1152</v>
      </c>
      <c r="G900" s="14" t="s">
        <v>1033</v>
      </c>
      <c r="H900" s="4"/>
      <c r="I900" s="4">
        <f t="shared" si="79"/>
        <v>0</v>
      </c>
      <c r="J900" s="4"/>
      <c r="K900" s="4">
        <f t="shared" si="53"/>
        <v>0</v>
      </c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">
      <c r="A901" s="1">
        <v>1341</v>
      </c>
      <c r="B901" s="13" t="s">
        <v>260</v>
      </c>
      <c r="C901" s="14" t="s">
        <v>854</v>
      </c>
      <c r="D901" s="14" t="s">
        <v>21</v>
      </c>
      <c r="E901" s="14" t="s">
        <v>79</v>
      </c>
      <c r="F901" s="14" t="s">
        <v>1152</v>
      </c>
      <c r="G901" s="14" t="s">
        <v>1033</v>
      </c>
      <c r="H901" s="4"/>
      <c r="I901" s="4">
        <f t="shared" si="79"/>
        <v>0</v>
      </c>
      <c r="J901" s="4"/>
      <c r="K901" s="4">
        <f t="shared" si="53"/>
        <v>0</v>
      </c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">
      <c r="A902" s="1">
        <v>1813</v>
      </c>
      <c r="B902" s="13" t="s">
        <v>276</v>
      </c>
      <c r="C902" s="14" t="s">
        <v>854</v>
      </c>
      <c r="D902" s="14" t="s">
        <v>21</v>
      </c>
      <c r="E902" s="14" t="s">
        <v>79</v>
      </c>
      <c r="F902" s="14" t="s">
        <v>1152</v>
      </c>
      <c r="G902" s="14" t="s">
        <v>1033</v>
      </c>
      <c r="H902" s="4"/>
      <c r="I902" s="4">
        <f t="shared" si="79"/>
        <v>0</v>
      </c>
      <c r="J902" s="4"/>
      <c r="K902" s="4">
        <f t="shared" si="53"/>
        <v>0</v>
      </c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">
      <c r="A903" s="1">
        <v>673</v>
      </c>
      <c r="B903" s="13" t="s">
        <v>252</v>
      </c>
      <c r="C903" s="14" t="s">
        <v>1175</v>
      </c>
      <c r="D903" s="14" t="s">
        <v>484</v>
      </c>
      <c r="E903" s="14" t="s">
        <v>348</v>
      </c>
      <c r="F903" s="14" t="s">
        <v>1152</v>
      </c>
      <c r="G903" s="14" t="s">
        <v>1033</v>
      </c>
      <c r="H903" s="4"/>
      <c r="I903" s="4">
        <f t="shared" si="79"/>
        <v>0</v>
      </c>
      <c r="J903" s="4"/>
      <c r="K903" s="4">
        <f t="shared" si="53"/>
        <v>0</v>
      </c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">
      <c r="A904" s="1">
        <v>1509</v>
      </c>
      <c r="B904" s="13" t="s">
        <v>262</v>
      </c>
      <c r="C904" s="14" t="s">
        <v>1175</v>
      </c>
      <c r="D904" s="14" t="s">
        <v>484</v>
      </c>
      <c r="E904" s="14" t="s">
        <v>348</v>
      </c>
      <c r="F904" s="14" t="s">
        <v>1152</v>
      </c>
      <c r="G904" s="14" t="s">
        <v>1033</v>
      </c>
      <c r="H904" s="4"/>
      <c r="I904" s="4">
        <f t="shared" si="79"/>
        <v>0</v>
      </c>
      <c r="J904" s="4"/>
      <c r="K904" s="4">
        <f t="shared" si="53"/>
        <v>0</v>
      </c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">
      <c r="A905" s="1">
        <v>2721</v>
      </c>
      <c r="B905" s="13" t="s">
        <v>703</v>
      </c>
      <c r="C905" s="14" t="s">
        <v>1175</v>
      </c>
      <c r="D905" s="14" t="s">
        <v>484</v>
      </c>
      <c r="E905" s="14" t="s">
        <v>348</v>
      </c>
      <c r="F905" s="14" t="s">
        <v>1152</v>
      </c>
      <c r="G905" s="14" t="s">
        <v>1033</v>
      </c>
      <c r="H905" s="4"/>
      <c r="I905" s="4">
        <f t="shared" si="79"/>
        <v>0</v>
      </c>
      <c r="J905" s="4"/>
      <c r="K905" s="4">
        <f t="shared" si="53"/>
        <v>0</v>
      </c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">
      <c r="A906" s="1">
        <v>539</v>
      </c>
      <c r="B906" s="13" t="s">
        <v>678</v>
      </c>
      <c r="C906" s="14" t="s">
        <v>1176</v>
      </c>
      <c r="D906" s="14" t="s">
        <v>295</v>
      </c>
      <c r="E906" s="14" t="s">
        <v>374</v>
      </c>
      <c r="F906" s="14" t="s">
        <v>1152</v>
      </c>
      <c r="G906" s="14" t="s">
        <v>1033</v>
      </c>
      <c r="H906" s="4"/>
      <c r="I906" s="4">
        <f t="shared" si="79"/>
        <v>0</v>
      </c>
      <c r="J906" s="4"/>
      <c r="K906" s="4">
        <f t="shared" si="53"/>
        <v>0</v>
      </c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">
      <c r="A907" s="1"/>
      <c r="B907" s="2" t="s">
        <v>323</v>
      </c>
      <c r="C907" s="3" t="s">
        <v>1177</v>
      </c>
      <c r="D907" s="3" t="s">
        <v>1178</v>
      </c>
      <c r="E907" s="3" t="s">
        <v>1179</v>
      </c>
      <c r="F907" s="3" t="s">
        <v>1152</v>
      </c>
      <c r="G907" s="3" t="s">
        <v>1033</v>
      </c>
      <c r="H907" s="4"/>
      <c r="I907" s="4">
        <f t="shared" ref="I907:I916" si="80">H907*1800</f>
        <v>0</v>
      </c>
      <c r="J907" s="4"/>
      <c r="K907" s="4">
        <f t="shared" si="53"/>
        <v>0</v>
      </c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">
      <c r="A908" s="1"/>
      <c r="B908" s="2" t="s">
        <v>303</v>
      </c>
      <c r="C908" s="3" t="s">
        <v>1177</v>
      </c>
      <c r="D908" s="3" t="s">
        <v>1178</v>
      </c>
      <c r="E908" s="3" t="s">
        <v>1179</v>
      </c>
      <c r="F908" s="3" t="s">
        <v>1152</v>
      </c>
      <c r="G908" s="3" t="s">
        <v>1033</v>
      </c>
      <c r="H908" s="4"/>
      <c r="I908" s="4">
        <f t="shared" si="80"/>
        <v>0</v>
      </c>
      <c r="J908" s="4"/>
      <c r="K908" s="4">
        <f t="shared" si="53"/>
        <v>0</v>
      </c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">
      <c r="A909" s="1"/>
      <c r="B909" s="2" t="s">
        <v>94</v>
      </c>
      <c r="C909" s="3" t="s">
        <v>1177</v>
      </c>
      <c r="D909" s="3" t="s">
        <v>1178</v>
      </c>
      <c r="E909" s="3" t="s">
        <v>1179</v>
      </c>
      <c r="F909" s="3" t="s">
        <v>1152</v>
      </c>
      <c r="G909" s="3" t="s">
        <v>1033</v>
      </c>
      <c r="H909" s="4"/>
      <c r="I909" s="4">
        <f t="shared" si="80"/>
        <v>0</v>
      </c>
      <c r="J909" s="4"/>
      <c r="K909" s="4">
        <f t="shared" si="53"/>
        <v>0</v>
      </c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">
      <c r="A910" s="1"/>
      <c r="B910" s="2" t="s">
        <v>297</v>
      </c>
      <c r="C910" s="3" t="s">
        <v>1180</v>
      </c>
      <c r="D910" s="3" t="s">
        <v>506</v>
      </c>
      <c r="E910" s="3" t="s">
        <v>630</v>
      </c>
      <c r="F910" s="3" t="s">
        <v>1152</v>
      </c>
      <c r="G910" s="3" t="s">
        <v>1033</v>
      </c>
      <c r="H910" s="4"/>
      <c r="I910" s="4">
        <f t="shared" si="80"/>
        <v>0</v>
      </c>
      <c r="J910" s="4"/>
      <c r="K910" s="4">
        <f t="shared" si="53"/>
        <v>0</v>
      </c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">
      <c r="A911" s="1"/>
      <c r="B911" s="2" t="s">
        <v>300</v>
      </c>
      <c r="C911" s="3" t="s">
        <v>1180</v>
      </c>
      <c r="D911" s="3" t="s">
        <v>506</v>
      </c>
      <c r="E911" s="3" t="s">
        <v>630</v>
      </c>
      <c r="F911" s="3" t="s">
        <v>1152</v>
      </c>
      <c r="G911" s="3" t="s">
        <v>1033</v>
      </c>
      <c r="H911" s="4"/>
      <c r="I911" s="4">
        <f t="shared" si="80"/>
        <v>0</v>
      </c>
      <c r="J911" s="4"/>
      <c r="K911" s="4">
        <f t="shared" si="53"/>
        <v>0</v>
      </c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">
      <c r="A912" s="1"/>
      <c r="B912" s="2" t="s">
        <v>102</v>
      </c>
      <c r="C912" s="3" t="s">
        <v>1181</v>
      </c>
      <c r="D912" s="3" t="s">
        <v>388</v>
      </c>
      <c r="E912" s="3" t="s">
        <v>319</v>
      </c>
      <c r="F912" s="3" t="s">
        <v>1152</v>
      </c>
      <c r="G912" s="3" t="s">
        <v>1033</v>
      </c>
      <c r="H912" s="4"/>
      <c r="I912" s="4">
        <f t="shared" si="80"/>
        <v>0</v>
      </c>
      <c r="J912" s="4"/>
      <c r="K912" s="4">
        <f t="shared" si="53"/>
        <v>0</v>
      </c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">
      <c r="A913" s="1"/>
      <c r="B913" s="2" t="s">
        <v>303</v>
      </c>
      <c r="C913" s="3" t="s">
        <v>1181</v>
      </c>
      <c r="D913" s="3" t="s">
        <v>388</v>
      </c>
      <c r="E913" s="3" t="s">
        <v>319</v>
      </c>
      <c r="F913" s="3" t="s">
        <v>1152</v>
      </c>
      <c r="G913" s="3" t="s">
        <v>1033</v>
      </c>
      <c r="H913" s="4"/>
      <c r="I913" s="4">
        <f t="shared" si="80"/>
        <v>0</v>
      </c>
      <c r="J913" s="4"/>
      <c r="K913" s="4">
        <f t="shared" si="53"/>
        <v>0</v>
      </c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">
      <c r="A914" s="1"/>
      <c r="B914" s="2" t="s">
        <v>94</v>
      </c>
      <c r="C914" s="3" t="s">
        <v>1181</v>
      </c>
      <c r="D914" s="3" t="s">
        <v>388</v>
      </c>
      <c r="E914" s="3" t="s">
        <v>319</v>
      </c>
      <c r="F914" s="3" t="s">
        <v>1152</v>
      </c>
      <c r="G914" s="3" t="s">
        <v>1033</v>
      </c>
      <c r="H914" s="4"/>
      <c r="I914" s="4">
        <f t="shared" si="80"/>
        <v>0</v>
      </c>
      <c r="J914" s="4"/>
      <c r="K914" s="4">
        <f t="shared" si="53"/>
        <v>0</v>
      </c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">
      <c r="A915" s="1"/>
      <c r="B915" s="2" t="s">
        <v>109</v>
      </c>
      <c r="C915" s="3" t="s">
        <v>1182</v>
      </c>
      <c r="D915" s="3" t="s">
        <v>120</v>
      </c>
      <c r="E915" s="3" t="s">
        <v>112</v>
      </c>
      <c r="F915" s="3" t="s">
        <v>1183</v>
      </c>
      <c r="G915" s="3" t="s">
        <v>1033</v>
      </c>
      <c r="H915" s="4"/>
      <c r="I915" s="4">
        <f t="shared" si="80"/>
        <v>0</v>
      </c>
      <c r="J915" s="4"/>
      <c r="K915" s="4">
        <f t="shared" si="53"/>
        <v>0</v>
      </c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">
      <c r="A916" s="1"/>
      <c r="B916" s="2" t="s">
        <v>26</v>
      </c>
      <c r="C916" s="3" t="s">
        <v>1184</v>
      </c>
      <c r="D916" s="3" t="s">
        <v>116</v>
      </c>
      <c r="E916" s="3" t="s">
        <v>310</v>
      </c>
      <c r="F916" s="3" t="s">
        <v>1183</v>
      </c>
      <c r="G916" s="3" t="s">
        <v>1033</v>
      </c>
      <c r="H916" s="4"/>
      <c r="I916" s="4">
        <f t="shared" si="80"/>
        <v>0</v>
      </c>
      <c r="J916" s="4"/>
      <c r="K916" s="4">
        <f t="shared" si="53"/>
        <v>0</v>
      </c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">
      <c r="A917" s="1">
        <v>63</v>
      </c>
      <c r="B917" s="13" t="s">
        <v>226</v>
      </c>
      <c r="C917" s="14" t="s">
        <v>1185</v>
      </c>
      <c r="D917" s="14" t="s">
        <v>78</v>
      </c>
      <c r="E917" s="14" t="s">
        <v>393</v>
      </c>
      <c r="F917" s="14" t="s">
        <v>1186</v>
      </c>
      <c r="G917" s="14" t="s">
        <v>1033</v>
      </c>
      <c r="H917" s="4"/>
      <c r="I917" s="4">
        <f>H917*2300</f>
        <v>0</v>
      </c>
      <c r="J917" s="4"/>
      <c r="K917" s="4">
        <f t="shared" si="53"/>
        <v>0</v>
      </c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">
      <c r="A918" s="1"/>
      <c r="B918" s="2" t="s">
        <v>421</v>
      </c>
      <c r="C918" s="3" t="s">
        <v>1185</v>
      </c>
      <c r="D918" s="3" t="s">
        <v>78</v>
      </c>
      <c r="E918" s="3" t="s">
        <v>393</v>
      </c>
      <c r="F918" s="3" t="s">
        <v>1186</v>
      </c>
      <c r="G918" s="3" t="s">
        <v>1033</v>
      </c>
      <c r="H918" s="4"/>
      <c r="I918" s="4">
        <f t="shared" ref="I918:I920" si="81">H918*1800</f>
        <v>0</v>
      </c>
      <c r="J918" s="4"/>
      <c r="K918" s="4">
        <f t="shared" si="53"/>
        <v>0</v>
      </c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">
      <c r="A919" s="1"/>
      <c r="B919" s="2" t="s">
        <v>303</v>
      </c>
      <c r="C919" s="3" t="s">
        <v>1185</v>
      </c>
      <c r="D919" s="3" t="s">
        <v>78</v>
      </c>
      <c r="E919" s="3" t="s">
        <v>393</v>
      </c>
      <c r="F919" s="3" t="s">
        <v>1186</v>
      </c>
      <c r="G919" s="3" t="s">
        <v>1033</v>
      </c>
      <c r="H919" s="4"/>
      <c r="I919" s="4">
        <f t="shared" si="81"/>
        <v>0</v>
      </c>
      <c r="J919" s="4"/>
      <c r="K919" s="4">
        <f t="shared" si="53"/>
        <v>0</v>
      </c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">
      <c r="A920" s="1"/>
      <c r="B920" s="2" t="s">
        <v>94</v>
      </c>
      <c r="C920" s="3" t="s">
        <v>1185</v>
      </c>
      <c r="D920" s="3" t="s">
        <v>78</v>
      </c>
      <c r="E920" s="3" t="s">
        <v>393</v>
      </c>
      <c r="F920" s="3" t="s">
        <v>1186</v>
      </c>
      <c r="G920" s="3" t="s">
        <v>1033</v>
      </c>
      <c r="H920" s="4"/>
      <c r="I920" s="4">
        <f t="shared" si="81"/>
        <v>0</v>
      </c>
      <c r="J920" s="4"/>
      <c r="K920" s="4">
        <f t="shared" si="53"/>
        <v>0</v>
      </c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">
      <c r="A921" s="1">
        <v>85</v>
      </c>
      <c r="B921" s="13" t="s">
        <v>707</v>
      </c>
      <c r="C921" s="14" t="s">
        <v>1187</v>
      </c>
      <c r="D921" s="14" t="s">
        <v>73</v>
      </c>
      <c r="E921" s="14" t="s">
        <v>40</v>
      </c>
      <c r="F921" s="14" t="s">
        <v>1188</v>
      </c>
      <c r="G921" s="14" t="s">
        <v>1033</v>
      </c>
      <c r="H921" s="4"/>
      <c r="I921" s="4">
        <f t="shared" ref="I921:I923" si="82">H921*2300</f>
        <v>0</v>
      </c>
      <c r="J921" s="4"/>
      <c r="K921" s="4">
        <f t="shared" si="53"/>
        <v>0</v>
      </c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">
      <c r="A922" s="1">
        <v>129</v>
      </c>
      <c r="B922" s="13" t="s">
        <v>504</v>
      </c>
      <c r="C922" s="14" t="s">
        <v>1187</v>
      </c>
      <c r="D922" s="14" t="s">
        <v>73</v>
      </c>
      <c r="E922" s="14" t="s">
        <v>40</v>
      </c>
      <c r="F922" s="14" t="s">
        <v>1188</v>
      </c>
      <c r="G922" s="14" t="s">
        <v>1033</v>
      </c>
      <c r="H922" s="4"/>
      <c r="I922" s="4">
        <f t="shared" si="82"/>
        <v>0</v>
      </c>
      <c r="J922" s="4"/>
      <c r="K922" s="4">
        <f t="shared" si="53"/>
        <v>0</v>
      </c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">
      <c r="A923" s="1">
        <v>2629</v>
      </c>
      <c r="B923" s="13" t="s">
        <v>702</v>
      </c>
      <c r="C923" s="14" t="s">
        <v>1187</v>
      </c>
      <c r="D923" s="14" t="s">
        <v>73</v>
      </c>
      <c r="E923" s="14" t="s">
        <v>40</v>
      </c>
      <c r="F923" s="14" t="s">
        <v>1188</v>
      </c>
      <c r="G923" s="14" t="s">
        <v>1033</v>
      </c>
      <c r="H923" s="4"/>
      <c r="I923" s="4">
        <f t="shared" si="82"/>
        <v>0</v>
      </c>
      <c r="J923" s="4"/>
      <c r="K923" s="4">
        <f t="shared" si="53"/>
        <v>0</v>
      </c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">
      <c r="A924" s="1">
        <v>627</v>
      </c>
      <c r="B924" s="13" t="s">
        <v>248</v>
      </c>
      <c r="C924" s="14" t="s">
        <v>1189</v>
      </c>
      <c r="D924" s="14" t="s">
        <v>526</v>
      </c>
      <c r="E924" s="14" t="s">
        <v>1190</v>
      </c>
      <c r="F924" s="14" t="s">
        <v>1188</v>
      </c>
      <c r="G924" s="14" t="s">
        <v>1033</v>
      </c>
      <c r="H924" s="4"/>
      <c r="I924" s="4">
        <f t="shared" ref="I924:I927" si="83">H924*1800</f>
        <v>0</v>
      </c>
      <c r="J924" s="4"/>
      <c r="K924" s="4">
        <f t="shared" si="53"/>
        <v>0</v>
      </c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">
      <c r="A925" s="1">
        <v>665</v>
      </c>
      <c r="B925" s="13" t="s">
        <v>252</v>
      </c>
      <c r="C925" s="14" t="s">
        <v>1189</v>
      </c>
      <c r="D925" s="14" t="s">
        <v>526</v>
      </c>
      <c r="E925" s="14" t="s">
        <v>1190</v>
      </c>
      <c r="F925" s="14" t="s">
        <v>1188</v>
      </c>
      <c r="G925" s="14" t="s">
        <v>1033</v>
      </c>
      <c r="H925" s="4"/>
      <c r="I925" s="4">
        <f t="shared" si="83"/>
        <v>0</v>
      </c>
      <c r="J925" s="4"/>
      <c r="K925" s="4">
        <f t="shared" si="53"/>
        <v>0</v>
      </c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">
      <c r="A926" s="1">
        <v>807</v>
      </c>
      <c r="B926" s="13" t="s">
        <v>1103</v>
      </c>
      <c r="C926" s="14" t="s">
        <v>1189</v>
      </c>
      <c r="D926" s="14" t="s">
        <v>526</v>
      </c>
      <c r="E926" s="14" t="s">
        <v>1190</v>
      </c>
      <c r="F926" s="14" t="s">
        <v>1188</v>
      </c>
      <c r="G926" s="14" t="s">
        <v>1033</v>
      </c>
      <c r="H926" s="4"/>
      <c r="I926" s="4">
        <f t="shared" si="83"/>
        <v>0</v>
      </c>
      <c r="J926" s="4"/>
      <c r="K926" s="4">
        <f t="shared" si="53"/>
        <v>0</v>
      </c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">
      <c r="A927" s="1">
        <v>811</v>
      </c>
      <c r="B927" s="13" t="s">
        <v>1104</v>
      </c>
      <c r="C927" s="14" t="s">
        <v>1189</v>
      </c>
      <c r="D927" s="14" t="s">
        <v>526</v>
      </c>
      <c r="E927" s="14" t="s">
        <v>1190</v>
      </c>
      <c r="F927" s="14" t="s">
        <v>1188</v>
      </c>
      <c r="G927" s="14" t="s">
        <v>1033</v>
      </c>
      <c r="H927" s="4"/>
      <c r="I927" s="4">
        <f t="shared" si="83"/>
        <v>0</v>
      </c>
      <c r="J927" s="4"/>
      <c r="K927" s="4">
        <f t="shared" si="53"/>
        <v>0</v>
      </c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">
      <c r="A928" s="1">
        <v>329</v>
      </c>
      <c r="B928" s="13" t="s">
        <v>365</v>
      </c>
      <c r="C928" s="14" t="s">
        <v>1191</v>
      </c>
      <c r="D928" s="14" t="s">
        <v>1192</v>
      </c>
      <c r="E928" s="14" t="s">
        <v>1193</v>
      </c>
      <c r="F928" s="14" t="s">
        <v>1194</v>
      </c>
      <c r="G928" s="14" t="s">
        <v>1033</v>
      </c>
      <c r="H928" s="4"/>
      <c r="I928" s="4">
        <f t="shared" ref="I928:I931" si="84">H928*2300</f>
        <v>0</v>
      </c>
      <c r="J928" s="4"/>
      <c r="K928" s="4">
        <f t="shared" si="53"/>
        <v>0</v>
      </c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">
      <c r="A929" s="1">
        <v>349</v>
      </c>
      <c r="B929" s="13" t="s">
        <v>1162</v>
      </c>
      <c r="C929" s="14" t="s">
        <v>1191</v>
      </c>
      <c r="D929" s="14" t="s">
        <v>1192</v>
      </c>
      <c r="E929" s="14" t="s">
        <v>1193</v>
      </c>
      <c r="F929" s="14" t="s">
        <v>1194</v>
      </c>
      <c r="G929" s="14" t="s">
        <v>1033</v>
      </c>
      <c r="H929" s="4"/>
      <c r="I929" s="4">
        <f t="shared" si="84"/>
        <v>0</v>
      </c>
      <c r="J929" s="4"/>
      <c r="K929" s="4">
        <f t="shared" si="53"/>
        <v>0</v>
      </c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">
      <c r="A930" s="1">
        <v>617</v>
      </c>
      <c r="B930" s="13" t="s">
        <v>428</v>
      </c>
      <c r="C930" s="14" t="s">
        <v>1195</v>
      </c>
      <c r="D930" s="14" t="s">
        <v>1196</v>
      </c>
      <c r="E930" s="14" t="s">
        <v>1197</v>
      </c>
      <c r="F930" s="14" t="s">
        <v>1194</v>
      </c>
      <c r="G930" s="14" t="s">
        <v>1033</v>
      </c>
      <c r="H930" s="4"/>
      <c r="I930" s="4">
        <f t="shared" si="84"/>
        <v>0</v>
      </c>
      <c r="J930" s="4"/>
      <c r="K930" s="4">
        <f t="shared" si="53"/>
        <v>0</v>
      </c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">
      <c r="A931" s="1">
        <v>2981</v>
      </c>
      <c r="B931" s="13" t="s">
        <v>289</v>
      </c>
      <c r="C931" s="14" t="s">
        <v>1195</v>
      </c>
      <c r="D931" s="14" t="s">
        <v>1196</v>
      </c>
      <c r="E931" s="14" t="s">
        <v>1197</v>
      </c>
      <c r="F931" s="14" t="s">
        <v>1194</v>
      </c>
      <c r="G931" s="14" t="s">
        <v>1033</v>
      </c>
      <c r="H931" s="4"/>
      <c r="I931" s="4">
        <f t="shared" si="84"/>
        <v>0</v>
      </c>
      <c r="J931" s="4"/>
      <c r="K931" s="4">
        <f t="shared" si="53"/>
        <v>0</v>
      </c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">
      <c r="A932" s="1">
        <v>615</v>
      </c>
      <c r="B932" s="13" t="s">
        <v>428</v>
      </c>
      <c r="C932" s="14" t="s">
        <v>1198</v>
      </c>
      <c r="D932" s="14" t="s">
        <v>526</v>
      </c>
      <c r="E932" s="14" t="s">
        <v>575</v>
      </c>
      <c r="F932" s="14" t="s">
        <v>1194</v>
      </c>
      <c r="G932" s="14" t="s">
        <v>1033</v>
      </c>
      <c r="H932" s="4"/>
      <c r="I932" s="4">
        <f t="shared" ref="I932:I933" si="85">H932*1800</f>
        <v>0</v>
      </c>
      <c r="J932" s="4"/>
      <c r="K932" s="4">
        <f t="shared" si="53"/>
        <v>0</v>
      </c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">
      <c r="A933" s="1">
        <v>647</v>
      </c>
      <c r="B933" s="13" t="s">
        <v>248</v>
      </c>
      <c r="C933" s="14" t="s">
        <v>1198</v>
      </c>
      <c r="D933" s="14" t="s">
        <v>526</v>
      </c>
      <c r="E933" s="14" t="s">
        <v>575</v>
      </c>
      <c r="F933" s="14" t="s">
        <v>1194</v>
      </c>
      <c r="G933" s="14" t="s">
        <v>1033</v>
      </c>
      <c r="H933" s="4"/>
      <c r="I933" s="4">
        <f t="shared" si="85"/>
        <v>0</v>
      </c>
      <c r="J933" s="4"/>
      <c r="K933" s="4">
        <f t="shared" si="53"/>
        <v>0</v>
      </c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">
      <c r="A934" s="1">
        <v>449</v>
      </c>
      <c r="B934" s="13" t="s">
        <v>674</v>
      </c>
      <c r="C934" s="14" t="s">
        <v>1199</v>
      </c>
      <c r="D934" s="14" t="s">
        <v>350</v>
      </c>
      <c r="E934" s="14" t="s">
        <v>1200</v>
      </c>
      <c r="F934" s="14" t="s">
        <v>1201</v>
      </c>
      <c r="G934" s="14" t="s">
        <v>1033</v>
      </c>
      <c r="H934" s="4">
        <v>37</v>
      </c>
      <c r="I934" s="4">
        <f t="shared" ref="I934:I941" si="86">H934*2300</f>
        <v>85100</v>
      </c>
      <c r="J934" s="4">
        <v>4</v>
      </c>
      <c r="K934" s="4">
        <f t="shared" si="53"/>
        <v>16000</v>
      </c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">
      <c r="A935" s="1">
        <v>971</v>
      </c>
      <c r="B935" s="13" t="s">
        <v>698</v>
      </c>
      <c r="C935" s="14" t="s">
        <v>1199</v>
      </c>
      <c r="D935" s="14" t="s">
        <v>350</v>
      </c>
      <c r="E935" s="14" t="s">
        <v>1200</v>
      </c>
      <c r="F935" s="14" t="s">
        <v>1201</v>
      </c>
      <c r="G935" s="14" t="s">
        <v>1033</v>
      </c>
      <c r="H935" s="4"/>
      <c r="I935" s="4">
        <f t="shared" si="86"/>
        <v>0</v>
      </c>
      <c r="J935" s="4"/>
      <c r="K935" s="4">
        <f t="shared" si="53"/>
        <v>0</v>
      </c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">
      <c r="A936" s="1">
        <v>2835</v>
      </c>
      <c r="B936" s="13" t="s">
        <v>518</v>
      </c>
      <c r="C936" s="14" t="s">
        <v>1199</v>
      </c>
      <c r="D936" s="14" t="s">
        <v>350</v>
      </c>
      <c r="E936" s="14" t="s">
        <v>1200</v>
      </c>
      <c r="F936" s="14" t="s">
        <v>1201</v>
      </c>
      <c r="G936" s="14" t="s">
        <v>1033</v>
      </c>
      <c r="H936" s="4"/>
      <c r="I936" s="4">
        <f t="shared" si="86"/>
        <v>0</v>
      </c>
      <c r="J936" s="4"/>
      <c r="K936" s="4">
        <f t="shared" si="53"/>
        <v>0</v>
      </c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">
      <c r="A937" s="1"/>
      <c r="B937" s="2" t="s">
        <v>232</v>
      </c>
      <c r="C937" s="3" t="s">
        <v>1202</v>
      </c>
      <c r="D937" s="3" t="s">
        <v>554</v>
      </c>
      <c r="E937" s="3" t="s">
        <v>187</v>
      </c>
      <c r="F937" s="3" t="s">
        <v>1201</v>
      </c>
      <c r="G937" s="3" t="s">
        <v>1033</v>
      </c>
      <c r="H937" s="4"/>
      <c r="I937" s="4">
        <f t="shared" si="86"/>
        <v>0</v>
      </c>
      <c r="J937" s="4"/>
      <c r="K937" s="4">
        <f t="shared" si="53"/>
        <v>0</v>
      </c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">
      <c r="A938" s="1"/>
      <c r="B938" s="2" t="s">
        <v>109</v>
      </c>
      <c r="C938" s="3" t="s">
        <v>1202</v>
      </c>
      <c r="D938" s="3" t="s">
        <v>554</v>
      </c>
      <c r="E938" s="3" t="s">
        <v>187</v>
      </c>
      <c r="F938" s="3" t="s">
        <v>1201</v>
      </c>
      <c r="G938" s="3" t="s">
        <v>1033</v>
      </c>
      <c r="H938" s="4"/>
      <c r="I938" s="4">
        <f t="shared" si="86"/>
        <v>0</v>
      </c>
      <c r="J938" s="4"/>
      <c r="K938" s="4">
        <f t="shared" si="53"/>
        <v>0</v>
      </c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">
      <c r="A939" s="1">
        <v>299</v>
      </c>
      <c r="B939" s="13" t="s">
        <v>951</v>
      </c>
      <c r="C939" s="14" t="s">
        <v>1203</v>
      </c>
      <c r="D939" s="14" t="s">
        <v>1204</v>
      </c>
      <c r="E939" s="14" t="s">
        <v>1205</v>
      </c>
      <c r="F939" s="14" t="s">
        <v>1206</v>
      </c>
      <c r="G939" s="14" t="s">
        <v>1207</v>
      </c>
      <c r="H939" s="4"/>
      <c r="I939" s="4">
        <f t="shared" si="86"/>
        <v>0</v>
      </c>
      <c r="J939" s="4"/>
      <c r="K939" s="4">
        <f t="shared" si="53"/>
        <v>0</v>
      </c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">
      <c r="A940" s="1">
        <v>313</v>
      </c>
      <c r="B940" s="13" t="s">
        <v>1208</v>
      </c>
      <c r="C940" s="14" t="s">
        <v>1209</v>
      </c>
      <c r="D940" s="14" t="s">
        <v>31</v>
      </c>
      <c r="E940" s="14" t="s">
        <v>273</v>
      </c>
      <c r="F940" s="14" t="s">
        <v>1206</v>
      </c>
      <c r="G940" s="14" t="s">
        <v>1207</v>
      </c>
      <c r="H940" s="4"/>
      <c r="I940" s="4">
        <f t="shared" si="86"/>
        <v>0</v>
      </c>
      <c r="J940" s="4"/>
      <c r="K940" s="4">
        <f t="shared" si="53"/>
        <v>0</v>
      </c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">
      <c r="A941" s="1">
        <v>317</v>
      </c>
      <c r="B941" s="13" t="s">
        <v>1208</v>
      </c>
      <c r="C941" s="14" t="s">
        <v>1210</v>
      </c>
      <c r="D941" s="14" t="s">
        <v>383</v>
      </c>
      <c r="E941" s="14" t="s">
        <v>876</v>
      </c>
      <c r="F941" s="14" t="s">
        <v>1206</v>
      </c>
      <c r="G941" s="14" t="s">
        <v>1207</v>
      </c>
      <c r="H941" s="4"/>
      <c r="I941" s="4">
        <f t="shared" si="86"/>
        <v>0</v>
      </c>
      <c r="J941" s="4"/>
      <c r="K941" s="4">
        <f t="shared" si="53"/>
        <v>0</v>
      </c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">
      <c r="A942" s="1"/>
      <c r="B942" s="19" t="s">
        <v>523</v>
      </c>
      <c r="C942" s="23" t="s">
        <v>858</v>
      </c>
      <c r="D942" s="23" t="s">
        <v>1211</v>
      </c>
      <c r="E942" s="3" t="s">
        <v>1212</v>
      </c>
      <c r="F942" s="23" t="s">
        <v>1206</v>
      </c>
      <c r="G942" s="23" t="s">
        <v>1207</v>
      </c>
      <c r="H942" s="4"/>
      <c r="I942" s="4">
        <f t="shared" ref="I942:I950" si="87">H942*1800</f>
        <v>0</v>
      </c>
      <c r="J942" s="4"/>
      <c r="K942" s="4">
        <f t="shared" si="53"/>
        <v>0</v>
      </c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">
      <c r="A943" s="1"/>
      <c r="B943" s="2" t="s">
        <v>523</v>
      </c>
      <c r="C943" s="3" t="s">
        <v>1213</v>
      </c>
      <c r="D943" s="3" t="s">
        <v>1214</v>
      </c>
      <c r="E943" s="3" t="s">
        <v>1215</v>
      </c>
      <c r="F943" s="3" t="s">
        <v>1206</v>
      </c>
      <c r="G943" s="3" t="s">
        <v>1207</v>
      </c>
      <c r="H943" s="4"/>
      <c r="I943" s="4">
        <f t="shared" si="87"/>
        <v>0</v>
      </c>
      <c r="J943" s="4"/>
      <c r="K943" s="4">
        <f t="shared" si="53"/>
        <v>0</v>
      </c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">
      <c r="A944" s="1"/>
      <c r="B944" s="2" t="s">
        <v>523</v>
      </c>
      <c r="C944" s="3" t="s">
        <v>1216</v>
      </c>
      <c r="D944" s="3" t="s">
        <v>35</v>
      </c>
      <c r="E944" s="3" t="s">
        <v>1217</v>
      </c>
      <c r="F944" s="3" t="s">
        <v>1206</v>
      </c>
      <c r="G944" s="3" t="s">
        <v>1207</v>
      </c>
      <c r="H944" s="4"/>
      <c r="I944" s="4">
        <f t="shared" si="87"/>
        <v>0</v>
      </c>
      <c r="J944" s="4"/>
      <c r="K944" s="4">
        <f t="shared" si="53"/>
        <v>0</v>
      </c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 x14ac:dyDescent="0.2">
      <c r="A945" s="1"/>
      <c r="B945" s="2" t="s">
        <v>807</v>
      </c>
      <c r="C945" s="3" t="s">
        <v>1218</v>
      </c>
      <c r="D945" s="3" t="s">
        <v>183</v>
      </c>
      <c r="E945" s="3" t="s">
        <v>397</v>
      </c>
      <c r="F945" s="3" t="s">
        <v>1206</v>
      </c>
      <c r="G945" s="3" t="s">
        <v>1207</v>
      </c>
      <c r="H945" s="4"/>
      <c r="I945" s="4">
        <f t="shared" si="87"/>
        <v>0</v>
      </c>
      <c r="J945" s="4"/>
      <c r="K945" s="4">
        <f t="shared" si="53"/>
        <v>0</v>
      </c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">
      <c r="A946" s="1"/>
      <c r="B946" s="2" t="s">
        <v>523</v>
      </c>
      <c r="C946" s="3" t="s">
        <v>1219</v>
      </c>
      <c r="D946" s="3" t="s">
        <v>51</v>
      </c>
      <c r="E946" s="3" t="s">
        <v>1220</v>
      </c>
      <c r="F946" s="3" t="s">
        <v>1206</v>
      </c>
      <c r="G946" s="3" t="s">
        <v>1207</v>
      </c>
      <c r="H946" s="4"/>
      <c r="I946" s="4">
        <f t="shared" si="87"/>
        <v>0</v>
      </c>
      <c r="J946" s="4"/>
      <c r="K946" s="4">
        <f t="shared" si="53"/>
        <v>0</v>
      </c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">
      <c r="A947" s="1"/>
      <c r="B947" s="2" t="s">
        <v>523</v>
      </c>
      <c r="C947" s="3" t="s">
        <v>1221</v>
      </c>
      <c r="D947" s="3" t="s">
        <v>1222</v>
      </c>
      <c r="E947" s="3" t="s">
        <v>1223</v>
      </c>
      <c r="F947" s="3" t="s">
        <v>1206</v>
      </c>
      <c r="G947" s="3" t="s">
        <v>1207</v>
      </c>
      <c r="H947" s="4"/>
      <c r="I947" s="4">
        <f t="shared" si="87"/>
        <v>0</v>
      </c>
      <c r="J947" s="4"/>
      <c r="K947" s="4">
        <f t="shared" si="53"/>
        <v>0</v>
      </c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">
      <c r="A948" s="1"/>
      <c r="B948" s="2" t="s">
        <v>807</v>
      </c>
      <c r="C948" s="3" t="s">
        <v>1224</v>
      </c>
      <c r="D948" s="3" t="s">
        <v>901</v>
      </c>
      <c r="E948" s="3" t="s">
        <v>1225</v>
      </c>
      <c r="F948" s="3" t="s">
        <v>1226</v>
      </c>
      <c r="G948" s="3" t="s">
        <v>1207</v>
      </c>
      <c r="H948" s="4"/>
      <c r="I948" s="4">
        <f t="shared" si="87"/>
        <v>0</v>
      </c>
      <c r="J948" s="4"/>
      <c r="K948" s="4">
        <f t="shared" si="53"/>
        <v>0</v>
      </c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">
      <c r="A949" s="1"/>
      <c r="B949" s="2" t="s">
        <v>818</v>
      </c>
      <c r="C949" s="3" t="s">
        <v>1227</v>
      </c>
      <c r="D949" s="3" t="s">
        <v>989</v>
      </c>
      <c r="E949" s="3" t="s">
        <v>1228</v>
      </c>
      <c r="F949" s="3" t="s">
        <v>1226</v>
      </c>
      <c r="G949" s="3" t="s">
        <v>1207</v>
      </c>
      <c r="H949" s="4"/>
      <c r="I949" s="4">
        <f t="shared" si="87"/>
        <v>0</v>
      </c>
      <c r="J949" s="4"/>
      <c r="K949" s="4">
        <f t="shared" si="53"/>
        <v>0</v>
      </c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">
      <c r="A950" s="1"/>
      <c r="B950" s="2" t="s">
        <v>736</v>
      </c>
      <c r="C950" s="3" t="s">
        <v>1229</v>
      </c>
      <c r="D950" s="3" t="s">
        <v>78</v>
      </c>
      <c r="E950" s="3" t="s">
        <v>337</v>
      </c>
      <c r="F950" s="3" t="s">
        <v>1226</v>
      </c>
      <c r="G950" s="3" t="s">
        <v>1207</v>
      </c>
      <c r="H950" s="4"/>
      <c r="I950" s="4">
        <f t="shared" si="87"/>
        <v>0</v>
      </c>
      <c r="J950" s="4"/>
      <c r="K950" s="4">
        <f t="shared" si="53"/>
        <v>0</v>
      </c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">
      <c r="A951" s="1">
        <v>145</v>
      </c>
      <c r="B951" s="13" t="s">
        <v>460</v>
      </c>
      <c r="C951" s="14" t="s">
        <v>1230</v>
      </c>
      <c r="D951" s="14" t="s">
        <v>1231</v>
      </c>
      <c r="E951" s="14" t="s">
        <v>1232</v>
      </c>
      <c r="F951" s="14" t="s">
        <v>1233</v>
      </c>
      <c r="G951" s="14" t="s">
        <v>1207</v>
      </c>
      <c r="H951" s="4">
        <v>2</v>
      </c>
      <c r="I951" s="4">
        <f t="shared" ref="I951:I952" si="88">H951*2300</f>
        <v>4600</v>
      </c>
      <c r="J951" s="4">
        <v>2</v>
      </c>
      <c r="K951" s="4">
        <f t="shared" si="53"/>
        <v>8000</v>
      </c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 x14ac:dyDescent="0.2">
      <c r="A952" s="1">
        <v>1067</v>
      </c>
      <c r="B952" s="13" t="s">
        <v>458</v>
      </c>
      <c r="C952" s="14" t="s">
        <v>1230</v>
      </c>
      <c r="D952" s="14" t="s">
        <v>1231</v>
      </c>
      <c r="E952" s="14" t="s">
        <v>1232</v>
      </c>
      <c r="F952" s="14" t="s">
        <v>1233</v>
      </c>
      <c r="G952" s="14" t="s">
        <v>1207</v>
      </c>
      <c r="H952" s="4"/>
      <c r="I952" s="4">
        <f t="shared" si="88"/>
        <v>0</v>
      </c>
      <c r="J952" s="4"/>
      <c r="K952" s="4">
        <f t="shared" si="53"/>
        <v>0</v>
      </c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">
      <c r="A953" s="1"/>
      <c r="B953" s="2" t="s">
        <v>108</v>
      </c>
      <c r="C953" s="3" t="s">
        <v>1077</v>
      </c>
      <c r="D953" s="3" t="s">
        <v>1234</v>
      </c>
      <c r="E953" s="3" t="s">
        <v>1235</v>
      </c>
      <c r="F953" s="3" t="s">
        <v>1233</v>
      </c>
      <c r="G953" s="3" t="s">
        <v>1207</v>
      </c>
      <c r="H953" s="4">
        <v>7</v>
      </c>
      <c r="I953" s="4">
        <f t="shared" ref="I953:I959" si="89">H953*1800</f>
        <v>12600</v>
      </c>
      <c r="J953" s="4"/>
      <c r="K953" s="4">
        <f t="shared" si="53"/>
        <v>0</v>
      </c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">
      <c r="A954" s="1"/>
      <c r="B954" s="2" t="s">
        <v>126</v>
      </c>
      <c r="C954" s="3" t="s">
        <v>1236</v>
      </c>
      <c r="D954" s="3" t="s">
        <v>1237</v>
      </c>
      <c r="E954" s="3" t="s">
        <v>87</v>
      </c>
      <c r="F954" s="3" t="s">
        <v>1233</v>
      </c>
      <c r="G954" s="3" t="s">
        <v>1207</v>
      </c>
      <c r="H954" s="4"/>
      <c r="I954" s="4">
        <f t="shared" si="89"/>
        <v>0</v>
      </c>
      <c r="J954" s="4"/>
      <c r="K954" s="4">
        <f t="shared" si="53"/>
        <v>0</v>
      </c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">
      <c r="A955" s="1"/>
      <c r="B955" s="2" t="s">
        <v>94</v>
      </c>
      <c r="C955" s="3" t="s">
        <v>1236</v>
      </c>
      <c r="D955" s="3" t="s">
        <v>1237</v>
      </c>
      <c r="E955" s="3" t="s">
        <v>87</v>
      </c>
      <c r="F955" s="3" t="s">
        <v>1233</v>
      </c>
      <c r="G955" s="3" t="s">
        <v>1207</v>
      </c>
      <c r="H955" s="4"/>
      <c r="I955" s="4">
        <f t="shared" si="89"/>
        <v>0</v>
      </c>
      <c r="J955" s="4"/>
      <c r="K955" s="4">
        <f t="shared" si="53"/>
        <v>0</v>
      </c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">
      <c r="A956" s="1"/>
      <c r="B956" s="2" t="s">
        <v>118</v>
      </c>
      <c r="C956" s="3" t="s">
        <v>1238</v>
      </c>
      <c r="D956" s="3" t="s">
        <v>1239</v>
      </c>
      <c r="E956" s="3" t="s">
        <v>1240</v>
      </c>
      <c r="F956" s="3" t="s">
        <v>1233</v>
      </c>
      <c r="G956" s="3" t="s">
        <v>1207</v>
      </c>
      <c r="H956" s="4"/>
      <c r="I956" s="4">
        <f t="shared" si="89"/>
        <v>0</v>
      </c>
      <c r="J956" s="4"/>
      <c r="K956" s="4">
        <f t="shared" si="53"/>
        <v>0</v>
      </c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">
      <c r="A957" s="1"/>
      <c r="B957" s="2" t="s">
        <v>118</v>
      </c>
      <c r="C957" s="3" t="s">
        <v>1241</v>
      </c>
      <c r="D957" s="3" t="s">
        <v>1242</v>
      </c>
      <c r="E957" s="3" t="s">
        <v>1243</v>
      </c>
      <c r="F957" s="3" t="s">
        <v>1233</v>
      </c>
      <c r="G957" s="3" t="s">
        <v>1207</v>
      </c>
      <c r="H957" s="4"/>
      <c r="I957" s="4">
        <f t="shared" si="89"/>
        <v>0</v>
      </c>
      <c r="J957" s="4"/>
      <c r="K957" s="4">
        <f t="shared" si="53"/>
        <v>0</v>
      </c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">
      <c r="A958" s="1"/>
      <c r="B958" s="2" t="s">
        <v>94</v>
      </c>
      <c r="C958" s="3" t="s">
        <v>1241</v>
      </c>
      <c r="D958" s="3" t="s">
        <v>1242</v>
      </c>
      <c r="E958" s="3" t="s">
        <v>1243</v>
      </c>
      <c r="F958" s="3" t="s">
        <v>1233</v>
      </c>
      <c r="G958" s="3" t="s">
        <v>1207</v>
      </c>
      <c r="H958" s="4"/>
      <c r="I958" s="4">
        <f t="shared" si="89"/>
        <v>0</v>
      </c>
      <c r="J958" s="4"/>
      <c r="K958" s="4">
        <f t="shared" si="53"/>
        <v>0</v>
      </c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">
      <c r="A959" s="1"/>
      <c r="B959" s="2" t="s">
        <v>94</v>
      </c>
      <c r="C959" s="3" t="s">
        <v>1244</v>
      </c>
      <c r="D959" s="3" t="s">
        <v>28</v>
      </c>
      <c r="E959" s="3" t="s">
        <v>478</v>
      </c>
      <c r="F959" s="3" t="s">
        <v>1233</v>
      </c>
      <c r="G959" s="3" t="s">
        <v>1207</v>
      </c>
      <c r="H959" s="4"/>
      <c r="I959" s="4">
        <f t="shared" si="89"/>
        <v>0</v>
      </c>
      <c r="J959" s="4"/>
      <c r="K959" s="4">
        <f t="shared" si="53"/>
        <v>0</v>
      </c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">
      <c r="A960" s="1">
        <v>355</v>
      </c>
      <c r="B960" s="13" t="s">
        <v>1162</v>
      </c>
      <c r="C960" s="14" t="s">
        <v>1017</v>
      </c>
      <c r="D960" s="14" t="s">
        <v>557</v>
      </c>
      <c r="E960" s="14" t="s">
        <v>334</v>
      </c>
      <c r="F960" s="14" t="s">
        <v>1245</v>
      </c>
      <c r="G960" s="14" t="s">
        <v>1207</v>
      </c>
      <c r="H960" s="4"/>
      <c r="I960" s="4">
        <f t="shared" ref="I960:I1014" si="90">H960*2300</f>
        <v>0</v>
      </c>
      <c r="J960" s="4" t="s">
        <v>1246</v>
      </c>
      <c r="K960" s="4" t="e">
        <f t="shared" si="53"/>
        <v>#VALUE!</v>
      </c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">
      <c r="A961" s="1">
        <v>2233</v>
      </c>
      <c r="B961" s="13" t="s">
        <v>282</v>
      </c>
      <c r="C961" s="14" t="s">
        <v>1017</v>
      </c>
      <c r="D961" s="14" t="s">
        <v>557</v>
      </c>
      <c r="E961" s="14" t="s">
        <v>334</v>
      </c>
      <c r="F961" s="14" t="s">
        <v>1245</v>
      </c>
      <c r="G961" s="14" t="s">
        <v>1207</v>
      </c>
      <c r="H961" s="4"/>
      <c r="I961" s="4">
        <f t="shared" si="90"/>
        <v>0</v>
      </c>
      <c r="J961" s="4"/>
      <c r="K961" s="4">
        <f t="shared" si="53"/>
        <v>0</v>
      </c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">
      <c r="A962" s="1">
        <v>2561</v>
      </c>
      <c r="B962" s="13" t="s">
        <v>1247</v>
      </c>
      <c r="C962" s="14" t="s">
        <v>1017</v>
      </c>
      <c r="D962" s="14" t="s">
        <v>557</v>
      </c>
      <c r="E962" s="14" t="s">
        <v>334</v>
      </c>
      <c r="F962" s="14" t="s">
        <v>1245</v>
      </c>
      <c r="G962" s="14" t="s">
        <v>1207</v>
      </c>
      <c r="H962" s="4"/>
      <c r="I962" s="4">
        <f t="shared" si="90"/>
        <v>0</v>
      </c>
      <c r="J962" s="4"/>
      <c r="K962" s="4">
        <f t="shared" si="53"/>
        <v>0</v>
      </c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">
      <c r="A963" s="1"/>
      <c r="B963" s="2" t="s">
        <v>94</v>
      </c>
      <c r="C963" s="3" t="s">
        <v>700</v>
      </c>
      <c r="D963" s="3" t="s">
        <v>557</v>
      </c>
      <c r="E963" s="3" t="s">
        <v>571</v>
      </c>
      <c r="F963" s="3" t="s">
        <v>1245</v>
      </c>
      <c r="G963" s="3" t="s">
        <v>1207</v>
      </c>
      <c r="H963" s="4"/>
      <c r="I963" s="4">
        <f t="shared" si="90"/>
        <v>0</v>
      </c>
      <c r="J963" s="4"/>
      <c r="K963" s="4">
        <f t="shared" si="53"/>
        <v>0</v>
      </c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">
      <c r="A964" s="1"/>
      <c r="B964" s="2" t="s">
        <v>126</v>
      </c>
      <c r="C964" s="3" t="s">
        <v>1248</v>
      </c>
      <c r="D964" s="3" t="s">
        <v>1249</v>
      </c>
      <c r="E964" s="3" t="s">
        <v>1250</v>
      </c>
      <c r="F964" s="3" t="s">
        <v>1245</v>
      </c>
      <c r="G964" s="3" t="s">
        <v>1207</v>
      </c>
      <c r="H964" s="4"/>
      <c r="I964" s="4">
        <f t="shared" si="90"/>
        <v>0</v>
      </c>
      <c r="J964" s="4"/>
      <c r="K964" s="4">
        <f t="shared" si="53"/>
        <v>0</v>
      </c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">
      <c r="A965" s="1"/>
      <c r="B965" s="2" t="s">
        <v>94</v>
      </c>
      <c r="C965" s="3" t="s">
        <v>1248</v>
      </c>
      <c r="D965" s="3" t="s">
        <v>1249</v>
      </c>
      <c r="E965" s="3" t="s">
        <v>1250</v>
      </c>
      <c r="F965" s="3" t="s">
        <v>1245</v>
      </c>
      <c r="G965" s="3" t="s">
        <v>1207</v>
      </c>
      <c r="H965" s="4"/>
      <c r="I965" s="4">
        <f t="shared" si="90"/>
        <v>0</v>
      </c>
      <c r="J965" s="4"/>
      <c r="K965" s="4">
        <f t="shared" si="53"/>
        <v>0</v>
      </c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">
      <c r="A966" s="1"/>
      <c r="B966" s="2" t="s">
        <v>296</v>
      </c>
      <c r="C966" s="3" t="s">
        <v>1251</v>
      </c>
      <c r="D966" s="3" t="s">
        <v>529</v>
      </c>
      <c r="E966" s="3" t="s">
        <v>1252</v>
      </c>
      <c r="F966" s="3" t="s">
        <v>1245</v>
      </c>
      <c r="G966" s="3" t="s">
        <v>1207</v>
      </c>
      <c r="H966" s="4"/>
      <c r="I966" s="4">
        <f t="shared" si="90"/>
        <v>0</v>
      </c>
      <c r="J966" s="4"/>
      <c r="K966" s="4">
        <f t="shared" si="53"/>
        <v>0</v>
      </c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">
      <c r="A967" s="1"/>
      <c r="B967" s="2" t="s">
        <v>108</v>
      </c>
      <c r="C967" s="3" t="s">
        <v>1251</v>
      </c>
      <c r="D967" s="3" t="s">
        <v>529</v>
      </c>
      <c r="E967" s="3" t="s">
        <v>1252</v>
      </c>
      <c r="F967" s="3" t="s">
        <v>1245</v>
      </c>
      <c r="G967" s="3" t="s">
        <v>1207</v>
      </c>
      <c r="H967" s="4"/>
      <c r="I967" s="4">
        <f t="shared" si="90"/>
        <v>0</v>
      </c>
      <c r="J967" s="4"/>
      <c r="K967" s="4">
        <f t="shared" si="53"/>
        <v>0</v>
      </c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">
      <c r="A968" s="1"/>
      <c r="B968" s="2" t="s">
        <v>108</v>
      </c>
      <c r="C968" s="3" t="s">
        <v>1253</v>
      </c>
      <c r="D968" s="3" t="s">
        <v>1254</v>
      </c>
      <c r="E968" s="3" t="s">
        <v>1255</v>
      </c>
      <c r="F968" s="3" t="s">
        <v>1245</v>
      </c>
      <c r="G968" s="3" t="s">
        <v>1207</v>
      </c>
      <c r="H968" s="4"/>
      <c r="I968" s="4">
        <f t="shared" si="90"/>
        <v>0</v>
      </c>
      <c r="J968" s="4"/>
      <c r="K968" s="4">
        <f t="shared" si="53"/>
        <v>0</v>
      </c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">
      <c r="A969" s="1">
        <v>221</v>
      </c>
      <c r="B969" s="13" t="s">
        <v>946</v>
      </c>
      <c r="C969" s="14" t="s">
        <v>1256</v>
      </c>
      <c r="D969" s="14" t="s">
        <v>58</v>
      </c>
      <c r="E969" s="14" t="s">
        <v>22</v>
      </c>
      <c r="F969" s="14" t="s">
        <v>1245</v>
      </c>
      <c r="G969" s="14" t="s">
        <v>1207</v>
      </c>
      <c r="H969" s="4"/>
      <c r="I969" s="4">
        <f t="shared" si="90"/>
        <v>0</v>
      </c>
      <c r="J969" s="4"/>
      <c r="K969" s="4">
        <f t="shared" si="53"/>
        <v>0</v>
      </c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">
      <c r="A970" s="1">
        <v>1249</v>
      </c>
      <c r="B970" s="13" t="s">
        <v>699</v>
      </c>
      <c r="C970" s="14" t="s">
        <v>1256</v>
      </c>
      <c r="D970" s="14" t="s">
        <v>58</v>
      </c>
      <c r="E970" s="14" t="s">
        <v>22</v>
      </c>
      <c r="F970" s="14" t="s">
        <v>1245</v>
      </c>
      <c r="G970" s="14" t="s">
        <v>1207</v>
      </c>
      <c r="H970" s="4"/>
      <c r="I970" s="4">
        <f t="shared" si="90"/>
        <v>0</v>
      </c>
      <c r="J970" s="4"/>
      <c r="K970" s="4">
        <f t="shared" si="53"/>
        <v>0</v>
      </c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">
      <c r="A971" s="1">
        <v>1641</v>
      </c>
      <c r="B971" s="13" t="s">
        <v>267</v>
      </c>
      <c r="C971" s="14" t="s">
        <v>1257</v>
      </c>
      <c r="D971" s="14" t="s">
        <v>139</v>
      </c>
      <c r="E971" s="14" t="s">
        <v>237</v>
      </c>
      <c r="F971" s="14" t="s">
        <v>1245</v>
      </c>
      <c r="G971" s="14" t="s">
        <v>1207</v>
      </c>
      <c r="H971" s="4"/>
      <c r="I971" s="4">
        <f t="shared" si="90"/>
        <v>0</v>
      </c>
      <c r="J971" s="4"/>
      <c r="K971" s="4">
        <f t="shared" si="53"/>
        <v>0</v>
      </c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">
      <c r="A972" s="1">
        <v>2211</v>
      </c>
      <c r="B972" s="13" t="s">
        <v>282</v>
      </c>
      <c r="C972" s="14" t="s">
        <v>1257</v>
      </c>
      <c r="D972" s="14" t="s">
        <v>139</v>
      </c>
      <c r="E972" s="14" t="s">
        <v>237</v>
      </c>
      <c r="F972" s="14" t="s">
        <v>1245</v>
      </c>
      <c r="G972" s="14" t="s">
        <v>1207</v>
      </c>
      <c r="H972" s="4"/>
      <c r="I972" s="4">
        <f t="shared" si="90"/>
        <v>0</v>
      </c>
      <c r="J972" s="4"/>
      <c r="K972" s="4">
        <f t="shared" si="53"/>
        <v>0</v>
      </c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">
      <c r="A973" s="20">
        <v>3005</v>
      </c>
      <c r="B973" s="21" t="s">
        <v>290</v>
      </c>
      <c r="C973" s="22" t="s">
        <v>1257</v>
      </c>
      <c r="D973" s="22" t="s">
        <v>139</v>
      </c>
      <c r="E973" s="22" t="s">
        <v>237</v>
      </c>
      <c r="F973" s="14" t="s">
        <v>1245</v>
      </c>
      <c r="G973" s="14" t="s">
        <v>1207</v>
      </c>
      <c r="H973" s="4"/>
      <c r="I973" s="4">
        <f t="shared" si="90"/>
        <v>0</v>
      </c>
      <c r="J973" s="4"/>
      <c r="K973" s="4">
        <f t="shared" si="53"/>
        <v>0</v>
      </c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">
      <c r="A974" s="1">
        <v>937</v>
      </c>
      <c r="B974" s="13" t="s">
        <v>709</v>
      </c>
      <c r="C974" s="14" t="s">
        <v>1258</v>
      </c>
      <c r="D974" s="14" t="s">
        <v>949</v>
      </c>
      <c r="E974" s="14" t="s">
        <v>1259</v>
      </c>
      <c r="F974" s="14" t="s">
        <v>1245</v>
      </c>
      <c r="G974" s="14" t="s">
        <v>1207</v>
      </c>
      <c r="H974" s="4"/>
      <c r="I974" s="4">
        <f t="shared" si="90"/>
        <v>0</v>
      </c>
      <c r="J974" s="4"/>
      <c r="K974" s="4">
        <f t="shared" si="53"/>
        <v>0</v>
      </c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">
      <c r="A975" s="1">
        <v>2025</v>
      </c>
      <c r="B975" s="13" t="s">
        <v>701</v>
      </c>
      <c r="C975" s="14" t="s">
        <v>1258</v>
      </c>
      <c r="D975" s="14" t="s">
        <v>949</v>
      </c>
      <c r="E975" s="14" t="s">
        <v>1259</v>
      </c>
      <c r="F975" s="14" t="s">
        <v>1245</v>
      </c>
      <c r="G975" s="14" t="s">
        <v>1207</v>
      </c>
      <c r="H975" s="4"/>
      <c r="I975" s="4">
        <f t="shared" si="90"/>
        <v>0</v>
      </c>
      <c r="J975" s="4"/>
      <c r="K975" s="4">
        <f t="shared" si="53"/>
        <v>0</v>
      </c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">
      <c r="A976" s="1">
        <v>2625</v>
      </c>
      <c r="B976" s="13" t="s">
        <v>702</v>
      </c>
      <c r="C976" s="14" t="s">
        <v>1258</v>
      </c>
      <c r="D976" s="14" t="s">
        <v>949</v>
      </c>
      <c r="E976" s="14" t="s">
        <v>1259</v>
      </c>
      <c r="F976" s="14" t="s">
        <v>1245</v>
      </c>
      <c r="G976" s="14" t="s">
        <v>1207</v>
      </c>
      <c r="H976" s="4"/>
      <c r="I976" s="4">
        <f t="shared" si="90"/>
        <v>0</v>
      </c>
      <c r="J976" s="4"/>
      <c r="K976" s="4">
        <f t="shared" si="53"/>
        <v>0</v>
      </c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">
      <c r="A977" s="1">
        <v>187</v>
      </c>
      <c r="B977" s="13" t="s">
        <v>549</v>
      </c>
      <c r="C977" s="14" t="s">
        <v>1260</v>
      </c>
      <c r="D977" s="14" t="s">
        <v>1261</v>
      </c>
      <c r="E977" s="14" t="s">
        <v>302</v>
      </c>
      <c r="F977" s="14" t="s">
        <v>1245</v>
      </c>
      <c r="G977" s="14" t="s">
        <v>1207</v>
      </c>
      <c r="H977" s="4"/>
      <c r="I977" s="4">
        <f t="shared" si="90"/>
        <v>0</v>
      </c>
      <c r="J977" s="4"/>
      <c r="K977" s="4">
        <f t="shared" si="53"/>
        <v>0</v>
      </c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">
      <c r="A978" s="1">
        <v>2967</v>
      </c>
      <c r="B978" s="13" t="s">
        <v>1138</v>
      </c>
      <c r="C978" s="14" t="s">
        <v>1260</v>
      </c>
      <c r="D978" s="14" t="s">
        <v>1261</v>
      </c>
      <c r="E978" s="14" t="s">
        <v>302</v>
      </c>
      <c r="F978" s="14" t="s">
        <v>1245</v>
      </c>
      <c r="G978" s="14" t="s">
        <v>1207</v>
      </c>
      <c r="H978" s="4"/>
      <c r="I978" s="4">
        <f t="shared" si="90"/>
        <v>0</v>
      </c>
      <c r="J978" s="4"/>
      <c r="K978" s="4">
        <f t="shared" si="53"/>
        <v>0</v>
      </c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">
      <c r="A979" s="1">
        <v>99</v>
      </c>
      <c r="B979" s="13" t="s">
        <v>1262</v>
      </c>
      <c r="C979" s="14" t="s">
        <v>1263</v>
      </c>
      <c r="D979" s="14" t="s">
        <v>236</v>
      </c>
      <c r="E979" s="14" t="s">
        <v>334</v>
      </c>
      <c r="F979" s="14" t="s">
        <v>1245</v>
      </c>
      <c r="G979" s="14" t="s">
        <v>1207</v>
      </c>
      <c r="H979" s="4"/>
      <c r="I979" s="4">
        <f t="shared" si="90"/>
        <v>0</v>
      </c>
      <c r="J979" s="4"/>
      <c r="K979" s="4">
        <f t="shared" si="53"/>
        <v>0</v>
      </c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">
      <c r="A980" s="1">
        <v>2071</v>
      </c>
      <c r="B980" s="13" t="s">
        <v>653</v>
      </c>
      <c r="C980" s="14" t="s">
        <v>1263</v>
      </c>
      <c r="D980" s="14" t="s">
        <v>236</v>
      </c>
      <c r="E980" s="14" t="s">
        <v>334</v>
      </c>
      <c r="F980" s="14" t="s">
        <v>1245</v>
      </c>
      <c r="G980" s="14" t="s">
        <v>1207</v>
      </c>
      <c r="H980" s="4"/>
      <c r="I980" s="4">
        <f t="shared" si="90"/>
        <v>0</v>
      </c>
      <c r="J980" s="4"/>
      <c r="K980" s="4">
        <f t="shared" si="53"/>
        <v>0</v>
      </c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">
      <c r="A981" s="1">
        <v>2493</v>
      </c>
      <c r="B981" s="13" t="s">
        <v>444</v>
      </c>
      <c r="C981" s="14" t="s">
        <v>1263</v>
      </c>
      <c r="D981" s="14" t="s">
        <v>236</v>
      </c>
      <c r="E981" s="14" t="s">
        <v>334</v>
      </c>
      <c r="F981" s="14" t="s">
        <v>1245</v>
      </c>
      <c r="G981" s="14" t="s">
        <v>1207</v>
      </c>
      <c r="H981" s="4"/>
      <c r="I981" s="4">
        <f t="shared" si="90"/>
        <v>0</v>
      </c>
      <c r="J981" s="4"/>
      <c r="K981" s="4">
        <f t="shared" si="53"/>
        <v>0</v>
      </c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">
      <c r="A982" s="1">
        <v>83</v>
      </c>
      <c r="B982" s="13" t="s">
        <v>707</v>
      </c>
      <c r="C982" s="14" t="s">
        <v>1264</v>
      </c>
      <c r="D982" s="14" t="s">
        <v>39</v>
      </c>
      <c r="E982" s="14" t="s">
        <v>306</v>
      </c>
      <c r="F982" s="14" t="s">
        <v>1245</v>
      </c>
      <c r="G982" s="14" t="s">
        <v>1207</v>
      </c>
      <c r="H982" s="4"/>
      <c r="I982" s="4">
        <f t="shared" si="90"/>
        <v>0</v>
      </c>
      <c r="J982" s="4"/>
      <c r="K982" s="4">
        <f t="shared" si="53"/>
        <v>0</v>
      </c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">
      <c r="A983" s="1">
        <v>909</v>
      </c>
      <c r="B983" s="13" t="s">
        <v>694</v>
      </c>
      <c r="C983" s="14" t="s">
        <v>1264</v>
      </c>
      <c r="D983" s="14" t="s">
        <v>39</v>
      </c>
      <c r="E983" s="14" t="s">
        <v>306</v>
      </c>
      <c r="F983" s="14" t="s">
        <v>1245</v>
      </c>
      <c r="G983" s="14" t="s">
        <v>1207</v>
      </c>
      <c r="H983" s="4"/>
      <c r="I983" s="4">
        <f t="shared" si="90"/>
        <v>0</v>
      </c>
      <c r="J983" s="4"/>
      <c r="K983" s="4">
        <f t="shared" si="53"/>
        <v>0</v>
      </c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">
      <c r="A984" s="1">
        <v>2023</v>
      </c>
      <c r="B984" s="13" t="s">
        <v>701</v>
      </c>
      <c r="C984" s="14" t="s">
        <v>1264</v>
      </c>
      <c r="D984" s="14" t="s">
        <v>39</v>
      </c>
      <c r="E984" s="14" t="s">
        <v>306</v>
      </c>
      <c r="F984" s="14" t="s">
        <v>1245</v>
      </c>
      <c r="G984" s="14" t="s">
        <v>1207</v>
      </c>
      <c r="H984" s="4"/>
      <c r="I984" s="4">
        <f t="shared" si="90"/>
        <v>0</v>
      </c>
      <c r="J984" s="4"/>
      <c r="K984" s="4">
        <f t="shared" si="53"/>
        <v>0</v>
      </c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">
      <c r="A985" s="1"/>
      <c r="B985" s="2" t="s">
        <v>126</v>
      </c>
      <c r="C985" s="3" t="s">
        <v>1265</v>
      </c>
      <c r="D985" s="3" t="s">
        <v>1266</v>
      </c>
      <c r="E985" s="3" t="s">
        <v>393</v>
      </c>
      <c r="F985" s="3" t="s">
        <v>1245</v>
      </c>
      <c r="G985" s="3" t="s">
        <v>1207</v>
      </c>
      <c r="H985" s="4"/>
      <c r="I985" s="4">
        <f t="shared" si="90"/>
        <v>0</v>
      </c>
      <c r="J985" s="4"/>
      <c r="K985" s="4">
        <f t="shared" si="53"/>
        <v>0</v>
      </c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">
      <c r="A986" s="1"/>
      <c r="B986" s="2" t="s">
        <v>94</v>
      </c>
      <c r="C986" s="3" t="s">
        <v>1265</v>
      </c>
      <c r="D986" s="3" t="s">
        <v>1266</v>
      </c>
      <c r="E986" s="3" t="s">
        <v>393</v>
      </c>
      <c r="F986" s="3" t="s">
        <v>1245</v>
      </c>
      <c r="G986" s="3" t="s">
        <v>1207</v>
      </c>
      <c r="H986" s="4"/>
      <c r="I986" s="4">
        <f t="shared" si="90"/>
        <v>0</v>
      </c>
      <c r="J986" s="4"/>
      <c r="K986" s="4">
        <f t="shared" ref="K986:K1240" si="91">J986*4000</f>
        <v>0</v>
      </c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">
      <c r="A987" s="1">
        <v>315</v>
      </c>
      <c r="B987" s="13" t="s">
        <v>552</v>
      </c>
      <c r="C987" s="14" t="s">
        <v>1202</v>
      </c>
      <c r="D987" s="14" t="s">
        <v>39</v>
      </c>
      <c r="E987" s="14" t="s">
        <v>87</v>
      </c>
      <c r="F987" s="14" t="s">
        <v>1245</v>
      </c>
      <c r="G987" s="14" t="s">
        <v>1207</v>
      </c>
      <c r="H987" s="4"/>
      <c r="I987" s="4">
        <f t="shared" si="90"/>
        <v>0</v>
      </c>
      <c r="J987" s="4"/>
      <c r="K987" s="4">
        <f t="shared" si="91"/>
        <v>0</v>
      </c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">
      <c r="A988" s="1">
        <v>1473</v>
      </c>
      <c r="B988" s="13" t="s">
        <v>261</v>
      </c>
      <c r="C988" s="14" t="s">
        <v>1202</v>
      </c>
      <c r="D988" s="14" t="s">
        <v>39</v>
      </c>
      <c r="E988" s="14" t="s">
        <v>87</v>
      </c>
      <c r="F988" s="14" t="s">
        <v>1245</v>
      </c>
      <c r="G988" s="14" t="s">
        <v>1207</v>
      </c>
      <c r="H988" s="4"/>
      <c r="I988" s="4">
        <f t="shared" si="90"/>
        <v>0</v>
      </c>
      <c r="J988" s="4"/>
      <c r="K988" s="4">
        <f t="shared" si="91"/>
        <v>0</v>
      </c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">
      <c r="A989" s="1">
        <v>1915</v>
      </c>
      <c r="B989" s="13" t="s">
        <v>277</v>
      </c>
      <c r="C989" s="14" t="s">
        <v>1202</v>
      </c>
      <c r="D989" s="14" t="s">
        <v>39</v>
      </c>
      <c r="E989" s="14" t="s">
        <v>87</v>
      </c>
      <c r="F989" s="14" t="s">
        <v>1245</v>
      </c>
      <c r="G989" s="14" t="s">
        <v>1207</v>
      </c>
      <c r="H989" s="4"/>
      <c r="I989" s="4">
        <f t="shared" si="90"/>
        <v>0</v>
      </c>
      <c r="J989" s="4"/>
      <c r="K989" s="4">
        <f t="shared" si="91"/>
        <v>0</v>
      </c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">
      <c r="A990" s="1">
        <v>2177</v>
      </c>
      <c r="B990" s="13" t="s">
        <v>281</v>
      </c>
      <c r="C990" s="14" t="s">
        <v>1202</v>
      </c>
      <c r="D990" s="14" t="s">
        <v>39</v>
      </c>
      <c r="E990" s="14" t="s">
        <v>87</v>
      </c>
      <c r="F990" s="14" t="s">
        <v>1245</v>
      </c>
      <c r="G990" s="14" t="s">
        <v>1207</v>
      </c>
      <c r="H990" s="4"/>
      <c r="I990" s="4">
        <f t="shared" si="90"/>
        <v>0</v>
      </c>
      <c r="J990" s="4"/>
      <c r="K990" s="4">
        <f t="shared" si="91"/>
        <v>0</v>
      </c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">
      <c r="A991" s="1">
        <v>219</v>
      </c>
      <c r="B991" s="13" t="s">
        <v>946</v>
      </c>
      <c r="C991" s="14" t="s">
        <v>1267</v>
      </c>
      <c r="D991" s="14" t="s">
        <v>183</v>
      </c>
      <c r="E991" s="14" t="s">
        <v>334</v>
      </c>
      <c r="F991" s="14" t="s">
        <v>1245</v>
      </c>
      <c r="G991" s="14" t="s">
        <v>1207</v>
      </c>
      <c r="H991" s="4"/>
      <c r="I991" s="4">
        <f t="shared" si="90"/>
        <v>0</v>
      </c>
      <c r="J991" s="4"/>
      <c r="K991" s="4">
        <f t="shared" si="91"/>
        <v>0</v>
      </c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">
      <c r="A992" s="1">
        <v>1279</v>
      </c>
      <c r="B992" s="13" t="s">
        <v>453</v>
      </c>
      <c r="C992" s="14" t="s">
        <v>1267</v>
      </c>
      <c r="D992" s="14" t="s">
        <v>183</v>
      </c>
      <c r="E992" s="14" t="s">
        <v>334</v>
      </c>
      <c r="F992" s="14" t="s">
        <v>1245</v>
      </c>
      <c r="G992" s="14" t="s">
        <v>1207</v>
      </c>
      <c r="H992" s="4"/>
      <c r="I992" s="4">
        <f t="shared" si="90"/>
        <v>0</v>
      </c>
      <c r="J992" s="4"/>
      <c r="K992" s="4">
        <f t="shared" si="91"/>
        <v>0</v>
      </c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">
      <c r="A993" s="1">
        <v>2115</v>
      </c>
      <c r="B993" s="13" t="s">
        <v>280</v>
      </c>
      <c r="C993" s="14" t="s">
        <v>1267</v>
      </c>
      <c r="D993" s="14" t="s">
        <v>183</v>
      </c>
      <c r="E993" s="14" t="s">
        <v>334</v>
      </c>
      <c r="F993" s="14" t="s">
        <v>1245</v>
      </c>
      <c r="G993" s="14" t="s">
        <v>1207</v>
      </c>
      <c r="H993" s="4"/>
      <c r="I993" s="4">
        <f t="shared" si="90"/>
        <v>0</v>
      </c>
      <c r="J993" s="4"/>
      <c r="K993" s="4">
        <f t="shared" si="91"/>
        <v>0</v>
      </c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">
      <c r="A994" s="1">
        <v>69</v>
      </c>
      <c r="B994" s="13" t="s">
        <v>226</v>
      </c>
      <c r="C994" s="14" t="s">
        <v>1268</v>
      </c>
      <c r="D994" s="14" t="s">
        <v>116</v>
      </c>
      <c r="E994" s="14" t="s">
        <v>326</v>
      </c>
      <c r="F994" s="14" t="s">
        <v>1245</v>
      </c>
      <c r="G994" s="14" t="s">
        <v>1207</v>
      </c>
      <c r="H994" s="4"/>
      <c r="I994" s="4">
        <f t="shared" si="90"/>
        <v>0</v>
      </c>
      <c r="J994" s="4"/>
      <c r="K994" s="4">
        <f t="shared" si="91"/>
        <v>0</v>
      </c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">
      <c r="A995" s="1"/>
      <c r="B995" s="2" t="s">
        <v>94</v>
      </c>
      <c r="C995" s="3" t="s">
        <v>1268</v>
      </c>
      <c r="D995" s="3" t="s">
        <v>116</v>
      </c>
      <c r="E995" s="3" t="s">
        <v>326</v>
      </c>
      <c r="F995" s="3" t="s">
        <v>1245</v>
      </c>
      <c r="G995" s="3" t="s">
        <v>1207</v>
      </c>
      <c r="H995" s="4"/>
      <c r="I995" s="4">
        <f t="shared" si="90"/>
        <v>0</v>
      </c>
      <c r="J995" s="4"/>
      <c r="K995" s="4">
        <f t="shared" si="91"/>
        <v>0</v>
      </c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">
      <c r="A996" s="1">
        <v>189</v>
      </c>
      <c r="B996" s="13" t="s">
        <v>549</v>
      </c>
      <c r="C996" s="14" t="s">
        <v>1269</v>
      </c>
      <c r="D996" s="14" t="s">
        <v>73</v>
      </c>
      <c r="E996" s="14" t="s">
        <v>32</v>
      </c>
      <c r="F996" s="14" t="s">
        <v>1245</v>
      </c>
      <c r="G996" s="14" t="s">
        <v>1207</v>
      </c>
      <c r="H996" s="4"/>
      <c r="I996" s="4">
        <f t="shared" si="90"/>
        <v>0</v>
      </c>
      <c r="J996" s="4"/>
      <c r="K996" s="4">
        <f t="shared" si="91"/>
        <v>0</v>
      </c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">
      <c r="A997" s="1">
        <v>2117</v>
      </c>
      <c r="B997" s="13" t="s">
        <v>280</v>
      </c>
      <c r="C997" s="14" t="s">
        <v>1269</v>
      </c>
      <c r="D997" s="14" t="s">
        <v>73</v>
      </c>
      <c r="E997" s="14" t="s">
        <v>32</v>
      </c>
      <c r="F997" s="14" t="s">
        <v>1245</v>
      </c>
      <c r="G997" s="14" t="s">
        <v>1207</v>
      </c>
      <c r="H997" s="4"/>
      <c r="I997" s="4">
        <f t="shared" si="90"/>
        <v>0</v>
      </c>
      <c r="J997" s="4"/>
      <c r="K997" s="4">
        <f t="shared" si="91"/>
        <v>0</v>
      </c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2">
      <c r="A998" s="1">
        <v>2949</v>
      </c>
      <c r="B998" s="13" t="s">
        <v>1270</v>
      </c>
      <c r="C998" s="14" t="s">
        <v>1269</v>
      </c>
      <c r="D998" s="14" t="s">
        <v>73</v>
      </c>
      <c r="E998" s="14" t="s">
        <v>32</v>
      </c>
      <c r="F998" s="14" t="s">
        <v>1245</v>
      </c>
      <c r="G998" s="14" t="s">
        <v>1207</v>
      </c>
      <c r="H998" s="4"/>
      <c r="I998" s="4">
        <f t="shared" si="90"/>
        <v>0</v>
      </c>
      <c r="J998" s="4"/>
      <c r="K998" s="4">
        <f t="shared" si="91"/>
        <v>0</v>
      </c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2">
      <c r="A999" s="1">
        <v>1565</v>
      </c>
      <c r="B999" s="13" t="s">
        <v>377</v>
      </c>
      <c r="C999" s="14" t="s">
        <v>1271</v>
      </c>
      <c r="D999" s="14" t="s">
        <v>295</v>
      </c>
      <c r="E999" s="14" t="s">
        <v>626</v>
      </c>
      <c r="F999" s="14" t="s">
        <v>1245</v>
      </c>
      <c r="G999" s="14" t="s">
        <v>1207</v>
      </c>
      <c r="H999" s="4"/>
      <c r="I999" s="4">
        <f t="shared" si="90"/>
        <v>0</v>
      </c>
      <c r="J999" s="4"/>
      <c r="K999" s="4">
        <f t="shared" si="91"/>
        <v>0</v>
      </c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2">
      <c r="A1000" s="1">
        <v>2345</v>
      </c>
      <c r="B1000" s="13" t="s">
        <v>285</v>
      </c>
      <c r="C1000" s="14" t="s">
        <v>1271</v>
      </c>
      <c r="D1000" s="14" t="s">
        <v>295</v>
      </c>
      <c r="E1000" s="14" t="s">
        <v>626</v>
      </c>
      <c r="F1000" s="14" t="s">
        <v>1245</v>
      </c>
      <c r="G1000" s="14" t="s">
        <v>1207</v>
      </c>
      <c r="H1000" s="4"/>
      <c r="I1000" s="4">
        <f t="shared" si="90"/>
        <v>0</v>
      </c>
      <c r="J1000" s="4"/>
      <c r="K1000" s="4">
        <f t="shared" si="91"/>
        <v>0</v>
      </c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customHeight="1" x14ac:dyDescent="0.2">
      <c r="A1001" s="1">
        <v>2731</v>
      </c>
      <c r="B1001" s="13" t="s">
        <v>703</v>
      </c>
      <c r="C1001" s="14" t="s">
        <v>1271</v>
      </c>
      <c r="D1001" s="14" t="s">
        <v>295</v>
      </c>
      <c r="E1001" s="14" t="s">
        <v>626</v>
      </c>
      <c r="F1001" s="14" t="s">
        <v>1245</v>
      </c>
      <c r="G1001" s="14" t="s">
        <v>1207</v>
      </c>
      <c r="H1001" s="4"/>
      <c r="I1001" s="4">
        <f t="shared" si="90"/>
        <v>0</v>
      </c>
      <c r="J1001" s="4"/>
      <c r="K1001" s="4">
        <f t="shared" si="91"/>
        <v>0</v>
      </c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customHeight="1" x14ac:dyDescent="0.2">
      <c r="A1002" s="1">
        <v>675</v>
      </c>
      <c r="B1002" s="13" t="s">
        <v>252</v>
      </c>
      <c r="C1002" s="14" t="s">
        <v>1272</v>
      </c>
      <c r="D1002" s="14" t="s">
        <v>171</v>
      </c>
      <c r="E1002" s="14" t="s">
        <v>105</v>
      </c>
      <c r="F1002" s="14" t="s">
        <v>1245</v>
      </c>
      <c r="G1002" s="14" t="s">
        <v>1207</v>
      </c>
      <c r="H1002" s="4"/>
      <c r="I1002" s="4">
        <f t="shared" si="90"/>
        <v>0</v>
      </c>
      <c r="J1002" s="4"/>
      <c r="K1002" s="4">
        <f t="shared" si="91"/>
        <v>0</v>
      </c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customHeight="1" x14ac:dyDescent="0.2">
      <c r="A1003" s="1">
        <v>1581</v>
      </c>
      <c r="B1003" s="13" t="s">
        <v>585</v>
      </c>
      <c r="C1003" s="14" t="s">
        <v>1272</v>
      </c>
      <c r="D1003" s="14" t="s">
        <v>171</v>
      </c>
      <c r="E1003" s="14" t="s">
        <v>105</v>
      </c>
      <c r="F1003" s="14" t="s">
        <v>1245</v>
      </c>
      <c r="G1003" s="14" t="s">
        <v>1207</v>
      </c>
      <c r="H1003" s="4"/>
      <c r="I1003" s="4">
        <f t="shared" si="90"/>
        <v>0</v>
      </c>
      <c r="J1003" s="4"/>
      <c r="K1003" s="4">
        <f t="shared" si="91"/>
        <v>0</v>
      </c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customHeight="1" x14ac:dyDescent="0.2">
      <c r="A1004" s="1">
        <v>2337</v>
      </c>
      <c r="B1004" s="13" t="s">
        <v>285</v>
      </c>
      <c r="C1004" s="14" t="s">
        <v>1272</v>
      </c>
      <c r="D1004" s="14" t="s">
        <v>171</v>
      </c>
      <c r="E1004" s="14" t="s">
        <v>105</v>
      </c>
      <c r="F1004" s="14" t="s">
        <v>1245</v>
      </c>
      <c r="G1004" s="14" t="s">
        <v>1207</v>
      </c>
      <c r="H1004" s="4"/>
      <c r="I1004" s="4">
        <f t="shared" si="90"/>
        <v>0</v>
      </c>
      <c r="J1004" s="4"/>
      <c r="K1004" s="4">
        <f t="shared" si="91"/>
        <v>0</v>
      </c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customHeight="1" x14ac:dyDescent="0.2">
      <c r="A1005" s="1">
        <v>2589</v>
      </c>
      <c r="B1005" s="13" t="s">
        <v>287</v>
      </c>
      <c r="C1005" s="14" t="s">
        <v>1272</v>
      </c>
      <c r="D1005" s="14" t="s">
        <v>171</v>
      </c>
      <c r="E1005" s="14" t="s">
        <v>105</v>
      </c>
      <c r="F1005" s="14" t="s">
        <v>1245</v>
      </c>
      <c r="G1005" s="14" t="s">
        <v>1207</v>
      </c>
      <c r="H1005" s="4"/>
      <c r="I1005" s="4">
        <f t="shared" si="90"/>
        <v>0</v>
      </c>
      <c r="J1005" s="4"/>
      <c r="K1005" s="4">
        <f t="shared" si="91"/>
        <v>0</v>
      </c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customHeight="1" x14ac:dyDescent="0.2">
      <c r="A1006" s="1"/>
      <c r="B1006" s="2" t="s">
        <v>307</v>
      </c>
      <c r="C1006" s="3" t="s">
        <v>1272</v>
      </c>
      <c r="D1006" s="3" t="s">
        <v>39</v>
      </c>
      <c r="E1006" s="3" t="s">
        <v>337</v>
      </c>
      <c r="F1006" s="3" t="s">
        <v>1245</v>
      </c>
      <c r="G1006" s="3" t="s">
        <v>1207</v>
      </c>
      <c r="H1006" s="4"/>
      <c r="I1006" s="4">
        <f t="shared" si="90"/>
        <v>0</v>
      </c>
      <c r="J1006" s="4"/>
      <c r="K1006" s="4">
        <f t="shared" si="91"/>
        <v>0</v>
      </c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customHeight="1" x14ac:dyDescent="0.2">
      <c r="A1007" s="1"/>
      <c r="B1007" s="2" t="s">
        <v>108</v>
      </c>
      <c r="C1007" s="3" t="s">
        <v>1272</v>
      </c>
      <c r="D1007" s="3" t="s">
        <v>39</v>
      </c>
      <c r="E1007" s="3" t="s">
        <v>337</v>
      </c>
      <c r="F1007" s="3" t="s">
        <v>1245</v>
      </c>
      <c r="G1007" s="3" t="s">
        <v>1207</v>
      </c>
      <c r="H1007" s="4"/>
      <c r="I1007" s="4">
        <f t="shared" si="90"/>
        <v>0</v>
      </c>
      <c r="J1007" s="4"/>
      <c r="K1007" s="4">
        <f t="shared" si="91"/>
        <v>0</v>
      </c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5.75" customHeight="1" x14ac:dyDescent="0.2">
      <c r="A1008" s="1"/>
      <c r="B1008" s="2" t="s">
        <v>102</v>
      </c>
      <c r="C1008" s="3" t="s">
        <v>1273</v>
      </c>
      <c r="D1008" s="3" t="s">
        <v>917</v>
      </c>
      <c r="E1008" s="3" t="s">
        <v>1274</v>
      </c>
      <c r="F1008" s="3" t="s">
        <v>1245</v>
      </c>
      <c r="G1008" s="3" t="s">
        <v>1207</v>
      </c>
      <c r="H1008" s="4"/>
      <c r="I1008" s="4">
        <f t="shared" si="90"/>
        <v>0</v>
      </c>
      <c r="J1008" s="4"/>
      <c r="K1008" s="4">
        <f t="shared" si="91"/>
        <v>0</v>
      </c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5.75" customHeight="1" x14ac:dyDescent="0.2">
      <c r="A1009" s="1"/>
      <c r="B1009" s="2" t="s">
        <v>108</v>
      </c>
      <c r="C1009" s="3" t="s">
        <v>1273</v>
      </c>
      <c r="D1009" s="3" t="s">
        <v>917</v>
      </c>
      <c r="E1009" s="3" t="s">
        <v>1274</v>
      </c>
      <c r="F1009" s="3" t="s">
        <v>1245</v>
      </c>
      <c r="G1009" s="3" t="s">
        <v>1207</v>
      </c>
      <c r="H1009" s="4"/>
      <c r="I1009" s="4">
        <f t="shared" si="90"/>
        <v>0</v>
      </c>
      <c r="J1009" s="4"/>
      <c r="K1009" s="4">
        <f t="shared" si="91"/>
        <v>0</v>
      </c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5.75" customHeight="1" x14ac:dyDescent="0.2">
      <c r="A1010" s="1"/>
      <c r="B1010" s="2" t="s">
        <v>94</v>
      </c>
      <c r="C1010" s="3" t="s">
        <v>1273</v>
      </c>
      <c r="D1010" s="3" t="s">
        <v>917</v>
      </c>
      <c r="E1010" s="3" t="s">
        <v>1274</v>
      </c>
      <c r="F1010" s="3" t="s">
        <v>1245</v>
      </c>
      <c r="G1010" s="3" t="s">
        <v>1207</v>
      </c>
      <c r="H1010" s="4"/>
      <c r="I1010" s="4">
        <f t="shared" si="90"/>
        <v>0</v>
      </c>
      <c r="J1010" s="4"/>
      <c r="K1010" s="4">
        <f t="shared" si="91"/>
        <v>0</v>
      </c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5.75" customHeight="1" x14ac:dyDescent="0.2">
      <c r="A1011" s="1">
        <v>1475</v>
      </c>
      <c r="B1011" s="13" t="s">
        <v>261</v>
      </c>
      <c r="C1011" s="14" t="s">
        <v>1275</v>
      </c>
      <c r="D1011" s="14" t="s">
        <v>86</v>
      </c>
      <c r="E1011" s="14" t="s">
        <v>334</v>
      </c>
      <c r="F1011" s="14" t="s">
        <v>1245</v>
      </c>
      <c r="G1011" s="14" t="s">
        <v>1207</v>
      </c>
      <c r="H1011" s="4"/>
      <c r="I1011" s="4">
        <f t="shared" si="90"/>
        <v>0</v>
      </c>
      <c r="J1011" s="4"/>
      <c r="K1011" s="4">
        <f t="shared" si="91"/>
        <v>0</v>
      </c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5.75" customHeight="1" x14ac:dyDescent="0.2">
      <c r="A1012" s="1">
        <v>2703</v>
      </c>
      <c r="B1012" s="13" t="s">
        <v>1098</v>
      </c>
      <c r="C1012" s="14" t="s">
        <v>1275</v>
      </c>
      <c r="D1012" s="14" t="s">
        <v>309</v>
      </c>
      <c r="E1012" s="14" t="s">
        <v>334</v>
      </c>
      <c r="F1012" s="14" t="s">
        <v>1245</v>
      </c>
      <c r="G1012" s="14" t="s">
        <v>1207</v>
      </c>
      <c r="H1012" s="4"/>
      <c r="I1012" s="4">
        <f t="shared" si="90"/>
        <v>0</v>
      </c>
      <c r="J1012" s="4"/>
      <c r="K1012" s="4">
        <f t="shared" si="91"/>
        <v>0</v>
      </c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5.75" customHeight="1" x14ac:dyDescent="0.2">
      <c r="A1013" s="1"/>
      <c r="B1013" s="2" t="s">
        <v>94</v>
      </c>
      <c r="C1013" s="3" t="s">
        <v>1276</v>
      </c>
      <c r="D1013" s="3" t="s">
        <v>1277</v>
      </c>
      <c r="E1013" s="3" t="s">
        <v>1278</v>
      </c>
      <c r="F1013" s="3" t="s">
        <v>1245</v>
      </c>
      <c r="G1013" s="3" t="s">
        <v>1207</v>
      </c>
      <c r="H1013" s="4"/>
      <c r="I1013" s="4">
        <f t="shared" si="90"/>
        <v>0</v>
      </c>
      <c r="J1013" s="4"/>
      <c r="K1013" s="4">
        <f t="shared" si="91"/>
        <v>0</v>
      </c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5.75" customHeight="1" x14ac:dyDescent="0.2">
      <c r="A1014" s="1"/>
      <c r="B1014" s="2" t="s">
        <v>323</v>
      </c>
      <c r="C1014" s="3" t="s">
        <v>1279</v>
      </c>
      <c r="D1014" s="3" t="s">
        <v>1280</v>
      </c>
      <c r="E1014" s="3" t="s">
        <v>1281</v>
      </c>
      <c r="F1014" s="3" t="s">
        <v>1245</v>
      </c>
      <c r="G1014" s="3" t="s">
        <v>1207</v>
      </c>
      <c r="H1014" s="4"/>
      <c r="I1014" s="4">
        <f t="shared" si="90"/>
        <v>0</v>
      </c>
      <c r="J1014" s="4"/>
      <c r="K1014" s="4">
        <f t="shared" si="91"/>
        <v>0</v>
      </c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 spans="1:26" ht="15.75" customHeight="1" x14ac:dyDescent="0.2">
      <c r="A1015" s="1"/>
      <c r="B1015" s="2" t="s">
        <v>315</v>
      </c>
      <c r="C1015" s="3" t="s">
        <v>1282</v>
      </c>
      <c r="D1015" s="3" t="s">
        <v>1283</v>
      </c>
      <c r="E1015" s="3" t="s">
        <v>1284</v>
      </c>
      <c r="F1015" s="3" t="s">
        <v>1245</v>
      </c>
      <c r="G1015" s="3" t="s">
        <v>1207</v>
      </c>
      <c r="H1015" s="4"/>
      <c r="I1015" s="4">
        <f t="shared" ref="I1015:I1035" si="92">H1015*1800</f>
        <v>0</v>
      </c>
      <c r="J1015" s="4"/>
      <c r="K1015" s="4">
        <f t="shared" si="91"/>
        <v>0</v>
      </c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 spans="1:26" ht="15.75" customHeight="1" x14ac:dyDescent="0.2">
      <c r="A1016" s="1">
        <v>31</v>
      </c>
      <c r="B1016" s="13" t="s">
        <v>939</v>
      </c>
      <c r="C1016" s="14" t="s">
        <v>813</v>
      </c>
      <c r="D1016" s="14" t="s">
        <v>58</v>
      </c>
      <c r="E1016" s="14" t="s">
        <v>630</v>
      </c>
      <c r="F1016" s="14" t="s">
        <v>1245</v>
      </c>
      <c r="G1016" s="14" t="s">
        <v>1207</v>
      </c>
      <c r="H1016" s="4"/>
      <c r="I1016" s="4">
        <f t="shared" si="92"/>
        <v>0</v>
      </c>
      <c r="J1016" s="4"/>
      <c r="K1016" s="4">
        <f t="shared" si="91"/>
        <v>0</v>
      </c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 spans="1:26" ht="15.75" customHeight="1" x14ac:dyDescent="0.2">
      <c r="A1017" s="1">
        <v>1995</v>
      </c>
      <c r="B1017" s="13" t="s">
        <v>652</v>
      </c>
      <c r="C1017" s="14" t="s">
        <v>813</v>
      </c>
      <c r="D1017" s="14" t="s">
        <v>58</v>
      </c>
      <c r="E1017" s="14" t="s">
        <v>630</v>
      </c>
      <c r="F1017" s="14" t="s">
        <v>1245</v>
      </c>
      <c r="G1017" s="14" t="s">
        <v>1207</v>
      </c>
      <c r="H1017" s="4"/>
      <c r="I1017" s="4">
        <f t="shared" si="92"/>
        <v>0</v>
      </c>
      <c r="J1017" s="4"/>
      <c r="K1017" s="4">
        <f t="shared" si="91"/>
        <v>0</v>
      </c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 spans="1:26" ht="15.75" customHeight="1" x14ac:dyDescent="0.2">
      <c r="A1018" s="1"/>
      <c r="B1018" s="2" t="s">
        <v>126</v>
      </c>
      <c r="C1018" s="3" t="s">
        <v>1285</v>
      </c>
      <c r="D1018" s="3" t="s">
        <v>516</v>
      </c>
      <c r="E1018" s="3" t="s">
        <v>32</v>
      </c>
      <c r="F1018" s="3" t="s">
        <v>1245</v>
      </c>
      <c r="G1018" s="3" t="s">
        <v>1207</v>
      </c>
      <c r="H1018" s="4"/>
      <c r="I1018" s="4">
        <f t="shared" si="92"/>
        <v>0</v>
      </c>
      <c r="J1018" s="4"/>
      <c r="K1018" s="4">
        <f t="shared" si="91"/>
        <v>0</v>
      </c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 spans="1:26" ht="15.75" customHeight="1" x14ac:dyDescent="0.2">
      <c r="A1019" s="1"/>
      <c r="B1019" s="2" t="s">
        <v>94</v>
      </c>
      <c r="C1019" s="3" t="s">
        <v>1285</v>
      </c>
      <c r="D1019" s="3" t="s">
        <v>516</v>
      </c>
      <c r="E1019" s="3" t="s">
        <v>32</v>
      </c>
      <c r="F1019" s="3" t="s">
        <v>1245</v>
      </c>
      <c r="G1019" s="3" t="s">
        <v>1207</v>
      </c>
      <c r="H1019" s="4"/>
      <c r="I1019" s="4">
        <f t="shared" si="92"/>
        <v>0</v>
      </c>
      <c r="J1019" s="4"/>
      <c r="K1019" s="4">
        <f t="shared" si="91"/>
        <v>0</v>
      </c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 spans="1:26" ht="15.75" customHeight="1" x14ac:dyDescent="0.2">
      <c r="A1020" s="1">
        <v>2175</v>
      </c>
      <c r="B1020" s="13" t="s">
        <v>281</v>
      </c>
      <c r="C1020" s="14" t="s">
        <v>1286</v>
      </c>
      <c r="D1020" s="14" t="s">
        <v>120</v>
      </c>
      <c r="E1020" s="14" t="s">
        <v>87</v>
      </c>
      <c r="F1020" s="14" t="s">
        <v>1245</v>
      </c>
      <c r="G1020" s="14" t="s">
        <v>1207</v>
      </c>
      <c r="H1020" s="4"/>
      <c r="I1020" s="4">
        <f t="shared" si="92"/>
        <v>0</v>
      </c>
      <c r="J1020" s="4"/>
      <c r="K1020" s="4">
        <f t="shared" si="91"/>
        <v>0</v>
      </c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 spans="1:26" ht="15.75" customHeight="1" x14ac:dyDescent="0.2">
      <c r="A1021" s="1">
        <v>2667</v>
      </c>
      <c r="B1021" s="13" t="s">
        <v>1055</v>
      </c>
      <c r="C1021" s="14" t="s">
        <v>1286</v>
      </c>
      <c r="D1021" s="14" t="s">
        <v>120</v>
      </c>
      <c r="E1021" s="14" t="s">
        <v>87</v>
      </c>
      <c r="F1021" s="14" t="s">
        <v>1245</v>
      </c>
      <c r="G1021" s="14" t="s">
        <v>1207</v>
      </c>
      <c r="H1021" s="4"/>
      <c r="I1021" s="4">
        <f t="shared" si="92"/>
        <v>0</v>
      </c>
      <c r="J1021" s="4"/>
      <c r="K1021" s="4">
        <f t="shared" si="91"/>
        <v>0</v>
      </c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 spans="1:26" ht="15.75" customHeight="1" x14ac:dyDescent="0.2">
      <c r="A1022" s="1">
        <v>279</v>
      </c>
      <c r="B1022" s="13" t="s">
        <v>628</v>
      </c>
      <c r="C1022" s="14" t="s">
        <v>1287</v>
      </c>
      <c r="D1022" s="14" t="s">
        <v>78</v>
      </c>
      <c r="E1022" s="14" t="s">
        <v>32</v>
      </c>
      <c r="F1022" s="14" t="s">
        <v>1245</v>
      </c>
      <c r="G1022" s="14" t="s">
        <v>1207</v>
      </c>
      <c r="H1022" s="4"/>
      <c r="I1022" s="4">
        <f t="shared" si="92"/>
        <v>0</v>
      </c>
      <c r="J1022" s="4"/>
      <c r="K1022" s="4">
        <f t="shared" si="91"/>
        <v>0</v>
      </c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 spans="1:26" ht="15.75" customHeight="1" x14ac:dyDescent="0.2">
      <c r="A1023" s="1">
        <v>1247</v>
      </c>
      <c r="B1023" s="13" t="s">
        <v>699</v>
      </c>
      <c r="C1023" s="14" t="s">
        <v>1287</v>
      </c>
      <c r="D1023" s="14" t="s">
        <v>78</v>
      </c>
      <c r="E1023" s="14" t="s">
        <v>32</v>
      </c>
      <c r="F1023" s="14" t="s">
        <v>1245</v>
      </c>
      <c r="G1023" s="14" t="s">
        <v>1207</v>
      </c>
      <c r="H1023" s="4"/>
      <c r="I1023" s="4">
        <f t="shared" si="92"/>
        <v>0</v>
      </c>
      <c r="J1023" s="4"/>
      <c r="K1023" s="4">
        <f t="shared" si="91"/>
        <v>0</v>
      </c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 spans="1:26" ht="15.75" customHeight="1" x14ac:dyDescent="0.2">
      <c r="A1024" s="1"/>
      <c r="B1024" s="2" t="s">
        <v>94</v>
      </c>
      <c r="C1024" s="3" t="s">
        <v>1288</v>
      </c>
      <c r="D1024" s="3" t="s">
        <v>1289</v>
      </c>
      <c r="E1024" s="3" t="s">
        <v>306</v>
      </c>
      <c r="F1024" s="3" t="s">
        <v>1245</v>
      </c>
      <c r="G1024" s="3" t="s">
        <v>1207</v>
      </c>
      <c r="H1024" s="4"/>
      <c r="I1024" s="4">
        <f t="shared" si="92"/>
        <v>0</v>
      </c>
      <c r="J1024" s="4"/>
      <c r="K1024" s="4">
        <f t="shared" si="91"/>
        <v>0</v>
      </c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 spans="1:26" ht="15.75" customHeight="1" x14ac:dyDescent="0.2">
      <c r="A1025" s="1"/>
      <c r="B1025" s="2" t="s">
        <v>118</v>
      </c>
      <c r="C1025" s="3" t="s">
        <v>1290</v>
      </c>
      <c r="D1025" s="3" t="s">
        <v>1024</v>
      </c>
      <c r="E1025" s="3" t="s">
        <v>1291</v>
      </c>
      <c r="F1025" s="3" t="s">
        <v>1245</v>
      </c>
      <c r="G1025" s="3" t="s">
        <v>1207</v>
      </c>
      <c r="H1025" s="4"/>
      <c r="I1025" s="4">
        <f t="shared" si="92"/>
        <v>0</v>
      </c>
      <c r="J1025" s="4"/>
      <c r="K1025" s="4">
        <f t="shared" si="91"/>
        <v>0</v>
      </c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 spans="1:26" ht="15.75" customHeight="1" x14ac:dyDescent="0.2">
      <c r="A1026" s="1"/>
      <c r="B1026" s="2" t="s">
        <v>94</v>
      </c>
      <c r="C1026" s="3" t="s">
        <v>1290</v>
      </c>
      <c r="D1026" s="3" t="s">
        <v>1024</v>
      </c>
      <c r="E1026" s="3" t="s">
        <v>1291</v>
      </c>
      <c r="F1026" s="3" t="s">
        <v>1245</v>
      </c>
      <c r="G1026" s="3" t="s">
        <v>1207</v>
      </c>
      <c r="H1026" s="4"/>
      <c r="I1026" s="4">
        <f t="shared" si="92"/>
        <v>0</v>
      </c>
      <c r="J1026" s="4"/>
      <c r="K1026" s="4">
        <f t="shared" si="91"/>
        <v>0</v>
      </c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 spans="1:26" ht="15.75" customHeight="1" x14ac:dyDescent="0.2">
      <c r="A1027" s="1"/>
      <c r="B1027" s="2" t="s">
        <v>118</v>
      </c>
      <c r="C1027" s="3" t="s">
        <v>1292</v>
      </c>
      <c r="D1027" s="3" t="s">
        <v>139</v>
      </c>
      <c r="E1027" s="3" t="s">
        <v>334</v>
      </c>
      <c r="F1027" s="3" t="s">
        <v>1245</v>
      </c>
      <c r="G1027" s="3" t="s">
        <v>1207</v>
      </c>
      <c r="H1027" s="4"/>
      <c r="I1027" s="4">
        <f t="shared" si="92"/>
        <v>0</v>
      </c>
      <c r="J1027" s="4"/>
      <c r="K1027" s="4">
        <f t="shared" si="91"/>
        <v>0</v>
      </c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 spans="1:26" ht="15.75" customHeight="1" x14ac:dyDescent="0.2">
      <c r="A1028" s="1"/>
      <c r="B1028" s="2" t="s">
        <v>108</v>
      </c>
      <c r="C1028" s="3" t="s">
        <v>1292</v>
      </c>
      <c r="D1028" s="3" t="s">
        <v>139</v>
      </c>
      <c r="E1028" s="3" t="s">
        <v>334</v>
      </c>
      <c r="F1028" s="3" t="s">
        <v>1245</v>
      </c>
      <c r="G1028" s="3" t="s">
        <v>1207</v>
      </c>
      <c r="H1028" s="4"/>
      <c r="I1028" s="4">
        <f t="shared" si="92"/>
        <v>0</v>
      </c>
      <c r="J1028" s="4"/>
      <c r="K1028" s="4">
        <f t="shared" si="91"/>
        <v>0</v>
      </c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 spans="1:26" ht="15.75" customHeight="1" x14ac:dyDescent="0.2">
      <c r="A1029" s="1"/>
      <c r="B1029" s="2" t="s">
        <v>94</v>
      </c>
      <c r="C1029" s="3" t="s">
        <v>1292</v>
      </c>
      <c r="D1029" s="3" t="s">
        <v>139</v>
      </c>
      <c r="E1029" s="3" t="s">
        <v>334</v>
      </c>
      <c r="F1029" s="3" t="s">
        <v>1245</v>
      </c>
      <c r="G1029" s="3" t="s">
        <v>1207</v>
      </c>
      <c r="H1029" s="4"/>
      <c r="I1029" s="4">
        <f t="shared" si="92"/>
        <v>0</v>
      </c>
      <c r="J1029" s="4"/>
      <c r="K1029" s="4">
        <f t="shared" si="91"/>
        <v>0</v>
      </c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 spans="1:26" ht="15.75" customHeight="1" x14ac:dyDescent="0.2">
      <c r="A1030" s="1">
        <v>1139</v>
      </c>
      <c r="B1030" s="13" t="s">
        <v>449</v>
      </c>
      <c r="C1030" s="14" t="s">
        <v>1293</v>
      </c>
      <c r="D1030" s="14" t="s">
        <v>934</v>
      </c>
      <c r="E1030" s="14" t="s">
        <v>357</v>
      </c>
      <c r="F1030" s="14" t="s">
        <v>1245</v>
      </c>
      <c r="G1030" s="14" t="s">
        <v>1207</v>
      </c>
      <c r="H1030" s="4"/>
      <c r="I1030" s="4">
        <f t="shared" si="92"/>
        <v>0</v>
      </c>
      <c r="J1030" s="4"/>
      <c r="K1030" s="4">
        <f t="shared" si="91"/>
        <v>0</v>
      </c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 spans="1:26" ht="15.75" customHeight="1" x14ac:dyDescent="0.2">
      <c r="A1031" s="1">
        <v>2281</v>
      </c>
      <c r="B1031" s="13" t="s">
        <v>283</v>
      </c>
      <c r="C1031" s="14" t="s">
        <v>1293</v>
      </c>
      <c r="D1031" s="14" t="s">
        <v>934</v>
      </c>
      <c r="E1031" s="14" t="s">
        <v>357</v>
      </c>
      <c r="F1031" s="14" t="s">
        <v>1245</v>
      </c>
      <c r="G1031" s="14" t="s">
        <v>1207</v>
      </c>
      <c r="H1031" s="4"/>
      <c r="I1031" s="4">
        <f t="shared" si="92"/>
        <v>0</v>
      </c>
      <c r="J1031" s="4"/>
      <c r="K1031" s="4">
        <f t="shared" si="91"/>
        <v>0</v>
      </c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 spans="1:26" ht="15.75" customHeight="1" x14ac:dyDescent="0.2">
      <c r="A1032" s="1">
        <v>2987</v>
      </c>
      <c r="B1032" s="13" t="s">
        <v>289</v>
      </c>
      <c r="C1032" s="14" t="s">
        <v>1293</v>
      </c>
      <c r="D1032" s="14" t="s">
        <v>934</v>
      </c>
      <c r="E1032" s="14" t="s">
        <v>357</v>
      </c>
      <c r="F1032" s="14" t="s">
        <v>1245</v>
      </c>
      <c r="G1032" s="14" t="s">
        <v>1207</v>
      </c>
      <c r="H1032" s="4"/>
      <c r="I1032" s="4">
        <f t="shared" si="92"/>
        <v>0</v>
      </c>
      <c r="J1032" s="4"/>
      <c r="K1032" s="4">
        <f t="shared" si="91"/>
        <v>0</v>
      </c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 spans="1:26" ht="15.75" customHeight="1" x14ac:dyDescent="0.2">
      <c r="A1033" s="1">
        <v>2029</v>
      </c>
      <c r="B1033" s="13" t="s">
        <v>701</v>
      </c>
      <c r="C1033" s="14" t="s">
        <v>1294</v>
      </c>
      <c r="D1033" s="14" t="s">
        <v>1295</v>
      </c>
      <c r="E1033" s="14" t="s">
        <v>1296</v>
      </c>
      <c r="F1033" s="14" t="s">
        <v>1245</v>
      </c>
      <c r="G1033" s="14" t="s">
        <v>1207</v>
      </c>
      <c r="H1033" s="4"/>
      <c r="I1033" s="4">
        <f t="shared" si="92"/>
        <v>0</v>
      </c>
      <c r="J1033" s="4"/>
      <c r="K1033" s="4">
        <f t="shared" si="91"/>
        <v>0</v>
      </c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 spans="1:26" ht="15.75" customHeight="1" x14ac:dyDescent="0.2">
      <c r="A1034" s="1">
        <v>2627</v>
      </c>
      <c r="B1034" s="13" t="s">
        <v>702</v>
      </c>
      <c r="C1034" s="14" t="s">
        <v>1294</v>
      </c>
      <c r="D1034" s="14" t="s">
        <v>1295</v>
      </c>
      <c r="E1034" s="14" t="s">
        <v>1296</v>
      </c>
      <c r="F1034" s="14" t="s">
        <v>1245</v>
      </c>
      <c r="G1034" s="14" t="s">
        <v>1207</v>
      </c>
      <c r="H1034" s="4"/>
      <c r="I1034" s="4">
        <f t="shared" si="92"/>
        <v>0</v>
      </c>
      <c r="J1034" s="4"/>
      <c r="K1034" s="4">
        <f t="shared" si="91"/>
        <v>0</v>
      </c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 spans="1:26" ht="15.75" customHeight="1" x14ac:dyDescent="0.2">
      <c r="A1035" s="1">
        <v>2745</v>
      </c>
      <c r="B1035" s="13" t="s">
        <v>944</v>
      </c>
      <c r="C1035" s="14" t="s">
        <v>1294</v>
      </c>
      <c r="D1035" s="14" t="s">
        <v>1295</v>
      </c>
      <c r="E1035" s="14" t="s">
        <v>1296</v>
      </c>
      <c r="F1035" s="14" t="s">
        <v>1245</v>
      </c>
      <c r="G1035" s="14" t="s">
        <v>1207</v>
      </c>
      <c r="H1035" s="4"/>
      <c r="I1035" s="4">
        <f t="shared" si="92"/>
        <v>0</v>
      </c>
      <c r="J1035" s="4"/>
      <c r="K1035" s="4">
        <f t="shared" si="91"/>
        <v>0</v>
      </c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 spans="1:26" ht="15.75" customHeight="1" x14ac:dyDescent="0.2">
      <c r="A1036" s="1">
        <v>29</v>
      </c>
      <c r="B1036" s="13" t="s">
        <v>939</v>
      </c>
      <c r="C1036" s="14" t="s">
        <v>700</v>
      </c>
      <c r="D1036" s="14" t="s">
        <v>822</v>
      </c>
      <c r="E1036" s="14" t="s">
        <v>571</v>
      </c>
      <c r="F1036" s="14" t="s">
        <v>1297</v>
      </c>
      <c r="G1036" s="14" t="s">
        <v>1207</v>
      </c>
      <c r="H1036" s="4"/>
      <c r="I1036" s="4">
        <f t="shared" ref="I1036:I1039" si="93">H1036*2300</f>
        <v>0</v>
      </c>
      <c r="J1036" s="4"/>
      <c r="K1036" s="4">
        <f t="shared" si="91"/>
        <v>0</v>
      </c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 spans="1:26" ht="15.75" customHeight="1" x14ac:dyDescent="0.2">
      <c r="A1037" s="1">
        <v>71</v>
      </c>
      <c r="B1037" s="13" t="s">
        <v>226</v>
      </c>
      <c r="C1037" s="14" t="s">
        <v>700</v>
      </c>
      <c r="D1037" s="14" t="s">
        <v>557</v>
      </c>
      <c r="E1037" s="14" t="s">
        <v>571</v>
      </c>
      <c r="F1037" s="14" t="s">
        <v>1297</v>
      </c>
      <c r="G1037" s="14" t="s">
        <v>1207</v>
      </c>
      <c r="H1037" s="4"/>
      <c r="I1037" s="4">
        <f t="shared" si="93"/>
        <v>0</v>
      </c>
      <c r="J1037" s="4"/>
      <c r="K1037" s="4">
        <f t="shared" si="91"/>
        <v>0</v>
      </c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 spans="1:26" ht="15.75" customHeight="1" x14ac:dyDescent="0.2">
      <c r="A1038" s="1">
        <v>39</v>
      </c>
      <c r="B1038" s="13" t="s">
        <v>939</v>
      </c>
      <c r="C1038" s="14" t="s">
        <v>1298</v>
      </c>
      <c r="D1038" s="14" t="s">
        <v>884</v>
      </c>
      <c r="E1038" s="14" t="s">
        <v>237</v>
      </c>
      <c r="F1038" s="14" t="s">
        <v>1297</v>
      </c>
      <c r="G1038" s="14" t="s">
        <v>1207</v>
      </c>
      <c r="H1038" s="4"/>
      <c r="I1038" s="4">
        <f t="shared" si="93"/>
        <v>0</v>
      </c>
      <c r="J1038" s="4"/>
      <c r="K1038" s="4">
        <f t="shared" si="91"/>
        <v>0</v>
      </c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 spans="1:26" ht="15.75" customHeight="1" x14ac:dyDescent="0.2">
      <c r="A1039" s="1">
        <v>417</v>
      </c>
      <c r="B1039" s="13" t="s">
        <v>1299</v>
      </c>
      <c r="C1039" s="14" t="s">
        <v>1282</v>
      </c>
      <c r="D1039" s="14" t="s">
        <v>1300</v>
      </c>
      <c r="E1039" s="14" t="s">
        <v>1284</v>
      </c>
      <c r="F1039" s="14" t="s">
        <v>1297</v>
      </c>
      <c r="G1039" s="14" t="s">
        <v>1207</v>
      </c>
      <c r="H1039" s="4"/>
      <c r="I1039" s="4">
        <f t="shared" si="93"/>
        <v>0</v>
      </c>
      <c r="J1039" s="4"/>
      <c r="K1039" s="4">
        <f t="shared" si="91"/>
        <v>0</v>
      </c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 spans="1:26" ht="15.75" customHeight="1" x14ac:dyDescent="0.2">
      <c r="A1040" s="1">
        <v>2231</v>
      </c>
      <c r="B1040" s="13" t="s">
        <v>282</v>
      </c>
      <c r="C1040" s="14" t="s">
        <v>1282</v>
      </c>
      <c r="D1040" s="14" t="s">
        <v>1300</v>
      </c>
      <c r="E1040" s="14" t="s">
        <v>1284</v>
      </c>
      <c r="F1040" s="14" t="s">
        <v>1297</v>
      </c>
      <c r="G1040" s="14" t="s">
        <v>1207</v>
      </c>
      <c r="H1040" s="4"/>
      <c r="I1040" s="4">
        <f t="shared" ref="I1040:I1043" si="94">H1040*1800</f>
        <v>0</v>
      </c>
      <c r="J1040" s="4"/>
      <c r="K1040" s="4">
        <f t="shared" si="91"/>
        <v>0</v>
      </c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 spans="1:26" ht="15.75" customHeight="1" x14ac:dyDescent="0.2">
      <c r="A1041" s="1">
        <v>65</v>
      </c>
      <c r="B1041" s="13" t="s">
        <v>1301</v>
      </c>
      <c r="C1041" s="14" t="s">
        <v>85</v>
      </c>
      <c r="D1041" s="14" t="s">
        <v>1302</v>
      </c>
      <c r="E1041" s="14" t="s">
        <v>112</v>
      </c>
      <c r="F1041" s="14" t="s">
        <v>1297</v>
      </c>
      <c r="G1041" s="14" t="s">
        <v>1207</v>
      </c>
      <c r="H1041" s="4"/>
      <c r="I1041" s="4">
        <f t="shared" si="94"/>
        <v>0</v>
      </c>
      <c r="J1041" s="4"/>
      <c r="K1041" s="4">
        <f t="shared" si="91"/>
        <v>0</v>
      </c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 spans="1:26" ht="15.75" customHeight="1" x14ac:dyDescent="0.2">
      <c r="A1042" s="1">
        <v>881</v>
      </c>
      <c r="B1042" s="13" t="s">
        <v>634</v>
      </c>
      <c r="C1042" s="14" t="s">
        <v>85</v>
      </c>
      <c r="D1042" s="14" t="s">
        <v>1302</v>
      </c>
      <c r="E1042" s="14" t="s">
        <v>112</v>
      </c>
      <c r="F1042" s="14" t="s">
        <v>1297</v>
      </c>
      <c r="G1042" s="14" t="s">
        <v>1207</v>
      </c>
      <c r="H1042" s="4"/>
      <c r="I1042" s="4">
        <f t="shared" si="94"/>
        <v>0</v>
      </c>
      <c r="J1042" s="4"/>
      <c r="K1042" s="4">
        <f t="shared" si="91"/>
        <v>0</v>
      </c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 spans="1:26" ht="15.75" customHeight="1" x14ac:dyDescent="0.2">
      <c r="A1043" s="1">
        <v>2027</v>
      </c>
      <c r="B1043" s="13" t="s">
        <v>701</v>
      </c>
      <c r="C1043" s="14" t="s">
        <v>85</v>
      </c>
      <c r="D1043" s="14" t="s">
        <v>1302</v>
      </c>
      <c r="E1043" s="14" t="s">
        <v>112</v>
      </c>
      <c r="F1043" s="14" t="s">
        <v>1297</v>
      </c>
      <c r="G1043" s="14" t="s">
        <v>1207</v>
      </c>
      <c r="H1043" s="4"/>
      <c r="I1043" s="4">
        <f t="shared" si="94"/>
        <v>0</v>
      </c>
      <c r="J1043" s="4"/>
      <c r="K1043" s="4">
        <f t="shared" si="91"/>
        <v>0</v>
      </c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 spans="1:26" ht="15.75" customHeight="1" x14ac:dyDescent="0.2">
      <c r="A1044" s="1">
        <v>1087</v>
      </c>
      <c r="B1044" s="13" t="s">
        <v>710</v>
      </c>
      <c r="C1044" s="14" t="s">
        <v>1303</v>
      </c>
      <c r="D1044" s="14" t="s">
        <v>973</v>
      </c>
      <c r="E1044" s="14" t="s">
        <v>1304</v>
      </c>
      <c r="F1044" s="14" t="s">
        <v>1305</v>
      </c>
      <c r="G1044" s="14" t="s">
        <v>1207</v>
      </c>
      <c r="H1044" s="4">
        <v>40</v>
      </c>
      <c r="I1044" s="4">
        <f t="shared" ref="I1044:I1056" si="95">H1044*2300</f>
        <v>92000</v>
      </c>
      <c r="J1044" s="4">
        <v>3</v>
      </c>
      <c r="K1044" s="4">
        <f t="shared" si="91"/>
        <v>12000</v>
      </c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 spans="1:26" ht="15.75" customHeight="1" x14ac:dyDescent="0.2">
      <c r="A1045" s="1">
        <v>2069</v>
      </c>
      <c r="B1045" s="13" t="s">
        <v>653</v>
      </c>
      <c r="C1045" s="14" t="s">
        <v>1303</v>
      </c>
      <c r="D1045" s="14" t="s">
        <v>973</v>
      </c>
      <c r="E1045" s="14" t="s">
        <v>1304</v>
      </c>
      <c r="F1045" s="14" t="s">
        <v>1305</v>
      </c>
      <c r="G1045" s="14" t="s">
        <v>1207</v>
      </c>
      <c r="H1045" s="4"/>
      <c r="I1045" s="4">
        <f t="shared" si="95"/>
        <v>0</v>
      </c>
      <c r="J1045" s="4"/>
      <c r="K1045" s="4">
        <f t="shared" si="91"/>
        <v>0</v>
      </c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 spans="1:26" ht="15.75" customHeight="1" x14ac:dyDescent="0.2">
      <c r="A1046" s="1">
        <v>2513</v>
      </c>
      <c r="B1046" s="13" t="s">
        <v>434</v>
      </c>
      <c r="C1046" s="14" t="s">
        <v>1306</v>
      </c>
      <c r="D1046" s="14" t="s">
        <v>1307</v>
      </c>
      <c r="E1046" s="14" t="s">
        <v>1308</v>
      </c>
      <c r="F1046" s="14" t="s">
        <v>1305</v>
      </c>
      <c r="G1046" s="14" t="s">
        <v>1207</v>
      </c>
      <c r="H1046" s="4"/>
      <c r="I1046" s="4">
        <f t="shared" si="95"/>
        <v>0</v>
      </c>
      <c r="J1046" s="4"/>
      <c r="K1046" s="4">
        <f t="shared" si="91"/>
        <v>0</v>
      </c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 spans="1:26" ht="15.75" customHeight="1" x14ac:dyDescent="0.2">
      <c r="A1047" s="1">
        <v>527</v>
      </c>
      <c r="B1047" s="13" t="s">
        <v>678</v>
      </c>
      <c r="C1047" s="14" t="s">
        <v>1309</v>
      </c>
      <c r="D1047" s="14" t="s">
        <v>1310</v>
      </c>
      <c r="E1047" s="14" t="s">
        <v>1038</v>
      </c>
      <c r="F1047" s="14" t="s">
        <v>1311</v>
      </c>
      <c r="G1047" s="14" t="s">
        <v>1207</v>
      </c>
      <c r="H1047" s="4"/>
      <c r="I1047" s="4">
        <f t="shared" si="95"/>
        <v>0</v>
      </c>
      <c r="J1047" s="4"/>
      <c r="K1047" s="4">
        <f t="shared" si="91"/>
        <v>0</v>
      </c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 spans="1:26" ht="15.75" customHeight="1" x14ac:dyDescent="0.2">
      <c r="A1048" s="1">
        <v>583</v>
      </c>
      <c r="B1048" s="13" t="s">
        <v>368</v>
      </c>
      <c r="C1048" s="14" t="s">
        <v>1312</v>
      </c>
      <c r="D1048" s="14" t="s">
        <v>1068</v>
      </c>
      <c r="E1048" s="14" t="s">
        <v>1313</v>
      </c>
      <c r="F1048" s="14" t="s">
        <v>1311</v>
      </c>
      <c r="G1048" s="14" t="s">
        <v>1207</v>
      </c>
      <c r="H1048" s="4"/>
      <c r="I1048" s="4">
        <f t="shared" si="95"/>
        <v>0</v>
      </c>
      <c r="J1048" s="4"/>
      <c r="K1048" s="4">
        <f t="shared" si="91"/>
        <v>0</v>
      </c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 spans="1:26" ht="15.75" customHeight="1" x14ac:dyDescent="0.2">
      <c r="A1049" s="1">
        <v>951</v>
      </c>
      <c r="B1049" s="13" t="s">
        <v>709</v>
      </c>
      <c r="C1049" s="14" t="s">
        <v>1314</v>
      </c>
      <c r="D1049" s="14" t="s">
        <v>562</v>
      </c>
      <c r="E1049" s="14" t="s">
        <v>630</v>
      </c>
      <c r="F1049" s="14" t="s">
        <v>1311</v>
      </c>
      <c r="G1049" s="14" t="s">
        <v>1207</v>
      </c>
      <c r="H1049" s="4"/>
      <c r="I1049" s="4">
        <f t="shared" si="95"/>
        <v>0</v>
      </c>
      <c r="J1049" s="4"/>
      <c r="K1049" s="4">
        <f t="shared" si="91"/>
        <v>0</v>
      </c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 spans="1:26" ht="15.75" customHeight="1" x14ac:dyDescent="0.2">
      <c r="A1050" s="1">
        <v>953</v>
      </c>
      <c r="B1050" s="13" t="s">
        <v>709</v>
      </c>
      <c r="C1050" s="14" t="s">
        <v>1315</v>
      </c>
      <c r="D1050" s="14" t="s">
        <v>39</v>
      </c>
      <c r="E1050" s="14" t="s">
        <v>650</v>
      </c>
      <c r="F1050" s="14" t="s">
        <v>1311</v>
      </c>
      <c r="G1050" s="14" t="s">
        <v>1207</v>
      </c>
      <c r="H1050" s="4"/>
      <c r="I1050" s="4">
        <f t="shared" si="95"/>
        <v>0</v>
      </c>
      <c r="J1050" s="4"/>
      <c r="K1050" s="4">
        <f t="shared" si="91"/>
        <v>0</v>
      </c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 spans="1:26" ht="15.75" customHeight="1" x14ac:dyDescent="0.2">
      <c r="A1051" s="1">
        <v>1141</v>
      </c>
      <c r="B1051" s="13" t="s">
        <v>449</v>
      </c>
      <c r="C1051" s="14" t="s">
        <v>1316</v>
      </c>
      <c r="D1051" s="14" t="s">
        <v>513</v>
      </c>
      <c r="E1051" s="14" t="s">
        <v>1200</v>
      </c>
      <c r="F1051" s="14" t="s">
        <v>1311</v>
      </c>
      <c r="G1051" s="14" t="s">
        <v>1207</v>
      </c>
      <c r="H1051" s="4"/>
      <c r="I1051" s="4">
        <f t="shared" si="95"/>
        <v>0</v>
      </c>
      <c r="J1051" s="4"/>
      <c r="K1051" s="4">
        <f t="shared" si="91"/>
        <v>0</v>
      </c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 spans="1:26" ht="15.75" customHeight="1" x14ac:dyDescent="0.2">
      <c r="A1052" s="1">
        <v>1173</v>
      </c>
      <c r="B1052" s="13" t="s">
        <v>256</v>
      </c>
      <c r="C1052" s="14" t="s">
        <v>1309</v>
      </c>
      <c r="D1052" s="14" t="s">
        <v>1310</v>
      </c>
      <c r="E1052" s="14" t="s">
        <v>1038</v>
      </c>
      <c r="F1052" s="14" t="s">
        <v>1311</v>
      </c>
      <c r="G1052" s="14" t="s">
        <v>1207</v>
      </c>
      <c r="H1052" s="4"/>
      <c r="I1052" s="4">
        <f t="shared" si="95"/>
        <v>0</v>
      </c>
      <c r="J1052" s="4"/>
      <c r="K1052" s="4">
        <f t="shared" si="91"/>
        <v>0</v>
      </c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 spans="1:26" ht="15.75" customHeight="1" x14ac:dyDescent="0.2">
      <c r="A1053" s="1">
        <v>2053</v>
      </c>
      <c r="B1053" s="13" t="s">
        <v>701</v>
      </c>
      <c r="C1053" s="14" t="s">
        <v>1314</v>
      </c>
      <c r="D1053" s="14" t="s">
        <v>562</v>
      </c>
      <c r="E1053" s="14" t="s">
        <v>630</v>
      </c>
      <c r="F1053" s="14" t="s">
        <v>1311</v>
      </c>
      <c r="G1053" s="14" t="s">
        <v>1207</v>
      </c>
      <c r="H1053" s="4"/>
      <c r="I1053" s="4">
        <f t="shared" si="95"/>
        <v>0</v>
      </c>
      <c r="J1053" s="4"/>
      <c r="K1053" s="4">
        <f t="shared" si="91"/>
        <v>0</v>
      </c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 spans="1:26" ht="15.75" customHeight="1" x14ac:dyDescent="0.2">
      <c r="A1054" s="1">
        <v>2265</v>
      </c>
      <c r="B1054" s="13" t="s">
        <v>517</v>
      </c>
      <c r="C1054" s="14" t="s">
        <v>1316</v>
      </c>
      <c r="D1054" s="14" t="s">
        <v>513</v>
      </c>
      <c r="E1054" s="14" t="s">
        <v>1200</v>
      </c>
      <c r="F1054" s="14" t="s">
        <v>1311</v>
      </c>
      <c r="G1054" s="14" t="s">
        <v>1207</v>
      </c>
      <c r="H1054" s="4"/>
      <c r="I1054" s="4">
        <f t="shared" si="95"/>
        <v>0</v>
      </c>
      <c r="J1054" s="4"/>
      <c r="K1054" s="4">
        <f t="shared" si="91"/>
        <v>0</v>
      </c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 spans="1:26" ht="15.75" customHeight="1" x14ac:dyDescent="0.2">
      <c r="A1055" s="1">
        <v>2269</v>
      </c>
      <c r="B1055" s="13" t="s">
        <v>283</v>
      </c>
      <c r="C1055" s="14" t="s">
        <v>1309</v>
      </c>
      <c r="D1055" s="14" t="s">
        <v>1310</v>
      </c>
      <c r="E1055" s="14" t="s">
        <v>1038</v>
      </c>
      <c r="F1055" s="14" t="s">
        <v>1311</v>
      </c>
      <c r="G1055" s="14" t="s">
        <v>1207</v>
      </c>
      <c r="H1055" s="4"/>
      <c r="I1055" s="4">
        <f t="shared" si="95"/>
        <v>0</v>
      </c>
      <c r="J1055" s="4"/>
      <c r="K1055" s="4">
        <f t="shared" si="91"/>
        <v>0</v>
      </c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 spans="1:26" ht="15.75" customHeight="1" x14ac:dyDescent="0.2">
      <c r="A1056" s="1">
        <v>2313</v>
      </c>
      <c r="B1056" s="13" t="s">
        <v>284</v>
      </c>
      <c r="C1056" s="14" t="s">
        <v>1312</v>
      </c>
      <c r="D1056" s="14" t="s">
        <v>1068</v>
      </c>
      <c r="E1056" s="14" t="s">
        <v>1313</v>
      </c>
      <c r="F1056" s="14" t="s">
        <v>1311</v>
      </c>
      <c r="G1056" s="14" t="s">
        <v>1207</v>
      </c>
      <c r="H1056" s="4"/>
      <c r="I1056" s="4">
        <f t="shared" si="95"/>
        <v>0</v>
      </c>
      <c r="J1056" s="4"/>
      <c r="K1056" s="4">
        <f t="shared" si="91"/>
        <v>0</v>
      </c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 spans="1:26" ht="15.75" customHeight="1" x14ac:dyDescent="0.2">
      <c r="A1057" s="1"/>
      <c r="B1057" s="2" t="s">
        <v>109</v>
      </c>
      <c r="C1057" s="3" t="s">
        <v>1317</v>
      </c>
      <c r="D1057" s="3" t="s">
        <v>39</v>
      </c>
      <c r="E1057" s="3" t="s">
        <v>413</v>
      </c>
      <c r="F1057" s="3" t="s">
        <v>1311</v>
      </c>
      <c r="G1057" s="3" t="s">
        <v>1207</v>
      </c>
      <c r="H1057" s="4"/>
      <c r="I1057" s="4">
        <f t="shared" ref="I1057:I1059" si="96">H1057*1800</f>
        <v>0</v>
      </c>
      <c r="J1057" s="4"/>
      <c r="K1057" s="4">
        <f t="shared" si="91"/>
        <v>0</v>
      </c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 spans="1:26" ht="15.75" customHeight="1" x14ac:dyDescent="0.2">
      <c r="A1058" s="1"/>
      <c r="B1058" s="2" t="s">
        <v>108</v>
      </c>
      <c r="C1058" s="3" t="s">
        <v>1317</v>
      </c>
      <c r="D1058" s="3" t="s">
        <v>39</v>
      </c>
      <c r="E1058" s="3" t="s">
        <v>413</v>
      </c>
      <c r="F1058" s="3" t="s">
        <v>1311</v>
      </c>
      <c r="G1058" s="3" t="s">
        <v>1207</v>
      </c>
      <c r="H1058" s="4"/>
      <c r="I1058" s="4">
        <f t="shared" si="96"/>
        <v>0</v>
      </c>
      <c r="J1058" s="4"/>
      <c r="K1058" s="4">
        <f t="shared" si="91"/>
        <v>0</v>
      </c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 spans="1:26" ht="15.75" customHeight="1" x14ac:dyDescent="0.2">
      <c r="A1059" s="1"/>
      <c r="B1059" s="2" t="s">
        <v>94</v>
      </c>
      <c r="C1059" s="3" t="s">
        <v>1318</v>
      </c>
      <c r="D1059" s="3" t="s">
        <v>1319</v>
      </c>
      <c r="E1059" s="3" t="s">
        <v>1320</v>
      </c>
      <c r="F1059" s="3" t="s">
        <v>1311</v>
      </c>
      <c r="G1059" s="3" t="s">
        <v>1207</v>
      </c>
      <c r="H1059" s="4"/>
      <c r="I1059" s="4">
        <f t="shared" si="96"/>
        <v>0</v>
      </c>
      <c r="J1059" s="4"/>
      <c r="K1059" s="4">
        <f t="shared" si="91"/>
        <v>0</v>
      </c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 spans="1:26" ht="15.75" customHeight="1" x14ac:dyDescent="0.2">
      <c r="A1060" s="1">
        <v>25</v>
      </c>
      <c r="B1060" s="13" t="s">
        <v>939</v>
      </c>
      <c r="C1060" s="14" t="s">
        <v>858</v>
      </c>
      <c r="D1060" s="14" t="s">
        <v>1321</v>
      </c>
      <c r="E1060" s="14" t="s">
        <v>1235</v>
      </c>
      <c r="F1060" s="14" t="s">
        <v>1322</v>
      </c>
      <c r="G1060" s="14" t="s">
        <v>1207</v>
      </c>
      <c r="H1060" s="4"/>
      <c r="I1060" s="4">
        <f t="shared" ref="I1060:I1100" si="97">H1060*2300</f>
        <v>0</v>
      </c>
      <c r="J1060" s="4"/>
      <c r="K1060" s="4">
        <f t="shared" si="91"/>
        <v>0</v>
      </c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 spans="1:26" ht="15.75" customHeight="1" x14ac:dyDescent="0.2">
      <c r="A1061" s="1">
        <v>27</v>
      </c>
      <c r="B1061" s="13" t="s">
        <v>939</v>
      </c>
      <c r="C1061" s="14" t="s">
        <v>1323</v>
      </c>
      <c r="D1061" s="14" t="s">
        <v>462</v>
      </c>
      <c r="E1061" s="14" t="s">
        <v>1212</v>
      </c>
      <c r="F1061" s="14" t="s">
        <v>1322</v>
      </c>
      <c r="G1061" s="14" t="s">
        <v>1207</v>
      </c>
      <c r="H1061" s="4"/>
      <c r="I1061" s="4">
        <f t="shared" si="97"/>
        <v>0</v>
      </c>
      <c r="J1061" s="4"/>
      <c r="K1061" s="4">
        <f t="shared" si="91"/>
        <v>0</v>
      </c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 spans="1:26" ht="15.75" customHeight="1" x14ac:dyDescent="0.2">
      <c r="A1062" s="1">
        <v>49</v>
      </c>
      <c r="B1062" s="13" t="s">
        <v>1301</v>
      </c>
      <c r="C1062" s="14" t="s">
        <v>1324</v>
      </c>
      <c r="D1062" s="14" t="s">
        <v>636</v>
      </c>
      <c r="E1062" s="14" t="s">
        <v>393</v>
      </c>
      <c r="F1062" s="14" t="s">
        <v>1322</v>
      </c>
      <c r="G1062" s="14" t="s">
        <v>1207</v>
      </c>
      <c r="H1062" s="4"/>
      <c r="I1062" s="4">
        <f t="shared" si="97"/>
        <v>0</v>
      </c>
      <c r="J1062" s="4"/>
      <c r="K1062" s="4">
        <f t="shared" si="91"/>
        <v>0</v>
      </c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 spans="1:26" ht="15.75" customHeight="1" x14ac:dyDescent="0.2">
      <c r="A1063" s="1">
        <v>59</v>
      </c>
      <c r="B1063" s="13" t="s">
        <v>1301</v>
      </c>
      <c r="C1063" s="14" t="s">
        <v>1325</v>
      </c>
      <c r="D1063" s="14" t="s">
        <v>163</v>
      </c>
      <c r="E1063" s="14" t="s">
        <v>452</v>
      </c>
      <c r="F1063" s="14" t="s">
        <v>1322</v>
      </c>
      <c r="G1063" s="14" t="s">
        <v>1207</v>
      </c>
      <c r="H1063" s="4"/>
      <c r="I1063" s="4">
        <f t="shared" si="97"/>
        <v>0</v>
      </c>
      <c r="J1063" s="4"/>
      <c r="K1063" s="4">
        <f t="shared" si="91"/>
        <v>0</v>
      </c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 spans="1:26" ht="15.75" customHeight="1" x14ac:dyDescent="0.2">
      <c r="A1064" s="1">
        <v>61</v>
      </c>
      <c r="B1064" s="13" t="s">
        <v>1301</v>
      </c>
      <c r="C1064" s="14" t="s">
        <v>1326</v>
      </c>
      <c r="D1064" s="14" t="s">
        <v>1327</v>
      </c>
      <c r="E1064" s="14" t="s">
        <v>40</v>
      </c>
      <c r="F1064" s="14" t="s">
        <v>1322</v>
      </c>
      <c r="G1064" s="14" t="s">
        <v>1207</v>
      </c>
      <c r="H1064" s="4"/>
      <c r="I1064" s="4">
        <f t="shared" si="97"/>
        <v>0</v>
      </c>
      <c r="J1064" s="4"/>
      <c r="K1064" s="4">
        <f t="shared" si="91"/>
        <v>0</v>
      </c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 spans="1:26" ht="15.75" customHeight="1" x14ac:dyDescent="0.2">
      <c r="A1065" s="1">
        <v>101</v>
      </c>
      <c r="B1065" s="13" t="s">
        <v>1262</v>
      </c>
      <c r="C1065" s="14" t="s">
        <v>1328</v>
      </c>
      <c r="D1065" s="14" t="s">
        <v>1329</v>
      </c>
      <c r="E1065" s="14" t="s">
        <v>1330</v>
      </c>
      <c r="F1065" s="14" t="s">
        <v>1322</v>
      </c>
      <c r="G1065" s="14" t="s">
        <v>1207</v>
      </c>
      <c r="H1065" s="4"/>
      <c r="I1065" s="4">
        <f t="shared" si="97"/>
        <v>0</v>
      </c>
      <c r="J1065" s="4"/>
      <c r="K1065" s="4">
        <f t="shared" si="91"/>
        <v>0</v>
      </c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 spans="1:26" ht="15.75" customHeight="1" x14ac:dyDescent="0.2">
      <c r="A1066" s="1">
        <v>135</v>
      </c>
      <c r="B1066" s="13" t="s">
        <v>460</v>
      </c>
      <c r="C1066" s="14" t="s">
        <v>1331</v>
      </c>
      <c r="D1066" s="14" t="s">
        <v>1332</v>
      </c>
      <c r="E1066" s="14" t="s">
        <v>1333</v>
      </c>
      <c r="F1066" s="14" t="s">
        <v>1322</v>
      </c>
      <c r="G1066" s="14" t="s">
        <v>1207</v>
      </c>
      <c r="H1066" s="4"/>
      <c r="I1066" s="4">
        <f t="shared" si="97"/>
        <v>0</v>
      </c>
      <c r="J1066" s="4"/>
      <c r="K1066" s="4">
        <f t="shared" si="91"/>
        <v>0</v>
      </c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 spans="1:26" ht="15.75" customHeight="1" x14ac:dyDescent="0.2">
      <c r="A1067" s="1">
        <v>163</v>
      </c>
      <c r="B1067" s="13" t="s">
        <v>549</v>
      </c>
      <c r="C1067" s="14" t="s">
        <v>1334</v>
      </c>
      <c r="D1067" s="14" t="s">
        <v>516</v>
      </c>
      <c r="E1067" s="14" t="s">
        <v>876</v>
      </c>
      <c r="F1067" s="14" t="s">
        <v>1322</v>
      </c>
      <c r="G1067" s="14" t="s">
        <v>1207</v>
      </c>
      <c r="H1067" s="4"/>
      <c r="I1067" s="4">
        <f t="shared" si="97"/>
        <v>0</v>
      </c>
      <c r="J1067" s="4"/>
      <c r="K1067" s="4">
        <f t="shared" si="91"/>
        <v>0</v>
      </c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 spans="1:26" ht="15.75" customHeight="1" x14ac:dyDescent="0.2">
      <c r="A1068" s="1">
        <v>165</v>
      </c>
      <c r="B1068" s="13" t="s">
        <v>549</v>
      </c>
      <c r="C1068" s="14" t="s">
        <v>1334</v>
      </c>
      <c r="D1068" s="14" t="s">
        <v>120</v>
      </c>
      <c r="E1068" s="14" t="s">
        <v>876</v>
      </c>
      <c r="F1068" s="14" t="s">
        <v>1322</v>
      </c>
      <c r="G1068" s="14" t="s">
        <v>1207</v>
      </c>
      <c r="H1068" s="4"/>
      <c r="I1068" s="4">
        <f t="shared" si="97"/>
        <v>0</v>
      </c>
      <c r="J1068" s="4"/>
      <c r="K1068" s="4">
        <f t="shared" si="91"/>
        <v>0</v>
      </c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 spans="1:26" ht="15.75" customHeight="1" x14ac:dyDescent="0.2">
      <c r="A1069" s="1">
        <v>181</v>
      </c>
      <c r="B1069" s="13" t="s">
        <v>549</v>
      </c>
      <c r="C1069" s="14" t="s">
        <v>1335</v>
      </c>
      <c r="D1069" s="14" t="s">
        <v>75</v>
      </c>
      <c r="E1069" s="14" t="s">
        <v>1048</v>
      </c>
      <c r="F1069" s="14" t="s">
        <v>1322</v>
      </c>
      <c r="G1069" s="14" t="s">
        <v>1207</v>
      </c>
      <c r="H1069" s="4"/>
      <c r="I1069" s="4">
        <f t="shared" si="97"/>
        <v>0</v>
      </c>
      <c r="J1069" s="4"/>
      <c r="K1069" s="4">
        <f t="shared" si="91"/>
        <v>0</v>
      </c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 spans="1:26" ht="15.75" customHeight="1" x14ac:dyDescent="0.2">
      <c r="A1070" s="1">
        <v>209</v>
      </c>
      <c r="B1070" s="13" t="s">
        <v>946</v>
      </c>
      <c r="C1070" s="14" t="s">
        <v>1336</v>
      </c>
      <c r="D1070" s="14" t="s">
        <v>1337</v>
      </c>
      <c r="E1070" s="14" t="s">
        <v>1217</v>
      </c>
      <c r="F1070" s="14" t="s">
        <v>1322</v>
      </c>
      <c r="G1070" s="14" t="s">
        <v>1207</v>
      </c>
      <c r="H1070" s="4"/>
      <c r="I1070" s="4">
        <f t="shared" si="97"/>
        <v>0</v>
      </c>
      <c r="J1070" s="4"/>
      <c r="K1070" s="4">
        <f t="shared" si="91"/>
        <v>0</v>
      </c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 spans="1:26" ht="15.75" customHeight="1" x14ac:dyDescent="0.2">
      <c r="A1071" s="1">
        <v>443</v>
      </c>
      <c r="B1071" s="13" t="s">
        <v>674</v>
      </c>
      <c r="C1071" s="14" t="s">
        <v>416</v>
      </c>
      <c r="D1071" s="14" t="s">
        <v>1338</v>
      </c>
      <c r="E1071" s="14" t="s">
        <v>389</v>
      </c>
      <c r="F1071" s="14" t="s">
        <v>1322</v>
      </c>
      <c r="G1071" s="14" t="s">
        <v>1207</v>
      </c>
      <c r="H1071" s="4"/>
      <c r="I1071" s="4">
        <f t="shared" si="97"/>
        <v>0</v>
      </c>
      <c r="J1071" s="4"/>
      <c r="K1071" s="4">
        <f t="shared" si="91"/>
        <v>0</v>
      </c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 spans="1:26" ht="15.75" customHeight="1" x14ac:dyDescent="0.2">
      <c r="A1072" s="1">
        <v>493</v>
      </c>
      <c r="B1072" s="13" t="s">
        <v>1339</v>
      </c>
      <c r="C1072" s="14" t="s">
        <v>1340</v>
      </c>
      <c r="D1072" s="14" t="s">
        <v>1068</v>
      </c>
      <c r="E1072" s="14" t="s">
        <v>18</v>
      </c>
      <c r="F1072" s="14" t="s">
        <v>1322</v>
      </c>
      <c r="G1072" s="14" t="s">
        <v>1207</v>
      </c>
      <c r="H1072" s="4"/>
      <c r="I1072" s="4">
        <f t="shared" si="97"/>
        <v>0</v>
      </c>
      <c r="J1072" s="4"/>
      <c r="K1072" s="4">
        <f t="shared" si="91"/>
        <v>0</v>
      </c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 spans="1:26" ht="15.75" customHeight="1" x14ac:dyDescent="0.2">
      <c r="A1073" s="1">
        <v>511</v>
      </c>
      <c r="B1073" s="13" t="s">
        <v>509</v>
      </c>
      <c r="C1073" s="14" t="s">
        <v>1341</v>
      </c>
      <c r="D1073" s="14" t="s">
        <v>1024</v>
      </c>
      <c r="E1073" s="14" t="s">
        <v>348</v>
      </c>
      <c r="F1073" s="14" t="s">
        <v>1322</v>
      </c>
      <c r="G1073" s="14" t="s">
        <v>1207</v>
      </c>
      <c r="H1073" s="4"/>
      <c r="I1073" s="4">
        <f t="shared" si="97"/>
        <v>0</v>
      </c>
      <c r="J1073" s="4"/>
      <c r="K1073" s="4">
        <f t="shared" si="91"/>
        <v>0</v>
      </c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 spans="1:26" ht="15.75" customHeight="1" x14ac:dyDescent="0.2">
      <c r="A1074" s="1">
        <v>557</v>
      </c>
      <c r="B1074" s="13" t="s">
        <v>368</v>
      </c>
      <c r="C1074" s="14" t="s">
        <v>1342</v>
      </c>
      <c r="D1074" s="14" t="s">
        <v>17</v>
      </c>
      <c r="E1074" s="14" t="s">
        <v>502</v>
      </c>
      <c r="F1074" s="14" t="s">
        <v>1322</v>
      </c>
      <c r="G1074" s="14" t="s">
        <v>1207</v>
      </c>
      <c r="H1074" s="4"/>
      <c r="I1074" s="4">
        <f t="shared" si="97"/>
        <v>0</v>
      </c>
      <c r="J1074" s="4"/>
      <c r="K1074" s="4">
        <f t="shared" si="91"/>
        <v>0</v>
      </c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 spans="1:26" ht="15.75" customHeight="1" x14ac:dyDescent="0.2">
      <c r="A1075" s="1">
        <v>865</v>
      </c>
      <c r="B1075" s="13" t="s">
        <v>454</v>
      </c>
      <c r="C1075" s="14" t="s">
        <v>1323</v>
      </c>
      <c r="D1075" s="14" t="s">
        <v>462</v>
      </c>
      <c r="E1075" s="14" t="s">
        <v>1212</v>
      </c>
      <c r="F1075" s="14" t="s">
        <v>1322</v>
      </c>
      <c r="G1075" s="14" t="s">
        <v>1207</v>
      </c>
      <c r="H1075" s="4"/>
      <c r="I1075" s="4">
        <f t="shared" si="97"/>
        <v>0</v>
      </c>
      <c r="J1075" s="4"/>
      <c r="K1075" s="4">
        <f t="shared" si="91"/>
        <v>0</v>
      </c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 spans="1:26" ht="15.75" customHeight="1" x14ac:dyDescent="0.2">
      <c r="A1076" s="1">
        <v>873</v>
      </c>
      <c r="B1076" s="13" t="s">
        <v>634</v>
      </c>
      <c r="C1076" s="14" t="s">
        <v>1324</v>
      </c>
      <c r="D1076" s="14" t="s">
        <v>636</v>
      </c>
      <c r="E1076" s="14" t="s">
        <v>393</v>
      </c>
      <c r="F1076" s="14" t="s">
        <v>1322</v>
      </c>
      <c r="G1076" s="14" t="s">
        <v>1207</v>
      </c>
      <c r="H1076" s="4"/>
      <c r="I1076" s="4">
        <f t="shared" si="97"/>
        <v>0</v>
      </c>
      <c r="J1076" s="4"/>
      <c r="K1076" s="4">
        <f t="shared" si="91"/>
        <v>0</v>
      </c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 spans="1:26" ht="15.75" customHeight="1" x14ac:dyDescent="0.2">
      <c r="A1077" s="1">
        <v>877</v>
      </c>
      <c r="B1077" s="13" t="s">
        <v>634</v>
      </c>
      <c r="C1077" s="14" t="s">
        <v>1325</v>
      </c>
      <c r="D1077" s="14" t="s">
        <v>163</v>
      </c>
      <c r="E1077" s="14" t="s">
        <v>452</v>
      </c>
      <c r="F1077" s="14" t="s">
        <v>1322</v>
      </c>
      <c r="G1077" s="14" t="s">
        <v>1207</v>
      </c>
      <c r="H1077" s="4"/>
      <c r="I1077" s="4">
        <f t="shared" si="97"/>
        <v>0</v>
      </c>
      <c r="J1077" s="4"/>
      <c r="K1077" s="4">
        <f t="shared" si="91"/>
        <v>0</v>
      </c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 spans="1:26" ht="15.75" customHeight="1" x14ac:dyDescent="0.2">
      <c r="A1078" s="1">
        <v>879</v>
      </c>
      <c r="B1078" s="13" t="s">
        <v>634</v>
      </c>
      <c r="C1078" s="14" t="s">
        <v>870</v>
      </c>
      <c r="D1078" s="14" t="s">
        <v>124</v>
      </c>
      <c r="E1078" s="14" t="s">
        <v>393</v>
      </c>
      <c r="F1078" s="14" t="s">
        <v>1322</v>
      </c>
      <c r="G1078" s="14" t="s">
        <v>1207</v>
      </c>
      <c r="H1078" s="4"/>
      <c r="I1078" s="4">
        <f t="shared" si="97"/>
        <v>0</v>
      </c>
      <c r="J1078" s="4"/>
      <c r="K1078" s="4">
        <f t="shared" si="91"/>
        <v>0</v>
      </c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 spans="1:26" ht="15.75" customHeight="1" x14ac:dyDescent="0.2">
      <c r="A1079" s="1">
        <v>935</v>
      </c>
      <c r="B1079" s="13" t="s">
        <v>709</v>
      </c>
      <c r="C1079" s="14" t="s">
        <v>858</v>
      </c>
      <c r="D1079" s="14" t="s">
        <v>1321</v>
      </c>
      <c r="E1079" s="14" t="s">
        <v>1235</v>
      </c>
      <c r="F1079" s="14" t="s">
        <v>1322</v>
      </c>
      <c r="G1079" s="14" t="s">
        <v>1207</v>
      </c>
      <c r="H1079" s="4"/>
      <c r="I1079" s="4">
        <f t="shared" si="97"/>
        <v>0</v>
      </c>
      <c r="J1079" s="4"/>
      <c r="K1079" s="4">
        <f t="shared" si="91"/>
        <v>0</v>
      </c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 spans="1:26" ht="15.75" customHeight="1" x14ac:dyDescent="0.2">
      <c r="A1080" s="1">
        <v>967</v>
      </c>
      <c r="B1080" s="13" t="s">
        <v>698</v>
      </c>
      <c r="C1080" s="14" t="s">
        <v>1343</v>
      </c>
      <c r="D1080" s="14" t="s">
        <v>56</v>
      </c>
      <c r="E1080" s="14" t="s">
        <v>743</v>
      </c>
      <c r="F1080" s="14" t="s">
        <v>1322</v>
      </c>
      <c r="G1080" s="14" t="s">
        <v>1207</v>
      </c>
      <c r="H1080" s="4"/>
      <c r="I1080" s="4">
        <f t="shared" si="97"/>
        <v>0</v>
      </c>
      <c r="J1080" s="4"/>
      <c r="K1080" s="4">
        <f t="shared" si="91"/>
        <v>0</v>
      </c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 spans="1:26" ht="15.75" customHeight="1" x14ac:dyDescent="0.2">
      <c r="A1081" s="1">
        <v>987</v>
      </c>
      <c r="B1081" s="13" t="s">
        <v>624</v>
      </c>
      <c r="C1081" s="14" t="s">
        <v>416</v>
      </c>
      <c r="D1081" s="14" t="s">
        <v>1338</v>
      </c>
      <c r="E1081" s="14" t="s">
        <v>389</v>
      </c>
      <c r="F1081" s="14" t="s">
        <v>1322</v>
      </c>
      <c r="G1081" s="14" t="s">
        <v>1207</v>
      </c>
      <c r="H1081" s="4"/>
      <c r="I1081" s="4">
        <f t="shared" si="97"/>
        <v>0</v>
      </c>
      <c r="J1081" s="4"/>
      <c r="K1081" s="4">
        <f t="shared" si="91"/>
        <v>0</v>
      </c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 spans="1:26" ht="15.75" customHeight="1" x14ac:dyDescent="0.2">
      <c r="A1082" s="1">
        <v>1001</v>
      </c>
      <c r="B1082" s="13" t="s">
        <v>1076</v>
      </c>
      <c r="C1082" s="14" t="s">
        <v>1331</v>
      </c>
      <c r="D1082" s="14" t="s">
        <v>1332</v>
      </c>
      <c r="E1082" s="14" t="s">
        <v>1333</v>
      </c>
      <c r="F1082" s="14" t="s">
        <v>1322</v>
      </c>
      <c r="G1082" s="14" t="s">
        <v>1207</v>
      </c>
      <c r="H1082" s="4"/>
      <c r="I1082" s="4">
        <f t="shared" si="97"/>
        <v>0</v>
      </c>
      <c r="J1082" s="4"/>
      <c r="K1082" s="4">
        <f t="shared" si="91"/>
        <v>0</v>
      </c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 spans="1:26" ht="15.75" customHeight="1" x14ac:dyDescent="0.2">
      <c r="A1083" s="1">
        <v>1019</v>
      </c>
      <c r="B1083" s="13" t="s">
        <v>1076</v>
      </c>
      <c r="C1083" s="14" t="s">
        <v>1328</v>
      </c>
      <c r="D1083" s="14" t="s">
        <v>1329</v>
      </c>
      <c r="E1083" s="14" t="s">
        <v>1330</v>
      </c>
      <c r="F1083" s="14" t="s">
        <v>1322</v>
      </c>
      <c r="G1083" s="14" t="s">
        <v>1207</v>
      </c>
      <c r="H1083" s="4"/>
      <c r="I1083" s="4">
        <f t="shared" si="97"/>
        <v>0</v>
      </c>
      <c r="J1083" s="4"/>
      <c r="K1083" s="4">
        <f t="shared" si="91"/>
        <v>0</v>
      </c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 spans="1:26" ht="15.75" customHeight="1" x14ac:dyDescent="0.2">
      <c r="A1084" s="1">
        <v>1113</v>
      </c>
      <c r="B1084" s="13" t="s">
        <v>1344</v>
      </c>
      <c r="C1084" s="14" t="s">
        <v>1341</v>
      </c>
      <c r="D1084" s="14" t="s">
        <v>1024</v>
      </c>
      <c r="E1084" s="14" t="s">
        <v>348</v>
      </c>
      <c r="F1084" s="14" t="s">
        <v>1322</v>
      </c>
      <c r="G1084" s="14" t="s">
        <v>1207</v>
      </c>
      <c r="H1084" s="4"/>
      <c r="I1084" s="4">
        <f t="shared" si="97"/>
        <v>0</v>
      </c>
      <c r="J1084" s="4"/>
      <c r="K1084" s="4">
        <f t="shared" si="91"/>
        <v>0</v>
      </c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 spans="1:26" ht="15.75" customHeight="1" x14ac:dyDescent="0.2">
      <c r="A1085" s="1">
        <v>1155</v>
      </c>
      <c r="B1085" s="13" t="s">
        <v>433</v>
      </c>
      <c r="C1085" s="14" t="s">
        <v>1340</v>
      </c>
      <c r="D1085" s="14" t="s">
        <v>1068</v>
      </c>
      <c r="E1085" s="14" t="s">
        <v>18</v>
      </c>
      <c r="F1085" s="14" t="s">
        <v>1322</v>
      </c>
      <c r="G1085" s="14" t="s">
        <v>1207</v>
      </c>
      <c r="H1085" s="4"/>
      <c r="I1085" s="4">
        <f t="shared" si="97"/>
        <v>0</v>
      </c>
      <c r="J1085" s="4"/>
      <c r="K1085" s="4">
        <f t="shared" si="91"/>
        <v>0</v>
      </c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 spans="1:26" ht="15.75" customHeight="1" x14ac:dyDescent="0.2">
      <c r="A1086" s="1">
        <v>1237</v>
      </c>
      <c r="B1086" s="13" t="s">
        <v>699</v>
      </c>
      <c r="C1086" s="14" t="s">
        <v>1334</v>
      </c>
      <c r="D1086" s="14" t="s">
        <v>120</v>
      </c>
      <c r="E1086" s="14" t="s">
        <v>876</v>
      </c>
      <c r="F1086" s="14" t="s">
        <v>1322</v>
      </c>
      <c r="G1086" s="14" t="s">
        <v>1207</v>
      </c>
      <c r="H1086" s="4"/>
      <c r="I1086" s="4">
        <f t="shared" si="97"/>
        <v>0</v>
      </c>
      <c r="J1086" s="4"/>
      <c r="K1086" s="4">
        <f t="shared" si="91"/>
        <v>0</v>
      </c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 spans="1:26" ht="15.75" customHeight="1" x14ac:dyDescent="0.2">
      <c r="A1087" s="1">
        <v>1243</v>
      </c>
      <c r="B1087" s="13" t="s">
        <v>699</v>
      </c>
      <c r="C1087" s="14" t="s">
        <v>1335</v>
      </c>
      <c r="D1087" s="14" t="s">
        <v>75</v>
      </c>
      <c r="E1087" s="14" t="s">
        <v>1048</v>
      </c>
      <c r="F1087" s="14" t="s">
        <v>1322</v>
      </c>
      <c r="G1087" s="14" t="s">
        <v>1207</v>
      </c>
      <c r="H1087" s="4"/>
      <c r="I1087" s="4">
        <f t="shared" si="97"/>
        <v>0</v>
      </c>
      <c r="J1087" s="4"/>
      <c r="K1087" s="4">
        <f t="shared" si="91"/>
        <v>0</v>
      </c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 spans="1:26" ht="15.75" customHeight="1" x14ac:dyDescent="0.2">
      <c r="A1088" s="1">
        <v>1267</v>
      </c>
      <c r="B1088" s="13" t="s">
        <v>453</v>
      </c>
      <c r="C1088" s="14" t="s">
        <v>1336</v>
      </c>
      <c r="D1088" s="14" t="s">
        <v>1337</v>
      </c>
      <c r="E1088" s="14" t="s">
        <v>1217</v>
      </c>
      <c r="F1088" s="14" t="s">
        <v>1322</v>
      </c>
      <c r="G1088" s="14" t="s">
        <v>1207</v>
      </c>
      <c r="H1088" s="4"/>
      <c r="I1088" s="4">
        <f t="shared" si="97"/>
        <v>0</v>
      </c>
      <c r="J1088" s="4"/>
      <c r="K1088" s="4">
        <f t="shared" si="91"/>
        <v>0</v>
      </c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 spans="1:26" ht="15.75" customHeight="1" x14ac:dyDescent="0.2">
      <c r="A1089" s="1">
        <v>1309</v>
      </c>
      <c r="B1089" s="13" t="s">
        <v>936</v>
      </c>
      <c r="C1089" s="14" t="s">
        <v>1334</v>
      </c>
      <c r="D1089" s="14" t="s">
        <v>516</v>
      </c>
      <c r="E1089" s="14" t="s">
        <v>876</v>
      </c>
      <c r="F1089" s="14" t="s">
        <v>1322</v>
      </c>
      <c r="G1089" s="14" t="s">
        <v>1207</v>
      </c>
      <c r="H1089" s="4"/>
      <c r="I1089" s="4">
        <f t="shared" si="97"/>
        <v>0</v>
      </c>
      <c r="J1089" s="4"/>
      <c r="K1089" s="4">
        <f t="shared" si="91"/>
        <v>0</v>
      </c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 spans="1:26" ht="15.75" customHeight="1" x14ac:dyDescent="0.2">
      <c r="A1090" s="1">
        <v>1701</v>
      </c>
      <c r="B1090" s="13" t="s">
        <v>1345</v>
      </c>
      <c r="C1090" s="14" t="s">
        <v>1331</v>
      </c>
      <c r="D1090" s="14" t="s">
        <v>1332</v>
      </c>
      <c r="E1090" s="14" t="s">
        <v>1333</v>
      </c>
      <c r="F1090" s="14" t="s">
        <v>1322</v>
      </c>
      <c r="G1090" s="14" t="s">
        <v>1207</v>
      </c>
      <c r="H1090" s="4"/>
      <c r="I1090" s="4">
        <f t="shared" si="97"/>
        <v>0</v>
      </c>
      <c r="J1090" s="4"/>
      <c r="K1090" s="4">
        <f t="shared" si="91"/>
        <v>0</v>
      </c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 spans="1:26" ht="15.75" customHeight="1" x14ac:dyDescent="0.2">
      <c r="A1091" s="1">
        <v>1777</v>
      </c>
      <c r="B1091" s="13" t="s">
        <v>442</v>
      </c>
      <c r="C1091" s="14" t="s">
        <v>1336</v>
      </c>
      <c r="D1091" s="14" t="s">
        <v>1337</v>
      </c>
      <c r="E1091" s="14" t="s">
        <v>1217</v>
      </c>
      <c r="F1091" s="14" t="s">
        <v>1322</v>
      </c>
      <c r="G1091" s="14" t="s">
        <v>1207</v>
      </c>
      <c r="H1091" s="4"/>
      <c r="I1091" s="4">
        <f t="shared" si="97"/>
        <v>0</v>
      </c>
      <c r="J1091" s="4"/>
      <c r="K1091" s="4">
        <f t="shared" si="91"/>
        <v>0</v>
      </c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 spans="1:26" ht="15.75" customHeight="1" x14ac:dyDescent="0.2">
      <c r="A1092" s="1">
        <v>2005</v>
      </c>
      <c r="B1092" s="13" t="s">
        <v>701</v>
      </c>
      <c r="C1092" s="14" t="s">
        <v>1346</v>
      </c>
      <c r="D1092" s="14" t="s">
        <v>1041</v>
      </c>
      <c r="E1092" s="14" t="s">
        <v>563</v>
      </c>
      <c r="F1092" s="14" t="s">
        <v>1322</v>
      </c>
      <c r="G1092" s="14" t="s">
        <v>1207</v>
      </c>
      <c r="H1092" s="4"/>
      <c r="I1092" s="4">
        <f t="shared" si="97"/>
        <v>0</v>
      </c>
      <c r="J1092" s="4"/>
      <c r="K1092" s="4">
        <f t="shared" si="91"/>
        <v>0</v>
      </c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 spans="1:26" ht="15.75" customHeight="1" x14ac:dyDescent="0.2">
      <c r="A1093" s="1">
        <v>2019</v>
      </c>
      <c r="B1093" s="13" t="s">
        <v>701</v>
      </c>
      <c r="C1093" s="14" t="s">
        <v>1325</v>
      </c>
      <c r="D1093" s="14" t="s">
        <v>163</v>
      </c>
      <c r="E1093" s="14" t="s">
        <v>452</v>
      </c>
      <c r="F1093" s="14" t="s">
        <v>1322</v>
      </c>
      <c r="G1093" s="14" t="s">
        <v>1207</v>
      </c>
      <c r="H1093" s="4"/>
      <c r="I1093" s="4">
        <f t="shared" si="97"/>
        <v>0</v>
      </c>
      <c r="J1093" s="4"/>
      <c r="K1093" s="4">
        <f t="shared" si="91"/>
        <v>0</v>
      </c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 spans="1:26" ht="15.75" customHeight="1" x14ac:dyDescent="0.2">
      <c r="A1094" s="1">
        <v>2021</v>
      </c>
      <c r="B1094" s="13" t="s">
        <v>701</v>
      </c>
      <c r="C1094" s="14" t="s">
        <v>870</v>
      </c>
      <c r="D1094" s="14" t="s">
        <v>124</v>
      </c>
      <c r="E1094" s="14" t="s">
        <v>393</v>
      </c>
      <c r="F1094" s="14" t="s">
        <v>1322</v>
      </c>
      <c r="G1094" s="14" t="s">
        <v>1207</v>
      </c>
      <c r="H1094" s="4"/>
      <c r="I1094" s="4">
        <f t="shared" si="97"/>
        <v>0</v>
      </c>
      <c r="J1094" s="4"/>
      <c r="K1094" s="4">
        <f t="shared" si="91"/>
        <v>0</v>
      </c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 spans="1:26" ht="15.75" customHeight="1" x14ac:dyDescent="0.2">
      <c r="A1095" s="1">
        <v>2733</v>
      </c>
      <c r="B1095" s="13" t="s">
        <v>944</v>
      </c>
      <c r="C1095" s="14" t="s">
        <v>1346</v>
      </c>
      <c r="D1095" s="14" t="s">
        <v>1041</v>
      </c>
      <c r="E1095" s="14" t="s">
        <v>563</v>
      </c>
      <c r="F1095" s="14" t="s">
        <v>1322</v>
      </c>
      <c r="G1095" s="14" t="s">
        <v>1207</v>
      </c>
      <c r="H1095" s="4"/>
      <c r="I1095" s="4">
        <f t="shared" si="97"/>
        <v>0</v>
      </c>
      <c r="J1095" s="4"/>
      <c r="K1095" s="4">
        <f t="shared" si="91"/>
        <v>0</v>
      </c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 spans="1:26" ht="15.75" customHeight="1" x14ac:dyDescent="0.2">
      <c r="A1096" s="1">
        <v>2739</v>
      </c>
      <c r="B1096" s="13" t="s">
        <v>944</v>
      </c>
      <c r="C1096" s="14" t="s">
        <v>1326</v>
      </c>
      <c r="D1096" s="14" t="s">
        <v>1327</v>
      </c>
      <c r="E1096" s="14" t="s">
        <v>40</v>
      </c>
      <c r="F1096" s="14" t="s">
        <v>1322</v>
      </c>
      <c r="G1096" s="14" t="s">
        <v>1207</v>
      </c>
      <c r="H1096" s="4"/>
      <c r="I1096" s="4">
        <f t="shared" si="97"/>
        <v>0</v>
      </c>
      <c r="J1096" s="4"/>
      <c r="K1096" s="4">
        <f t="shared" si="91"/>
        <v>0</v>
      </c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 spans="1:26" ht="15.75" customHeight="1" x14ac:dyDescent="0.2">
      <c r="A1097" s="1">
        <v>2763</v>
      </c>
      <c r="B1097" s="13" t="s">
        <v>623</v>
      </c>
      <c r="C1097" s="14" t="s">
        <v>1347</v>
      </c>
      <c r="D1097" s="14" t="s">
        <v>75</v>
      </c>
      <c r="E1097" s="14" t="s">
        <v>79</v>
      </c>
      <c r="F1097" s="14" t="s">
        <v>1322</v>
      </c>
      <c r="G1097" s="14" t="s">
        <v>1207</v>
      </c>
      <c r="H1097" s="4"/>
      <c r="I1097" s="4">
        <f t="shared" si="97"/>
        <v>0</v>
      </c>
      <c r="J1097" s="4"/>
      <c r="K1097" s="4">
        <f t="shared" si="91"/>
        <v>0</v>
      </c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 spans="1:26" ht="15.75" customHeight="1" x14ac:dyDescent="0.2">
      <c r="A1098" s="1">
        <v>2813</v>
      </c>
      <c r="B1098" s="13" t="s">
        <v>1348</v>
      </c>
      <c r="C1098" s="14" t="s">
        <v>1343</v>
      </c>
      <c r="D1098" s="14" t="s">
        <v>56</v>
      </c>
      <c r="E1098" s="14" t="s">
        <v>743</v>
      </c>
      <c r="F1098" s="14" t="s">
        <v>1322</v>
      </c>
      <c r="G1098" s="14" t="s">
        <v>1207</v>
      </c>
      <c r="H1098" s="4"/>
      <c r="I1098" s="4">
        <f t="shared" si="97"/>
        <v>0</v>
      </c>
      <c r="J1098" s="4"/>
      <c r="K1098" s="4">
        <f t="shared" si="91"/>
        <v>0</v>
      </c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 spans="1:26" ht="15.75" customHeight="1" x14ac:dyDescent="0.2">
      <c r="A1099" s="1">
        <v>2897</v>
      </c>
      <c r="B1099" s="13" t="s">
        <v>1133</v>
      </c>
      <c r="C1099" s="14" t="s">
        <v>1347</v>
      </c>
      <c r="D1099" s="14" t="s">
        <v>75</v>
      </c>
      <c r="E1099" s="14" t="s">
        <v>79</v>
      </c>
      <c r="F1099" s="14" t="s">
        <v>1322</v>
      </c>
      <c r="G1099" s="14" t="s">
        <v>1207</v>
      </c>
      <c r="H1099" s="4"/>
      <c r="I1099" s="4">
        <f t="shared" si="97"/>
        <v>0</v>
      </c>
      <c r="J1099" s="4"/>
      <c r="K1099" s="4">
        <f t="shared" si="91"/>
        <v>0</v>
      </c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 spans="1:26" ht="15.75" customHeight="1" x14ac:dyDescent="0.2">
      <c r="A1100" s="1">
        <v>777</v>
      </c>
      <c r="B1100" s="13" t="s">
        <v>405</v>
      </c>
      <c r="C1100" s="14" t="s">
        <v>1349</v>
      </c>
      <c r="D1100" s="14" t="s">
        <v>1350</v>
      </c>
      <c r="E1100" s="14" t="s">
        <v>22</v>
      </c>
      <c r="F1100" s="14" t="s">
        <v>1351</v>
      </c>
      <c r="G1100" s="14" t="s">
        <v>1207</v>
      </c>
      <c r="H1100" s="4">
        <v>1</v>
      </c>
      <c r="I1100" s="4">
        <f t="shared" si="97"/>
        <v>2300</v>
      </c>
      <c r="J1100" s="4"/>
      <c r="K1100" s="4">
        <f t="shared" si="91"/>
        <v>0</v>
      </c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 spans="1:26" ht="15.75" customHeight="1" x14ac:dyDescent="0.2">
      <c r="A1101" s="1"/>
      <c r="B1101" s="2" t="s">
        <v>45</v>
      </c>
      <c r="C1101" s="3" t="s">
        <v>1349</v>
      </c>
      <c r="D1101" s="3" t="s">
        <v>78</v>
      </c>
      <c r="E1101" s="3" t="s">
        <v>1352</v>
      </c>
      <c r="F1101" s="3" t="s">
        <v>1351</v>
      </c>
      <c r="G1101" s="3" t="s">
        <v>1207</v>
      </c>
      <c r="H1101" s="4">
        <v>3</v>
      </c>
      <c r="I1101" s="4">
        <f t="shared" ref="I1101:I1103" si="98">H1101*1800</f>
        <v>5400</v>
      </c>
      <c r="J1101" s="4"/>
      <c r="K1101" s="4">
        <f t="shared" si="91"/>
        <v>0</v>
      </c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 spans="1:26" ht="15.75" customHeight="1" x14ac:dyDescent="0.2">
      <c r="A1102" s="1"/>
      <c r="B1102" s="2" t="s">
        <v>46</v>
      </c>
      <c r="C1102" s="3" t="s">
        <v>1353</v>
      </c>
      <c r="D1102" s="3" t="s">
        <v>266</v>
      </c>
      <c r="E1102" s="3" t="s">
        <v>302</v>
      </c>
      <c r="F1102" s="3" t="s">
        <v>1351</v>
      </c>
      <c r="G1102" s="3" t="s">
        <v>1207</v>
      </c>
      <c r="H1102" s="4"/>
      <c r="I1102" s="4">
        <f t="shared" si="98"/>
        <v>0</v>
      </c>
      <c r="J1102" s="4"/>
      <c r="K1102" s="4">
        <f t="shared" si="91"/>
        <v>0</v>
      </c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 spans="1:26" ht="15.75" customHeight="1" x14ac:dyDescent="0.2">
      <c r="A1103" s="1"/>
      <c r="B1103" s="2" t="s">
        <v>26</v>
      </c>
      <c r="C1103" s="3" t="s">
        <v>1354</v>
      </c>
      <c r="D1103" s="3" t="s">
        <v>491</v>
      </c>
      <c r="E1103" s="3" t="s">
        <v>630</v>
      </c>
      <c r="F1103" s="3" t="s">
        <v>1351</v>
      </c>
      <c r="G1103" s="3" t="s">
        <v>1207</v>
      </c>
      <c r="H1103" s="4"/>
      <c r="I1103" s="4">
        <f t="shared" si="98"/>
        <v>0</v>
      </c>
      <c r="J1103" s="4"/>
      <c r="K1103" s="4">
        <f t="shared" si="91"/>
        <v>0</v>
      </c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 spans="1:26" ht="15.75" customHeight="1" x14ac:dyDescent="0.2">
      <c r="A1104" s="1">
        <v>127</v>
      </c>
      <c r="B1104" s="13" t="s">
        <v>504</v>
      </c>
      <c r="C1104" s="14" t="s">
        <v>1355</v>
      </c>
      <c r="D1104" s="14" t="s">
        <v>31</v>
      </c>
      <c r="E1104" s="14" t="s">
        <v>87</v>
      </c>
      <c r="F1104" s="14" t="s">
        <v>1356</v>
      </c>
      <c r="G1104" s="14" t="s">
        <v>1207</v>
      </c>
      <c r="H1104" s="4"/>
      <c r="I1104" s="4">
        <f t="shared" ref="I1104:I1134" si="99">H1104*2300</f>
        <v>0</v>
      </c>
      <c r="J1104" s="4"/>
      <c r="K1104" s="4">
        <f t="shared" si="91"/>
        <v>0</v>
      </c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 spans="1:26" ht="15.75" customHeight="1" x14ac:dyDescent="0.2">
      <c r="A1105" s="1">
        <v>269</v>
      </c>
      <c r="B1105" s="13" t="s">
        <v>628</v>
      </c>
      <c r="C1105" s="14" t="s">
        <v>1357</v>
      </c>
      <c r="D1105" s="14" t="s">
        <v>1327</v>
      </c>
      <c r="E1105" s="14" t="s">
        <v>1358</v>
      </c>
      <c r="F1105" s="14" t="s">
        <v>1356</v>
      </c>
      <c r="G1105" s="14" t="s">
        <v>1207</v>
      </c>
      <c r="H1105" s="4"/>
      <c r="I1105" s="4">
        <f t="shared" si="99"/>
        <v>0</v>
      </c>
      <c r="J1105" s="4"/>
      <c r="K1105" s="4">
        <f t="shared" si="91"/>
        <v>0</v>
      </c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 spans="1:26" ht="15.75" customHeight="1" x14ac:dyDescent="0.2">
      <c r="A1106" s="1">
        <v>585</v>
      </c>
      <c r="B1106" s="13" t="s">
        <v>428</v>
      </c>
      <c r="C1106" s="14" t="s">
        <v>1359</v>
      </c>
      <c r="D1106" s="14" t="s">
        <v>534</v>
      </c>
      <c r="E1106" s="14" t="s">
        <v>676</v>
      </c>
      <c r="F1106" s="14" t="s">
        <v>1356</v>
      </c>
      <c r="G1106" s="14" t="s">
        <v>1207</v>
      </c>
      <c r="H1106" s="4"/>
      <c r="I1106" s="4">
        <f t="shared" si="99"/>
        <v>0</v>
      </c>
      <c r="J1106" s="4"/>
      <c r="K1106" s="4">
        <f t="shared" si="91"/>
        <v>0</v>
      </c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 spans="1:26" ht="15.75" customHeight="1" x14ac:dyDescent="0.2">
      <c r="A1107" s="1">
        <v>629</v>
      </c>
      <c r="B1107" s="13" t="s">
        <v>248</v>
      </c>
      <c r="C1107" s="14" t="s">
        <v>1360</v>
      </c>
      <c r="D1107" s="14" t="s">
        <v>104</v>
      </c>
      <c r="E1107" s="14" t="s">
        <v>18</v>
      </c>
      <c r="F1107" s="14" t="s">
        <v>1356</v>
      </c>
      <c r="G1107" s="14" t="s">
        <v>1207</v>
      </c>
      <c r="H1107" s="4"/>
      <c r="I1107" s="4">
        <f t="shared" si="99"/>
        <v>0</v>
      </c>
      <c r="J1107" s="4"/>
      <c r="K1107" s="4">
        <f t="shared" si="91"/>
        <v>0</v>
      </c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 spans="1:26" ht="15.75" customHeight="1" x14ac:dyDescent="0.2">
      <c r="A1108" s="1">
        <v>643</v>
      </c>
      <c r="B1108" s="13" t="s">
        <v>248</v>
      </c>
      <c r="C1108" s="14" t="s">
        <v>1361</v>
      </c>
      <c r="D1108" s="14" t="s">
        <v>104</v>
      </c>
      <c r="E1108" s="14" t="s">
        <v>1362</v>
      </c>
      <c r="F1108" s="14" t="s">
        <v>1356</v>
      </c>
      <c r="G1108" s="14" t="s">
        <v>1207</v>
      </c>
      <c r="H1108" s="4"/>
      <c r="I1108" s="4">
        <f t="shared" si="99"/>
        <v>0</v>
      </c>
      <c r="J1108" s="4"/>
      <c r="K1108" s="4">
        <f t="shared" si="91"/>
        <v>0</v>
      </c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 spans="1:26" ht="15.75" customHeight="1" x14ac:dyDescent="0.2">
      <c r="A1109" s="1">
        <v>645</v>
      </c>
      <c r="B1109" s="13" t="s">
        <v>248</v>
      </c>
      <c r="C1109" s="14" t="s">
        <v>537</v>
      </c>
      <c r="D1109" s="14" t="s">
        <v>1363</v>
      </c>
      <c r="E1109" s="14" t="s">
        <v>357</v>
      </c>
      <c r="F1109" s="14" t="s">
        <v>1356</v>
      </c>
      <c r="G1109" s="14" t="s">
        <v>1207</v>
      </c>
      <c r="H1109" s="4"/>
      <c r="I1109" s="4">
        <f t="shared" si="99"/>
        <v>0</v>
      </c>
      <c r="J1109" s="4"/>
      <c r="K1109" s="4">
        <f t="shared" si="91"/>
        <v>0</v>
      </c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 spans="1:26" ht="15.75" customHeight="1" x14ac:dyDescent="0.2">
      <c r="A1110" s="1">
        <v>1103</v>
      </c>
      <c r="B1110" s="13" t="s">
        <v>641</v>
      </c>
      <c r="C1110" s="14" t="s">
        <v>1355</v>
      </c>
      <c r="D1110" s="14" t="s">
        <v>31</v>
      </c>
      <c r="E1110" s="14" t="s">
        <v>87</v>
      </c>
      <c r="F1110" s="14" t="s">
        <v>1356</v>
      </c>
      <c r="G1110" s="14" t="s">
        <v>1207</v>
      </c>
      <c r="H1110" s="4"/>
      <c r="I1110" s="4">
        <f t="shared" si="99"/>
        <v>0</v>
      </c>
      <c r="J1110" s="4"/>
      <c r="K1110" s="4">
        <f t="shared" si="91"/>
        <v>0</v>
      </c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 spans="1:26" ht="15.75" customHeight="1" x14ac:dyDescent="0.2">
      <c r="A1111" s="1">
        <v>1201</v>
      </c>
      <c r="B1111" s="13" t="s">
        <v>1364</v>
      </c>
      <c r="C1111" s="14" t="s">
        <v>1357</v>
      </c>
      <c r="D1111" s="14" t="s">
        <v>1327</v>
      </c>
      <c r="E1111" s="14" t="s">
        <v>1358</v>
      </c>
      <c r="F1111" s="14" t="s">
        <v>1356</v>
      </c>
      <c r="G1111" s="14" t="s">
        <v>1207</v>
      </c>
      <c r="H1111" s="4"/>
      <c r="I1111" s="4">
        <f t="shared" si="99"/>
        <v>0</v>
      </c>
      <c r="J1111" s="4"/>
      <c r="K1111" s="4">
        <f t="shared" si="91"/>
        <v>0</v>
      </c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 spans="1:26" ht="15.75" customHeight="1" x14ac:dyDescent="0.2">
      <c r="A1112" s="1">
        <v>1381</v>
      </c>
      <c r="B1112" s="13" t="s">
        <v>601</v>
      </c>
      <c r="C1112" s="14" t="s">
        <v>1365</v>
      </c>
      <c r="D1112" s="14" t="s">
        <v>1366</v>
      </c>
      <c r="E1112" s="14" t="s">
        <v>1367</v>
      </c>
      <c r="F1112" s="14" t="s">
        <v>1356</v>
      </c>
      <c r="G1112" s="14" t="s">
        <v>1207</v>
      </c>
      <c r="H1112" s="4"/>
      <c r="I1112" s="4">
        <f t="shared" si="99"/>
        <v>0</v>
      </c>
      <c r="J1112" s="4"/>
      <c r="K1112" s="4">
        <f t="shared" si="91"/>
        <v>0</v>
      </c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 spans="1:26" ht="15.75" customHeight="1" x14ac:dyDescent="0.2">
      <c r="A1113" s="1">
        <v>1463</v>
      </c>
      <c r="B1113" s="13" t="s">
        <v>261</v>
      </c>
      <c r="C1113" s="14" t="s">
        <v>1368</v>
      </c>
      <c r="D1113" s="14" t="s">
        <v>1369</v>
      </c>
      <c r="E1113" s="14" t="s">
        <v>125</v>
      </c>
      <c r="F1113" s="14" t="s">
        <v>1356</v>
      </c>
      <c r="G1113" s="14" t="s">
        <v>1207</v>
      </c>
      <c r="H1113" s="4"/>
      <c r="I1113" s="4">
        <f t="shared" si="99"/>
        <v>0</v>
      </c>
      <c r="J1113" s="4"/>
      <c r="K1113" s="4">
        <f t="shared" si="91"/>
        <v>0</v>
      </c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 spans="1:26" ht="15.75" customHeight="1" x14ac:dyDescent="0.2">
      <c r="A1114" s="1">
        <v>1489</v>
      </c>
      <c r="B1114" s="13" t="s">
        <v>262</v>
      </c>
      <c r="C1114" s="14" t="s">
        <v>1370</v>
      </c>
      <c r="D1114" s="14" t="s">
        <v>1371</v>
      </c>
      <c r="E1114" s="14" t="s">
        <v>1372</v>
      </c>
      <c r="F1114" s="14" t="s">
        <v>1356</v>
      </c>
      <c r="G1114" s="14" t="s">
        <v>1207</v>
      </c>
      <c r="H1114" s="4"/>
      <c r="I1114" s="4">
        <f t="shared" si="99"/>
        <v>0</v>
      </c>
      <c r="J1114" s="4"/>
      <c r="K1114" s="4">
        <f t="shared" si="91"/>
        <v>0</v>
      </c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 spans="1:26" ht="15.75" customHeight="1" x14ac:dyDescent="0.2">
      <c r="A1115" s="1">
        <v>1513</v>
      </c>
      <c r="B1115" s="13" t="s">
        <v>262</v>
      </c>
      <c r="C1115" s="14" t="s">
        <v>1361</v>
      </c>
      <c r="D1115" s="14" t="s">
        <v>104</v>
      </c>
      <c r="E1115" s="14" t="s">
        <v>1362</v>
      </c>
      <c r="F1115" s="14" t="s">
        <v>1356</v>
      </c>
      <c r="G1115" s="14" t="s">
        <v>1207</v>
      </c>
      <c r="H1115" s="4"/>
      <c r="I1115" s="4">
        <f t="shared" si="99"/>
        <v>0</v>
      </c>
      <c r="J1115" s="4"/>
      <c r="K1115" s="4">
        <f t="shared" si="91"/>
        <v>0</v>
      </c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 spans="1:26" ht="15.75" customHeight="1" x14ac:dyDescent="0.2">
      <c r="A1116" s="1">
        <v>1515</v>
      </c>
      <c r="B1116" s="13" t="s">
        <v>262</v>
      </c>
      <c r="C1116" s="14" t="s">
        <v>537</v>
      </c>
      <c r="D1116" s="14" t="s">
        <v>1363</v>
      </c>
      <c r="E1116" s="14" t="s">
        <v>357</v>
      </c>
      <c r="F1116" s="14" t="s">
        <v>1356</v>
      </c>
      <c r="G1116" s="14" t="s">
        <v>1207</v>
      </c>
      <c r="H1116" s="4"/>
      <c r="I1116" s="4">
        <f t="shared" si="99"/>
        <v>0</v>
      </c>
      <c r="J1116" s="4"/>
      <c r="K1116" s="4">
        <f t="shared" si="91"/>
        <v>0</v>
      </c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 spans="1:26" ht="15.75" customHeight="1" x14ac:dyDescent="0.2">
      <c r="A1117" s="1">
        <v>1571</v>
      </c>
      <c r="B1117" s="13" t="s">
        <v>585</v>
      </c>
      <c r="C1117" s="14" t="s">
        <v>1360</v>
      </c>
      <c r="D1117" s="14" t="s">
        <v>104</v>
      </c>
      <c r="E1117" s="14" t="s">
        <v>18</v>
      </c>
      <c r="F1117" s="14" t="s">
        <v>1356</v>
      </c>
      <c r="G1117" s="14" t="s">
        <v>1207</v>
      </c>
      <c r="H1117" s="4"/>
      <c r="I1117" s="4">
        <f t="shared" si="99"/>
        <v>0</v>
      </c>
      <c r="J1117" s="4"/>
      <c r="K1117" s="4">
        <f t="shared" si="91"/>
        <v>0</v>
      </c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 spans="1:26" ht="15.75" customHeight="1" x14ac:dyDescent="0.2">
      <c r="A1118" s="1">
        <v>1629</v>
      </c>
      <c r="B1118" s="13" t="s">
        <v>267</v>
      </c>
      <c r="C1118" s="14" t="s">
        <v>1373</v>
      </c>
      <c r="D1118" s="14" t="s">
        <v>86</v>
      </c>
      <c r="E1118" s="14" t="s">
        <v>1330</v>
      </c>
      <c r="F1118" s="14" t="s">
        <v>1356</v>
      </c>
      <c r="G1118" s="14" t="s">
        <v>1207</v>
      </c>
      <c r="H1118" s="4"/>
      <c r="I1118" s="4">
        <f t="shared" si="99"/>
        <v>0</v>
      </c>
      <c r="J1118" s="4"/>
      <c r="K1118" s="4">
        <f t="shared" si="91"/>
        <v>0</v>
      </c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 spans="1:26" ht="15.75" customHeight="1" x14ac:dyDescent="0.2">
      <c r="A1119" s="1">
        <v>1693</v>
      </c>
      <c r="B1119" s="13" t="s">
        <v>270</v>
      </c>
      <c r="C1119" s="14" t="s">
        <v>1374</v>
      </c>
      <c r="D1119" s="14" t="s">
        <v>1375</v>
      </c>
      <c r="E1119" s="14" t="s">
        <v>1376</v>
      </c>
      <c r="F1119" s="14" t="s">
        <v>1356</v>
      </c>
      <c r="G1119" s="14" t="s">
        <v>1207</v>
      </c>
      <c r="H1119" s="4"/>
      <c r="I1119" s="4">
        <f t="shared" si="99"/>
        <v>0</v>
      </c>
      <c r="J1119" s="4"/>
      <c r="K1119" s="4">
        <f t="shared" si="91"/>
        <v>0</v>
      </c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 spans="1:26" ht="15.75" customHeight="1" x14ac:dyDescent="0.2">
      <c r="A1120" s="1">
        <v>2077</v>
      </c>
      <c r="B1120" s="13" t="s">
        <v>653</v>
      </c>
      <c r="C1120" s="14" t="s">
        <v>1355</v>
      </c>
      <c r="D1120" s="14" t="s">
        <v>31</v>
      </c>
      <c r="E1120" s="14" t="s">
        <v>87</v>
      </c>
      <c r="F1120" s="14" t="s">
        <v>1356</v>
      </c>
      <c r="G1120" s="14" t="s">
        <v>1207</v>
      </c>
      <c r="H1120" s="4"/>
      <c r="I1120" s="4">
        <f t="shared" si="99"/>
        <v>0</v>
      </c>
      <c r="J1120" s="4"/>
      <c r="K1120" s="4">
        <f t="shared" si="91"/>
        <v>0</v>
      </c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 spans="1:26" ht="15.75" customHeight="1" x14ac:dyDescent="0.2">
      <c r="A1121" s="1">
        <v>2095</v>
      </c>
      <c r="B1121" s="13" t="s">
        <v>280</v>
      </c>
      <c r="C1121" s="14" t="s">
        <v>1357</v>
      </c>
      <c r="D1121" s="14" t="s">
        <v>1327</v>
      </c>
      <c r="E1121" s="14" t="s">
        <v>1358</v>
      </c>
      <c r="F1121" s="14" t="s">
        <v>1356</v>
      </c>
      <c r="G1121" s="14" t="s">
        <v>1207</v>
      </c>
      <c r="H1121" s="4"/>
      <c r="I1121" s="4">
        <f t="shared" si="99"/>
        <v>0</v>
      </c>
      <c r="J1121" s="4"/>
      <c r="K1121" s="4">
        <f t="shared" si="91"/>
        <v>0</v>
      </c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 spans="1:26" ht="15.75" customHeight="1" x14ac:dyDescent="0.2">
      <c r="A1122" s="1">
        <v>2159</v>
      </c>
      <c r="B1122" s="13" t="s">
        <v>281</v>
      </c>
      <c r="C1122" s="14" t="s">
        <v>1365</v>
      </c>
      <c r="D1122" s="14" t="s">
        <v>1366</v>
      </c>
      <c r="E1122" s="14" t="s">
        <v>1367</v>
      </c>
      <c r="F1122" s="14" t="s">
        <v>1356</v>
      </c>
      <c r="G1122" s="14" t="s">
        <v>1207</v>
      </c>
      <c r="H1122" s="4"/>
      <c r="I1122" s="4">
        <f t="shared" si="99"/>
        <v>0</v>
      </c>
      <c r="J1122" s="4"/>
      <c r="K1122" s="4">
        <f t="shared" si="91"/>
        <v>0</v>
      </c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 spans="1:26" ht="15.75" customHeight="1" x14ac:dyDescent="0.2">
      <c r="A1123" s="1">
        <v>2161</v>
      </c>
      <c r="B1123" s="13" t="s">
        <v>281</v>
      </c>
      <c r="C1123" s="14" t="s">
        <v>1368</v>
      </c>
      <c r="D1123" s="14" t="s">
        <v>1369</v>
      </c>
      <c r="E1123" s="14" t="s">
        <v>125</v>
      </c>
      <c r="F1123" s="14" t="s">
        <v>1356</v>
      </c>
      <c r="G1123" s="14" t="s">
        <v>1207</v>
      </c>
      <c r="H1123" s="4"/>
      <c r="I1123" s="4">
        <f t="shared" si="99"/>
        <v>0</v>
      </c>
      <c r="J1123" s="4"/>
      <c r="K1123" s="4">
        <f t="shared" si="91"/>
        <v>0</v>
      </c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 spans="1:26" ht="15.75" customHeight="1" x14ac:dyDescent="0.2">
      <c r="A1124" s="1">
        <v>2187</v>
      </c>
      <c r="B1124" s="13" t="s">
        <v>282</v>
      </c>
      <c r="C1124" s="14" t="s">
        <v>1373</v>
      </c>
      <c r="D1124" s="14" t="s">
        <v>86</v>
      </c>
      <c r="E1124" s="14" t="s">
        <v>1330</v>
      </c>
      <c r="F1124" s="14" t="s">
        <v>1356</v>
      </c>
      <c r="G1124" s="14" t="s">
        <v>1207</v>
      </c>
      <c r="H1124" s="4"/>
      <c r="I1124" s="4">
        <f t="shared" si="99"/>
        <v>0</v>
      </c>
      <c r="J1124" s="4"/>
      <c r="K1124" s="4">
        <f t="shared" si="91"/>
        <v>0</v>
      </c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 spans="1:26" ht="15.75" customHeight="1" x14ac:dyDescent="0.2">
      <c r="A1125" s="1">
        <v>2217</v>
      </c>
      <c r="B1125" s="13" t="s">
        <v>282</v>
      </c>
      <c r="C1125" s="14" t="s">
        <v>1374</v>
      </c>
      <c r="D1125" s="14" t="s">
        <v>1375</v>
      </c>
      <c r="E1125" s="14" t="s">
        <v>1376</v>
      </c>
      <c r="F1125" s="14" t="s">
        <v>1356</v>
      </c>
      <c r="G1125" s="14" t="s">
        <v>1207</v>
      </c>
      <c r="H1125" s="4"/>
      <c r="I1125" s="4">
        <f t="shared" si="99"/>
        <v>0</v>
      </c>
      <c r="J1125" s="4"/>
      <c r="K1125" s="4">
        <f t="shared" si="91"/>
        <v>0</v>
      </c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 spans="1:26" ht="15.75" customHeight="1" x14ac:dyDescent="0.2">
      <c r="A1126" s="1">
        <v>2283</v>
      </c>
      <c r="B1126" s="13" t="s">
        <v>284</v>
      </c>
      <c r="C1126" s="14" t="s">
        <v>1359</v>
      </c>
      <c r="D1126" s="14" t="s">
        <v>534</v>
      </c>
      <c r="E1126" s="14" t="s">
        <v>676</v>
      </c>
      <c r="F1126" s="14" t="s">
        <v>1356</v>
      </c>
      <c r="G1126" s="14" t="s">
        <v>1207</v>
      </c>
      <c r="H1126" s="4"/>
      <c r="I1126" s="4">
        <f t="shared" si="99"/>
        <v>0</v>
      </c>
      <c r="J1126" s="4"/>
      <c r="K1126" s="4">
        <f t="shared" si="91"/>
        <v>0</v>
      </c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 spans="1:26" ht="15.75" customHeight="1" x14ac:dyDescent="0.2">
      <c r="A1127" s="1">
        <v>2287</v>
      </c>
      <c r="B1127" s="13" t="s">
        <v>284</v>
      </c>
      <c r="C1127" s="14" t="s">
        <v>1360</v>
      </c>
      <c r="D1127" s="14" t="s">
        <v>104</v>
      </c>
      <c r="E1127" s="14" t="s">
        <v>18</v>
      </c>
      <c r="F1127" s="14" t="s">
        <v>1356</v>
      </c>
      <c r="G1127" s="14" t="s">
        <v>1207</v>
      </c>
      <c r="H1127" s="4"/>
      <c r="I1127" s="4">
        <f t="shared" si="99"/>
        <v>0</v>
      </c>
      <c r="J1127" s="4"/>
      <c r="K1127" s="4">
        <f t="shared" si="91"/>
        <v>0</v>
      </c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 spans="1:26" ht="15.75" customHeight="1" x14ac:dyDescent="0.2">
      <c r="A1128" s="1">
        <v>2305</v>
      </c>
      <c r="B1128" s="13" t="s">
        <v>284</v>
      </c>
      <c r="C1128" s="14" t="s">
        <v>1361</v>
      </c>
      <c r="D1128" s="14" t="s">
        <v>104</v>
      </c>
      <c r="E1128" s="14" t="s">
        <v>1362</v>
      </c>
      <c r="F1128" s="14" t="s">
        <v>1356</v>
      </c>
      <c r="G1128" s="14" t="s">
        <v>1207</v>
      </c>
      <c r="H1128" s="4"/>
      <c r="I1128" s="4">
        <f t="shared" si="99"/>
        <v>0</v>
      </c>
      <c r="J1128" s="4"/>
      <c r="K1128" s="4">
        <f t="shared" si="91"/>
        <v>0</v>
      </c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 spans="1:26" ht="15.75" customHeight="1" x14ac:dyDescent="0.2">
      <c r="A1129" s="1">
        <v>2307</v>
      </c>
      <c r="B1129" s="13" t="s">
        <v>284</v>
      </c>
      <c r="C1129" s="14" t="s">
        <v>1377</v>
      </c>
      <c r="D1129" s="14" t="s">
        <v>1378</v>
      </c>
      <c r="E1129" s="14" t="s">
        <v>1379</v>
      </c>
      <c r="F1129" s="14" t="s">
        <v>1356</v>
      </c>
      <c r="G1129" s="14" t="s">
        <v>1207</v>
      </c>
      <c r="H1129" s="4"/>
      <c r="I1129" s="4">
        <f t="shared" si="99"/>
        <v>0</v>
      </c>
      <c r="J1129" s="4"/>
      <c r="K1129" s="4">
        <f t="shared" si="91"/>
        <v>0</v>
      </c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 spans="1:26" ht="15.75" customHeight="1" x14ac:dyDescent="0.2">
      <c r="A1130" s="1">
        <v>2709</v>
      </c>
      <c r="B1130" s="13" t="s">
        <v>703</v>
      </c>
      <c r="C1130" s="14" t="s">
        <v>1370</v>
      </c>
      <c r="D1130" s="14" t="s">
        <v>1371</v>
      </c>
      <c r="E1130" s="14" t="s">
        <v>1372</v>
      </c>
      <c r="F1130" s="14" t="s">
        <v>1356</v>
      </c>
      <c r="G1130" s="14" t="s">
        <v>1207</v>
      </c>
      <c r="H1130" s="4"/>
      <c r="I1130" s="4">
        <f t="shared" si="99"/>
        <v>0</v>
      </c>
      <c r="J1130" s="4"/>
      <c r="K1130" s="4">
        <f t="shared" si="91"/>
        <v>0</v>
      </c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 spans="1:26" ht="15.75" customHeight="1" x14ac:dyDescent="0.2">
      <c r="A1131" s="1">
        <v>2879</v>
      </c>
      <c r="B1131" s="13" t="s">
        <v>378</v>
      </c>
      <c r="C1131" s="14" t="s">
        <v>1359</v>
      </c>
      <c r="D1131" s="14" t="s">
        <v>534</v>
      </c>
      <c r="E1131" s="14" t="s">
        <v>676</v>
      </c>
      <c r="F1131" s="14" t="s">
        <v>1356</v>
      </c>
      <c r="G1131" s="14" t="s">
        <v>1207</v>
      </c>
      <c r="H1131" s="4"/>
      <c r="I1131" s="4">
        <f t="shared" si="99"/>
        <v>0</v>
      </c>
      <c r="J1131" s="4"/>
      <c r="K1131" s="4">
        <f t="shared" si="91"/>
        <v>0</v>
      </c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 spans="1:26" ht="15.75" customHeight="1" x14ac:dyDescent="0.2">
      <c r="A1132" s="1">
        <v>2885</v>
      </c>
      <c r="B1132" s="13" t="s">
        <v>378</v>
      </c>
      <c r="C1132" s="14" t="s">
        <v>1377</v>
      </c>
      <c r="D1132" s="14" t="s">
        <v>1378</v>
      </c>
      <c r="E1132" s="14" t="s">
        <v>1379</v>
      </c>
      <c r="F1132" s="14" t="s">
        <v>1356</v>
      </c>
      <c r="G1132" s="14" t="s">
        <v>1207</v>
      </c>
      <c r="H1132" s="4"/>
      <c r="I1132" s="4">
        <f t="shared" si="99"/>
        <v>0</v>
      </c>
      <c r="J1132" s="4"/>
      <c r="K1132" s="4">
        <f t="shared" si="91"/>
        <v>0</v>
      </c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 spans="1:26" ht="15.75" customHeight="1" x14ac:dyDescent="0.2">
      <c r="A1133" s="20">
        <v>2993</v>
      </c>
      <c r="B1133" s="21" t="s">
        <v>290</v>
      </c>
      <c r="C1133" s="22" t="s">
        <v>1373</v>
      </c>
      <c r="D1133" s="22" t="s">
        <v>86</v>
      </c>
      <c r="E1133" s="22" t="s">
        <v>1330</v>
      </c>
      <c r="F1133" s="14" t="s">
        <v>1356</v>
      </c>
      <c r="G1133" s="14" t="s">
        <v>1207</v>
      </c>
      <c r="H1133" s="4"/>
      <c r="I1133" s="4">
        <f t="shared" si="99"/>
        <v>0</v>
      </c>
      <c r="J1133" s="4"/>
      <c r="K1133" s="4">
        <f t="shared" si="91"/>
        <v>0</v>
      </c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 spans="1:26" ht="15.75" customHeight="1" x14ac:dyDescent="0.2">
      <c r="A1134" s="20">
        <v>3009</v>
      </c>
      <c r="B1134" s="21" t="s">
        <v>290</v>
      </c>
      <c r="C1134" s="22" t="s">
        <v>1374</v>
      </c>
      <c r="D1134" s="22" t="s">
        <v>1375</v>
      </c>
      <c r="E1134" s="22" t="s">
        <v>1376</v>
      </c>
      <c r="F1134" s="14" t="s">
        <v>1356</v>
      </c>
      <c r="G1134" s="14" t="s">
        <v>1207</v>
      </c>
      <c r="H1134" s="4"/>
      <c r="I1134" s="4">
        <f t="shared" si="99"/>
        <v>0</v>
      </c>
      <c r="J1134" s="4"/>
      <c r="K1134" s="4">
        <f t="shared" si="91"/>
        <v>0</v>
      </c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 spans="1:26" ht="15.75" customHeight="1" x14ac:dyDescent="0.2">
      <c r="A1135" s="1"/>
      <c r="B1135" s="2" t="s">
        <v>108</v>
      </c>
      <c r="C1135" s="3" t="s">
        <v>1380</v>
      </c>
      <c r="D1135" s="3" t="s">
        <v>430</v>
      </c>
      <c r="E1135" s="3" t="s">
        <v>1381</v>
      </c>
      <c r="F1135" s="3" t="s">
        <v>1356</v>
      </c>
      <c r="G1135" s="3" t="s">
        <v>1207</v>
      </c>
      <c r="H1135" s="4"/>
      <c r="I1135" s="4">
        <f t="shared" ref="I1135:I1154" si="100">H1135*1800</f>
        <v>0</v>
      </c>
      <c r="J1135" s="4"/>
      <c r="K1135" s="4">
        <f t="shared" si="91"/>
        <v>0</v>
      </c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 spans="1:26" ht="15.75" customHeight="1" x14ac:dyDescent="0.2">
      <c r="A1136" s="1"/>
      <c r="B1136" s="2" t="s">
        <v>94</v>
      </c>
      <c r="C1136" s="3" t="s">
        <v>1382</v>
      </c>
      <c r="D1136" s="3" t="s">
        <v>1383</v>
      </c>
      <c r="E1136" s="3" t="s">
        <v>1384</v>
      </c>
      <c r="F1136" s="3" t="s">
        <v>1356</v>
      </c>
      <c r="G1136" s="3" t="s">
        <v>1207</v>
      </c>
      <c r="H1136" s="4"/>
      <c r="I1136" s="4">
        <f t="shared" si="100"/>
        <v>0</v>
      </c>
      <c r="J1136" s="4"/>
      <c r="K1136" s="4">
        <f t="shared" si="91"/>
        <v>0</v>
      </c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 spans="1:26" ht="15.75" customHeight="1" x14ac:dyDescent="0.2">
      <c r="A1137" s="1"/>
      <c r="B1137" s="19" t="s">
        <v>108</v>
      </c>
      <c r="C1137" s="3" t="s">
        <v>475</v>
      </c>
      <c r="D1137" s="3" t="s">
        <v>1385</v>
      </c>
      <c r="E1137" s="3" t="s">
        <v>1217</v>
      </c>
      <c r="F1137" s="3" t="s">
        <v>1356</v>
      </c>
      <c r="G1137" s="3" t="s">
        <v>1207</v>
      </c>
      <c r="H1137" s="4"/>
      <c r="I1137" s="4">
        <f t="shared" si="100"/>
        <v>0</v>
      </c>
      <c r="J1137" s="4"/>
      <c r="K1137" s="4">
        <f t="shared" si="91"/>
        <v>0</v>
      </c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 spans="1:26" ht="15.75" customHeight="1" x14ac:dyDescent="0.2">
      <c r="A1138" s="1"/>
      <c r="B1138" s="2" t="s">
        <v>303</v>
      </c>
      <c r="C1138" s="3" t="s">
        <v>475</v>
      </c>
      <c r="D1138" s="3" t="s">
        <v>1385</v>
      </c>
      <c r="E1138" s="3" t="s">
        <v>1217</v>
      </c>
      <c r="F1138" s="3" t="s">
        <v>1356</v>
      </c>
      <c r="G1138" s="3" t="s">
        <v>1207</v>
      </c>
      <c r="H1138" s="4"/>
      <c r="I1138" s="4">
        <f t="shared" si="100"/>
        <v>0</v>
      </c>
      <c r="J1138" s="4"/>
      <c r="K1138" s="4">
        <f t="shared" si="91"/>
        <v>0</v>
      </c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 spans="1:26" ht="15.75" customHeight="1" x14ac:dyDescent="0.2">
      <c r="A1139" s="1"/>
      <c r="B1139" s="2" t="s">
        <v>118</v>
      </c>
      <c r="C1139" s="3" t="s">
        <v>1386</v>
      </c>
      <c r="D1139" s="3" t="s">
        <v>852</v>
      </c>
      <c r="E1139" s="3" t="s">
        <v>1387</v>
      </c>
      <c r="F1139" s="3" t="s">
        <v>1356</v>
      </c>
      <c r="G1139" s="3" t="s">
        <v>1207</v>
      </c>
      <c r="H1139" s="4"/>
      <c r="I1139" s="4">
        <f t="shared" si="100"/>
        <v>0</v>
      </c>
      <c r="J1139" s="4"/>
      <c r="K1139" s="4">
        <f t="shared" si="91"/>
        <v>0</v>
      </c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 spans="1:26" ht="15.75" customHeight="1" x14ac:dyDescent="0.2">
      <c r="A1140" s="1"/>
      <c r="B1140" s="2" t="s">
        <v>108</v>
      </c>
      <c r="C1140" s="3" t="s">
        <v>1386</v>
      </c>
      <c r="D1140" s="3" t="s">
        <v>852</v>
      </c>
      <c r="E1140" s="3" t="s">
        <v>1387</v>
      </c>
      <c r="F1140" s="3" t="s">
        <v>1356</v>
      </c>
      <c r="G1140" s="3" t="s">
        <v>1207</v>
      </c>
      <c r="H1140" s="4"/>
      <c r="I1140" s="4">
        <f t="shared" si="100"/>
        <v>0</v>
      </c>
      <c r="J1140" s="4"/>
      <c r="K1140" s="4">
        <f t="shared" si="91"/>
        <v>0</v>
      </c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 spans="1:26" ht="15.75" customHeight="1" x14ac:dyDescent="0.2">
      <c r="A1141" s="1"/>
      <c r="B1141" s="2" t="s">
        <v>94</v>
      </c>
      <c r="C1141" s="3" t="s">
        <v>1386</v>
      </c>
      <c r="D1141" s="3" t="s">
        <v>852</v>
      </c>
      <c r="E1141" s="3" t="s">
        <v>1387</v>
      </c>
      <c r="F1141" s="3" t="s">
        <v>1356</v>
      </c>
      <c r="G1141" s="3" t="s">
        <v>1207</v>
      </c>
      <c r="H1141" s="4"/>
      <c r="I1141" s="4">
        <f t="shared" si="100"/>
        <v>0</v>
      </c>
      <c r="J1141" s="4"/>
      <c r="K1141" s="4">
        <f t="shared" si="91"/>
        <v>0</v>
      </c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 spans="1:26" ht="15.75" customHeight="1" x14ac:dyDescent="0.2">
      <c r="A1142" s="1"/>
      <c r="B1142" s="2" t="s">
        <v>315</v>
      </c>
      <c r="C1142" s="3" t="s">
        <v>1388</v>
      </c>
      <c r="D1142" s="3" t="s">
        <v>1389</v>
      </c>
      <c r="E1142" s="3" t="s">
        <v>1390</v>
      </c>
      <c r="F1142" s="3" t="s">
        <v>1356</v>
      </c>
      <c r="G1142" s="3" t="s">
        <v>1207</v>
      </c>
      <c r="H1142" s="4"/>
      <c r="I1142" s="4">
        <f t="shared" si="100"/>
        <v>0</v>
      </c>
      <c r="J1142" s="4"/>
      <c r="K1142" s="4">
        <f t="shared" si="91"/>
        <v>0</v>
      </c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 spans="1:26" ht="15.75" customHeight="1" x14ac:dyDescent="0.2">
      <c r="A1143" s="1"/>
      <c r="B1143" s="2" t="s">
        <v>94</v>
      </c>
      <c r="C1143" s="3" t="s">
        <v>1388</v>
      </c>
      <c r="D1143" s="3" t="s">
        <v>1389</v>
      </c>
      <c r="E1143" s="3" t="s">
        <v>1390</v>
      </c>
      <c r="F1143" s="3" t="s">
        <v>1356</v>
      </c>
      <c r="G1143" s="3" t="s">
        <v>1207</v>
      </c>
      <c r="H1143" s="4"/>
      <c r="I1143" s="4">
        <f t="shared" si="100"/>
        <v>0</v>
      </c>
      <c r="J1143" s="4"/>
      <c r="K1143" s="4">
        <f t="shared" si="91"/>
        <v>0</v>
      </c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 spans="1:26" ht="15.75" customHeight="1" x14ac:dyDescent="0.2">
      <c r="A1144" s="1"/>
      <c r="B1144" s="2" t="s">
        <v>315</v>
      </c>
      <c r="C1144" s="3" t="s">
        <v>1379</v>
      </c>
      <c r="D1144" s="3" t="s">
        <v>1157</v>
      </c>
      <c r="E1144" s="3" t="s">
        <v>255</v>
      </c>
      <c r="F1144" s="3" t="s">
        <v>1356</v>
      </c>
      <c r="G1144" s="3" t="s">
        <v>1207</v>
      </c>
      <c r="H1144" s="4"/>
      <c r="I1144" s="4">
        <f t="shared" si="100"/>
        <v>0</v>
      </c>
      <c r="J1144" s="4"/>
      <c r="K1144" s="4">
        <f t="shared" si="91"/>
        <v>0</v>
      </c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 spans="1:26" ht="15.75" customHeight="1" x14ac:dyDescent="0.2">
      <c r="A1145" s="1"/>
      <c r="B1145" s="2" t="s">
        <v>108</v>
      </c>
      <c r="C1145" s="3" t="s">
        <v>1379</v>
      </c>
      <c r="D1145" s="3" t="s">
        <v>1157</v>
      </c>
      <c r="E1145" s="3" t="s">
        <v>255</v>
      </c>
      <c r="F1145" s="3" t="s">
        <v>1356</v>
      </c>
      <c r="G1145" s="3" t="s">
        <v>1207</v>
      </c>
      <c r="H1145" s="4"/>
      <c r="I1145" s="4">
        <f t="shared" si="100"/>
        <v>0</v>
      </c>
      <c r="J1145" s="4"/>
      <c r="K1145" s="4">
        <f t="shared" si="91"/>
        <v>0</v>
      </c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 spans="1:26" ht="15.75" customHeight="1" x14ac:dyDescent="0.2">
      <c r="A1146" s="1"/>
      <c r="B1146" s="2" t="s">
        <v>126</v>
      </c>
      <c r="C1146" s="3" t="s">
        <v>1391</v>
      </c>
      <c r="D1146" s="3" t="s">
        <v>771</v>
      </c>
      <c r="E1146" s="3" t="s">
        <v>1078</v>
      </c>
      <c r="F1146" s="3" t="s">
        <v>1356</v>
      </c>
      <c r="G1146" s="3" t="s">
        <v>1207</v>
      </c>
      <c r="H1146" s="4"/>
      <c r="I1146" s="4">
        <f t="shared" si="100"/>
        <v>0</v>
      </c>
      <c r="J1146" s="4"/>
      <c r="K1146" s="4">
        <f t="shared" si="91"/>
        <v>0</v>
      </c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 spans="1:26" ht="15.75" customHeight="1" x14ac:dyDescent="0.2">
      <c r="A1147" s="1"/>
      <c r="B1147" s="2" t="s">
        <v>108</v>
      </c>
      <c r="C1147" s="3" t="s">
        <v>1392</v>
      </c>
      <c r="D1147" s="3" t="s">
        <v>266</v>
      </c>
      <c r="E1147" s="3" t="s">
        <v>302</v>
      </c>
      <c r="F1147" s="3" t="s">
        <v>1356</v>
      </c>
      <c r="G1147" s="3" t="s">
        <v>1207</v>
      </c>
      <c r="H1147" s="4"/>
      <c r="I1147" s="4">
        <f t="shared" si="100"/>
        <v>0</v>
      </c>
      <c r="J1147" s="4"/>
      <c r="K1147" s="4">
        <f t="shared" si="91"/>
        <v>0</v>
      </c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 spans="1:26" ht="15.75" customHeight="1" x14ac:dyDescent="0.2">
      <c r="A1148" s="1"/>
      <c r="B1148" s="2" t="s">
        <v>303</v>
      </c>
      <c r="C1148" s="3" t="s">
        <v>1392</v>
      </c>
      <c r="D1148" s="3" t="s">
        <v>266</v>
      </c>
      <c r="E1148" s="3" t="s">
        <v>302</v>
      </c>
      <c r="F1148" s="3" t="s">
        <v>1356</v>
      </c>
      <c r="G1148" s="3" t="s">
        <v>1207</v>
      </c>
      <c r="H1148" s="4"/>
      <c r="I1148" s="4">
        <f t="shared" si="100"/>
        <v>0</v>
      </c>
      <c r="J1148" s="4"/>
      <c r="K1148" s="4">
        <f t="shared" si="91"/>
        <v>0</v>
      </c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 spans="1:26" ht="15.75" customHeight="1" x14ac:dyDescent="0.2">
      <c r="A1149" s="1"/>
      <c r="B1149" s="2" t="s">
        <v>94</v>
      </c>
      <c r="C1149" s="3" t="s">
        <v>1392</v>
      </c>
      <c r="D1149" s="3" t="s">
        <v>266</v>
      </c>
      <c r="E1149" s="3" t="s">
        <v>302</v>
      </c>
      <c r="F1149" s="3" t="s">
        <v>1356</v>
      </c>
      <c r="G1149" s="3" t="s">
        <v>1207</v>
      </c>
      <c r="H1149" s="4"/>
      <c r="I1149" s="4">
        <f t="shared" si="100"/>
        <v>0</v>
      </c>
      <c r="J1149" s="4"/>
      <c r="K1149" s="4">
        <f t="shared" si="91"/>
        <v>0</v>
      </c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 spans="1:26" ht="15.75" customHeight="1" x14ac:dyDescent="0.2">
      <c r="A1150" s="1"/>
      <c r="B1150" s="19" t="s">
        <v>126</v>
      </c>
      <c r="C1150" s="23" t="s">
        <v>1393</v>
      </c>
      <c r="D1150" s="23" t="s">
        <v>1394</v>
      </c>
      <c r="E1150" s="3" t="s">
        <v>1395</v>
      </c>
      <c r="F1150" s="23" t="s">
        <v>1356</v>
      </c>
      <c r="G1150" s="23" t="s">
        <v>1207</v>
      </c>
      <c r="H1150" s="4"/>
      <c r="I1150" s="4">
        <f t="shared" si="100"/>
        <v>0</v>
      </c>
      <c r="J1150" s="4"/>
      <c r="K1150" s="4">
        <f t="shared" si="91"/>
        <v>0</v>
      </c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 spans="1:26" ht="15.75" customHeight="1" x14ac:dyDescent="0.2">
      <c r="A1151" s="1"/>
      <c r="B1151" s="2" t="s">
        <v>94</v>
      </c>
      <c r="C1151" s="3" t="s">
        <v>1393</v>
      </c>
      <c r="D1151" s="3" t="s">
        <v>1394</v>
      </c>
      <c r="E1151" s="3" t="s">
        <v>1395</v>
      </c>
      <c r="F1151" s="3" t="s">
        <v>1356</v>
      </c>
      <c r="G1151" s="3" t="s">
        <v>1207</v>
      </c>
      <c r="H1151" s="4"/>
      <c r="I1151" s="4">
        <f t="shared" si="100"/>
        <v>0</v>
      </c>
      <c r="J1151" s="4"/>
      <c r="K1151" s="4">
        <f t="shared" si="91"/>
        <v>0</v>
      </c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 spans="1:26" ht="15.75" customHeight="1" x14ac:dyDescent="0.2">
      <c r="A1152" s="1"/>
      <c r="B1152" s="2" t="s">
        <v>315</v>
      </c>
      <c r="C1152" s="3" t="s">
        <v>1396</v>
      </c>
      <c r="D1152" s="3" t="s">
        <v>1397</v>
      </c>
      <c r="E1152" s="3" t="s">
        <v>1384</v>
      </c>
      <c r="F1152" s="3" t="s">
        <v>1356</v>
      </c>
      <c r="G1152" s="3" t="s">
        <v>1207</v>
      </c>
      <c r="H1152" s="4"/>
      <c r="I1152" s="4">
        <f t="shared" si="100"/>
        <v>0</v>
      </c>
      <c r="J1152" s="4"/>
      <c r="K1152" s="4">
        <f t="shared" si="91"/>
        <v>0</v>
      </c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 spans="1:26" ht="15.75" customHeight="1" x14ac:dyDescent="0.2">
      <c r="A1153" s="1"/>
      <c r="B1153" s="2" t="s">
        <v>108</v>
      </c>
      <c r="C1153" s="3" t="s">
        <v>1396</v>
      </c>
      <c r="D1153" s="3" t="s">
        <v>1397</v>
      </c>
      <c r="E1153" s="3" t="s">
        <v>1384</v>
      </c>
      <c r="F1153" s="3" t="s">
        <v>1356</v>
      </c>
      <c r="G1153" s="3" t="s">
        <v>1207</v>
      </c>
      <c r="H1153" s="4"/>
      <c r="I1153" s="4">
        <f t="shared" si="100"/>
        <v>0</v>
      </c>
      <c r="J1153" s="4"/>
      <c r="K1153" s="4">
        <f t="shared" si="91"/>
        <v>0</v>
      </c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 spans="1:26" ht="15.75" customHeight="1" x14ac:dyDescent="0.2">
      <c r="A1154" s="1"/>
      <c r="B1154" s="2" t="s">
        <v>303</v>
      </c>
      <c r="C1154" s="3" t="s">
        <v>1396</v>
      </c>
      <c r="D1154" s="3" t="s">
        <v>1397</v>
      </c>
      <c r="E1154" s="3" t="s">
        <v>1384</v>
      </c>
      <c r="F1154" s="3" t="s">
        <v>1356</v>
      </c>
      <c r="G1154" s="3" t="s">
        <v>1207</v>
      </c>
      <c r="H1154" s="4"/>
      <c r="I1154" s="4">
        <f t="shared" si="100"/>
        <v>0</v>
      </c>
      <c r="J1154" s="4"/>
      <c r="K1154" s="4">
        <f t="shared" si="91"/>
        <v>0</v>
      </c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 spans="1:26" ht="15.75" customHeight="1" x14ac:dyDescent="0.2">
      <c r="A1155" s="1">
        <v>763</v>
      </c>
      <c r="B1155" s="13" t="s">
        <v>977</v>
      </c>
      <c r="C1155" s="14" t="s">
        <v>1398</v>
      </c>
      <c r="D1155" s="14" t="s">
        <v>1369</v>
      </c>
      <c r="E1155" s="14" t="s">
        <v>310</v>
      </c>
      <c r="F1155" s="14" t="s">
        <v>1399</v>
      </c>
      <c r="G1155" s="14" t="s">
        <v>1207</v>
      </c>
      <c r="H1155" s="4"/>
      <c r="I1155" s="4">
        <f t="shared" ref="I1155:I1156" si="101">H1155*2300</f>
        <v>0</v>
      </c>
      <c r="J1155" s="4"/>
      <c r="K1155" s="4">
        <f t="shared" si="91"/>
        <v>0</v>
      </c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 spans="1:26" ht="15.75" customHeight="1" x14ac:dyDescent="0.2">
      <c r="A1156" s="1">
        <v>779</v>
      </c>
      <c r="B1156" s="13" t="s">
        <v>405</v>
      </c>
      <c r="C1156" s="14" t="s">
        <v>1400</v>
      </c>
      <c r="D1156" s="14" t="s">
        <v>1401</v>
      </c>
      <c r="E1156" s="14" t="s">
        <v>1402</v>
      </c>
      <c r="F1156" s="14" t="s">
        <v>1399</v>
      </c>
      <c r="G1156" s="14" t="s">
        <v>1207</v>
      </c>
      <c r="H1156" s="4"/>
      <c r="I1156" s="4">
        <f t="shared" si="101"/>
        <v>0</v>
      </c>
      <c r="J1156" s="4"/>
      <c r="K1156" s="4">
        <f t="shared" si="91"/>
        <v>0</v>
      </c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 spans="1:26" ht="15.75" customHeight="1" x14ac:dyDescent="0.2">
      <c r="A1157" s="1"/>
      <c r="B1157" s="2" t="s">
        <v>94</v>
      </c>
      <c r="C1157" s="3" t="s">
        <v>1403</v>
      </c>
      <c r="D1157" s="3" t="s">
        <v>376</v>
      </c>
      <c r="E1157" s="3" t="s">
        <v>530</v>
      </c>
      <c r="F1157" s="3" t="s">
        <v>1399</v>
      </c>
      <c r="G1157" s="3" t="s">
        <v>1207</v>
      </c>
      <c r="H1157" s="4"/>
      <c r="I1157" s="4">
        <f t="shared" ref="I1157:I1159" si="102">H1157*1800</f>
        <v>0</v>
      </c>
      <c r="J1157" s="4"/>
      <c r="K1157" s="4">
        <f t="shared" si="91"/>
        <v>0</v>
      </c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 spans="1:26" ht="15.75" customHeight="1" x14ac:dyDescent="0.2">
      <c r="A1158" s="1"/>
      <c r="B1158" s="2" t="s">
        <v>94</v>
      </c>
      <c r="C1158" s="3" t="s">
        <v>1404</v>
      </c>
      <c r="D1158" s="3" t="s">
        <v>376</v>
      </c>
      <c r="E1158" s="3" t="s">
        <v>530</v>
      </c>
      <c r="F1158" s="3" t="s">
        <v>1399</v>
      </c>
      <c r="G1158" s="3" t="s">
        <v>1207</v>
      </c>
      <c r="H1158" s="4"/>
      <c r="I1158" s="4">
        <f t="shared" si="102"/>
        <v>0</v>
      </c>
      <c r="J1158" s="4"/>
      <c r="K1158" s="4">
        <f t="shared" si="91"/>
        <v>0</v>
      </c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 spans="1:26" ht="15.75" customHeight="1" x14ac:dyDescent="0.2">
      <c r="A1159" s="1"/>
      <c r="B1159" s="2" t="s">
        <v>728</v>
      </c>
      <c r="C1159" s="3" t="s">
        <v>1404</v>
      </c>
      <c r="D1159" s="3" t="s">
        <v>376</v>
      </c>
      <c r="E1159" s="3" t="s">
        <v>530</v>
      </c>
      <c r="F1159" s="3" t="s">
        <v>1399</v>
      </c>
      <c r="G1159" s="3" t="s">
        <v>1207</v>
      </c>
      <c r="H1159" s="4"/>
      <c r="I1159" s="4">
        <f t="shared" si="102"/>
        <v>0</v>
      </c>
      <c r="J1159" s="4"/>
      <c r="K1159" s="4">
        <f t="shared" si="91"/>
        <v>0</v>
      </c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 spans="1:26" ht="15.75" customHeight="1" x14ac:dyDescent="0.2">
      <c r="A1160" s="1">
        <v>3</v>
      </c>
      <c r="B1160" s="13" t="s">
        <v>704</v>
      </c>
      <c r="C1160" s="14" t="s">
        <v>1405</v>
      </c>
      <c r="D1160" s="14" t="s">
        <v>396</v>
      </c>
      <c r="E1160" s="14" t="s">
        <v>1358</v>
      </c>
      <c r="F1160" s="14" t="s">
        <v>1406</v>
      </c>
      <c r="G1160" s="14" t="s">
        <v>1207</v>
      </c>
      <c r="H1160" s="4"/>
      <c r="I1160" s="4">
        <f t="shared" ref="I1160:I1169" si="103">H1160*2300</f>
        <v>0</v>
      </c>
      <c r="J1160" s="4"/>
      <c r="K1160" s="4">
        <f t="shared" si="91"/>
        <v>0</v>
      </c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 spans="1:26" ht="15.75" customHeight="1" x14ac:dyDescent="0.2">
      <c r="A1161" s="1">
        <v>725</v>
      </c>
      <c r="B1161" s="13" t="s">
        <v>1407</v>
      </c>
      <c r="C1161" s="14" t="s">
        <v>1173</v>
      </c>
      <c r="D1161" s="14" t="s">
        <v>593</v>
      </c>
      <c r="E1161" s="14" t="s">
        <v>1408</v>
      </c>
      <c r="F1161" s="14" t="s">
        <v>1406</v>
      </c>
      <c r="G1161" s="14" t="s">
        <v>1207</v>
      </c>
      <c r="H1161" s="4"/>
      <c r="I1161" s="4">
        <f t="shared" si="103"/>
        <v>0</v>
      </c>
      <c r="J1161" s="4"/>
      <c r="K1161" s="4">
        <f t="shared" si="91"/>
        <v>0</v>
      </c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 spans="1:26" ht="15.75" customHeight="1" x14ac:dyDescent="0.2">
      <c r="A1162" s="1">
        <v>727</v>
      </c>
      <c r="B1162" s="13" t="s">
        <v>1407</v>
      </c>
      <c r="C1162" s="14" t="s">
        <v>1409</v>
      </c>
      <c r="D1162" s="14" t="s">
        <v>1410</v>
      </c>
      <c r="E1162" s="14" t="s">
        <v>1411</v>
      </c>
      <c r="F1162" s="14" t="s">
        <v>1406</v>
      </c>
      <c r="G1162" s="14" t="s">
        <v>1207</v>
      </c>
      <c r="H1162" s="4"/>
      <c r="I1162" s="4">
        <f t="shared" si="103"/>
        <v>0</v>
      </c>
      <c r="J1162" s="4"/>
      <c r="K1162" s="4">
        <f t="shared" si="91"/>
        <v>0</v>
      </c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 spans="1:26" ht="15.75" customHeight="1" x14ac:dyDescent="0.2">
      <c r="A1163" s="1">
        <v>913</v>
      </c>
      <c r="B1163" s="13" t="s">
        <v>694</v>
      </c>
      <c r="C1163" s="14" t="s">
        <v>1412</v>
      </c>
      <c r="D1163" s="14" t="s">
        <v>266</v>
      </c>
      <c r="E1163" s="14" t="s">
        <v>40</v>
      </c>
      <c r="F1163" s="14" t="s">
        <v>1406</v>
      </c>
      <c r="G1163" s="14" t="s">
        <v>1207</v>
      </c>
      <c r="H1163" s="4"/>
      <c r="I1163" s="4">
        <f t="shared" si="103"/>
        <v>0</v>
      </c>
      <c r="J1163" s="4"/>
      <c r="K1163" s="4">
        <f t="shared" si="91"/>
        <v>0</v>
      </c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 spans="1:26" ht="15.75" customHeight="1" x14ac:dyDescent="0.2">
      <c r="A1164" s="1">
        <v>919</v>
      </c>
      <c r="B1164" s="13" t="s">
        <v>694</v>
      </c>
      <c r="C1164" s="14" t="s">
        <v>1413</v>
      </c>
      <c r="D1164" s="14" t="s">
        <v>292</v>
      </c>
      <c r="E1164" s="14" t="s">
        <v>32</v>
      </c>
      <c r="F1164" s="14" t="s">
        <v>1406</v>
      </c>
      <c r="G1164" s="14" t="s">
        <v>1207</v>
      </c>
      <c r="H1164" s="4"/>
      <c r="I1164" s="4">
        <f t="shared" si="103"/>
        <v>0</v>
      </c>
      <c r="J1164" s="4"/>
      <c r="K1164" s="4">
        <f t="shared" si="91"/>
        <v>0</v>
      </c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 spans="1:26" ht="15.75" customHeight="1" x14ac:dyDescent="0.2">
      <c r="A1165" s="1">
        <v>1217</v>
      </c>
      <c r="B1165" s="13" t="s">
        <v>699</v>
      </c>
      <c r="C1165" s="14" t="s">
        <v>1414</v>
      </c>
      <c r="D1165" s="14" t="s">
        <v>1415</v>
      </c>
      <c r="E1165" s="14" t="s">
        <v>1416</v>
      </c>
      <c r="F1165" s="14" t="s">
        <v>1406</v>
      </c>
      <c r="G1165" s="14" t="s">
        <v>1207</v>
      </c>
      <c r="H1165" s="4"/>
      <c r="I1165" s="4">
        <f t="shared" si="103"/>
        <v>0</v>
      </c>
      <c r="J1165" s="4"/>
      <c r="K1165" s="4">
        <f t="shared" si="91"/>
        <v>0</v>
      </c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 spans="1:26" ht="15.75" customHeight="1" x14ac:dyDescent="0.2">
      <c r="A1166" s="1">
        <v>2497</v>
      </c>
      <c r="B1166" s="13" t="s">
        <v>444</v>
      </c>
      <c r="C1166" s="14" t="s">
        <v>1417</v>
      </c>
      <c r="D1166" s="14" t="s">
        <v>1418</v>
      </c>
      <c r="E1166" s="14" t="s">
        <v>1419</v>
      </c>
      <c r="F1166" s="14" t="s">
        <v>1406</v>
      </c>
      <c r="G1166" s="14" t="s">
        <v>1207</v>
      </c>
      <c r="H1166" s="4"/>
      <c r="I1166" s="4">
        <f t="shared" si="103"/>
        <v>0</v>
      </c>
      <c r="J1166" s="4"/>
      <c r="K1166" s="4">
        <f t="shared" si="91"/>
        <v>0</v>
      </c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 spans="1:26" ht="15.75" customHeight="1" x14ac:dyDescent="0.2">
      <c r="A1167" s="1">
        <v>2611</v>
      </c>
      <c r="B1167" s="13" t="s">
        <v>1420</v>
      </c>
      <c r="C1167" s="14" t="s">
        <v>1412</v>
      </c>
      <c r="D1167" s="14" t="s">
        <v>309</v>
      </c>
      <c r="E1167" s="14" t="s">
        <v>40</v>
      </c>
      <c r="F1167" s="14" t="s">
        <v>1406</v>
      </c>
      <c r="G1167" s="14" t="s">
        <v>1207</v>
      </c>
      <c r="H1167" s="4"/>
      <c r="I1167" s="4">
        <f t="shared" si="103"/>
        <v>0</v>
      </c>
      <c r="J1167" s="4"/>
      <c r="K1167" s="4">
        <f t="shared" si="91"/>
        <v>0</v>
      </c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 spans="1:26" ht="15.75" customHeight="1" x14ac:dyDescent="0.2">
      <c r="A1168" s="1">
        <v>2895</v>
      </c>
      <c r="B1168" s="13" t="s">
        <v>1133</v>
      </c>
      <c r="C1168" s="14" t="s">
        <v>1421</v>
      </c>
      <c r="D1168" s="14" t="s">
        <v>901</v>
      </c>
      <c r="E1168" s="14" t="s">
        <v>302</v>
      </c>
      <c r="F1168" s="14" t="s">
        <v>1406</v>
      </c>
      <c r="G1168" s="14" t="s">
        <v>1207</v>
      </c>
      <c r="H1168" s="4"/>
      <c r="I1168" s="4">
        <f t="shared" si="103"/>
        <v>0</v>
      </c>
      <c r="J1168" s="4"/>
      <c r="K1168" s="4">
        <f t="shared" si="91"/>
        <v>0</v>
      </c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 spans="1:26" ht="15.75" customHeight="1" x14ac:dyDescent="0.2">
      <c r="A1169" s="1">
        <v>2953</v>
      </c>
      <c r="B1169" s="13" t="s">
        <v>1270</v>
      </c>
      <c r="C1169" s="14" t="s">
        <v>1422</v>
      </c>
      <c r="D1169" s="14" t="s">
        <v>522</v>
      </c>
      <c r="E1169" s="14" t="s">
        <v>630</v>
      </c>
      <c r="F1169" s="14" t="s">
        <v>1406</v>
      </c>
      <c r="G1169" s="14" t="s">
        <v>1207</v>
      </c>
      <c r="H1169" s="4"/>
      <c r="I1169" s="4">
        <f t="shared" si="103"/>
        <v>0</v>
      </c>
      <c r="J1169" s="4"/>
      <c r="K1169" s="4">
        <f t="shared" si="91"/>
        <v>0</v>
      </c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 spans="1:26" ht="15.75" customHeight="1" x14ac:dyDescent="0.2">
      <c r="A1170" s="1"/>
      <c r="B1170" s="2" t="s">
        <v>88</v>
      </c>
      <c r="C1170" s="3" t="s">
        <v>1423</v>
      </c>
      <c r="D1170" s="3" t="s">
        <v>1424</v>
      </c>
      <c r="E1170" s="3" t="s">
        <v>1425</v>
      </c>
      <c r="F1170" s="3" t="s">
        <v>1406</v>
      </c>
      <c r="G1170" s="3" t="s">
        <v>1207</v>
      </c>
      <c r="H1170" s="4"/>
      <c r="I1170" s="4">
        <f t="shared" ref="I1170:I1172" si="104">H1170*1800</f>
        <v>0</v>
      </c>
      <c r="J1170" s="4"/>
      <c r="K1170" s="4">
        <f t="shared" si="91"/>
        <v>0</v>
      </c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 spans="1:26" ht="15.75" customHeight="1" x14ac:dyDescent="0.2">
      <c r="A1171" s="1"/>
      <c r="B1171" s="2" t="s">
        <v>303</v>
      </c>
      <c r="C1171" s="3" t="s">
        <v>1294</v>
      </c>
      <c r="D1171" s="3" t="s">
        <v>1426</v>
      </c>
      <c r="E1171" s="3" t="s">
        <v>846</v>
      </c>
      <c r="F1171" s="3" t="s">
        <v>1406</v>
      </c>
      <c r="G1171" s="3" t="s">
        <v>1207</v>
      </c>
      <c r="H1171" s="4"/>
      <c r="I1171" s="4">
        <f t="shared" si="104"/>
        <v>0</v>
      </c>
      <c r="J1171" s="4"/>
      <c r="K1171" s="4">
        <f t="shared" si="91"/>
        <v>0</v>
      </c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 spans="1:26" ht="15.75" customHeight="1" x14ac:dyDescent="0.2">
      <c r="A1172" s="1"/>
      <c r="B1172" s="19" t="s">
        <v>88</v>
      </c>
      <c r="C1172" s="3" t="s">
        <v>1294</v>
      </c>
      <c r="D1172" s="3" t="s">
        <v>1426</v>
      </c>
      <c r="E1172" s="3" t="s">
        <v>846</v>
      </c>
      <c r="F1172" s="3" t="s">
        <v>1406</v>
      </c>
      <c r="G1172" s="3" t="s">
        <v>1207</v>
      </c>
      <c r="H1172" s="4"/>
      <c r="I1172" s="4">
        <f t="shared" si="104"/>
        <v>0</v>
      </c>
      <c r="J1172" s="4"/>
      <c r="K1172" s="4">
        <f t="shared" si="91"/>
        <v>0</v>
      </c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 spans="1:26" ht="15.75" customHeight="1" x14ac:dyDescent="0.2">
      <c r="A1173" s="1">
        <v>71</v>
      </c>
      <c r="B1173" s="13" t="s">
        <v>1301</v>
      </c>
      <c r="C1173" s="14" t="s">
        <v>1427</v>
      </c>
      <c r="D1173" s="14" t="s">
        <v>557</v>
      </c>
      <c r="E1173" s="14" t="s">
        <v>424</v>
      </c>
      <c r="F1173" s="14" t="s">
        <v>1428</v>
      </c>
      <c r="G1173" s="14" t="s">
        <v>1207</v>
      </c>
      <c r="H1173" s="4"/>
      <c r="I1173" s="4">
        <f t="shared" ref="I1173:I1175" si="105">H1173*2300</f>
        <v>0</v>
      </c>
      <c r="J1173" s="4"/>
      <c r="K1173" s="4">
        <f t="shared" si="91"/>
        <v>0</v>
      </c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 spans="1:26" ht="15.75" customHeight="1" x14ac:dyDescent="0.2">
      <c r="A1174" s="1">
        <v>939</v>
      </c>
      <c r="B1174" s="13" t="s">
        <v>709</v>
      </c>
      <c r="C1174" s="14" t="s">
        <v>1427</v>
      </c>
      <c r="D1174" s="14" t="s">
        <v>557</v>
      </c>
      <c r="E1174" s="14" t="s">
        <v>424</v>
      </c>
      <c r="F1174" s="14" t="s">
        <v>1428</v>
      </c>
      <c r="G1174" s="14" t="s">
        <v>1207</v>
      </c>
      <c r="H1174" s="4"/>
      <c r="I1174" s="4">
        <f t="shared" si="105"/>
        <v>0</v>
      </c>
      <c r="J1174" s="4"/>
      <c r="K1174" s="4">
        <f t="shared" si="91"/>
        <v>0</v>
      </c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 spans="1:26" ht="15.75" customHeight="1" x14ac:dyDescent="0.2">
      <c r="A1175" s="1">
        <v>2037</v>
      </c>
      <c r="B1175" s="13" t="s">
        <v>701</v>
      </c>
      <c r="C1175" s="14" t="s">
        <v>1427</v>
      </c>
      <c r="D1175" s="14" t="s">
        <v>557</v>
      </c>
      <c r="E1175" s="14" t="s">
        <v>424</v>
      </c>
      <c r="F1175" s="14" t="s">
        <v>1428</v>
      </c>
      <c r="G1175" s="14" t="s">
        <v>1207</v>
      </c>
      <c r="H1175" s="4"/>
      <c r="I1175" s="4">
        <f t="shared" si="105"/>
        <v>0</v>
      </c>
      <c r="J1175" s="4"/>
      <c r="K1175" s="4">
        <f t="shared" si="91"/>
        <v>0</v>
      </c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 spans="1:26" ht="15.75" customHeight="1" x14ac:dyDescent="0.2">
      <c r="A1176" s="1"/>
      <c r="B1176" s="2" t="s">
        <v>109</v>
      </c>
      <c r="C1176" s="3" t="s">
        <v>1429</v>
      </c>
      <c r="D1176" s="3" t="s">
        <v>554</v>
      </c>
      <c r="E1176" s="3" t="s">
        <v>79</v>
      </c>
      <c r="F1176" s="3" t="s">
        <v>1428</v>
      </c>
      <c r="G1176" s="3" t="s">
        <v>1207</v>
      </c>
      <c r="H1176" s="4"/>
      <c r="I1176" s="4">
        <f t="shared" ref="I1176:I1177" si="106">H1176*1800</f>
        <v>0</v>
      </c>
      <c r="J1176" s="4"/>
      <c r="K1176" s="4">
        <f t="shared" si="91"/>
        <v>0</v>
      </c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 spans="1:26" ht="15.75" customHeight="1" x14ac:dyDescent="0.2">
      <c r="A1177" s="1"/>
      <c r="B1177" s="2" t="s">
        <v>108</v>
      </c>
      <c r="C1177" s="3" t="s">
        <v>1429</v>
      </c>
      <c r="D1177" s="3" t="s">
        <v>554</v>
      </c>
      <c r="E1177" s="3" t="s">
        <v>79</v>
      </c>
      <c r="F1177" s="3" t="s">
        <v>1428</v>
      </c>
      <c r="G1177" s="3" t="s">
        <v>1207</v>
      </c>
      <c r="H1177" s="4"/>
      <c r="I1177" s="4">
        <f t="shared" si="106"/>
        <v>0</v>
      </c>
      <c r="J1177" s="4"/>
      <c r="K1177" s="4">
        <f t="shared" si="91"/>
        <v>0</v>
      </c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 spans="1:26" ht="15.75" customHeight="1" x14ac:dyDescent="0.2">
      <c r="A1178" s="1">
        <v>1403</v>
      </c>
      <c r="B1178" s="13" t="s">
        <v>386</v>
      </c>
      <c r="C1178" s="14" t="s">
        <v>1336</v>
      </c>
      <c r="D1178" s="14" t="s">
        <v>1430</v>
      </c>
      <c r="E1178" s="14" t="s">
        <v>1431</v>
      </c>
      <c r="F1178" s="14" t="s">
        <v>1428</v>
      </c>
      <c r="G1178" s="14" t="s">
        <v>1207</v>
      </c>
      <c r="H1178" s="4"/>
      <c r="I1178" s="4">
        <f t="shared" ref="I1178:I1184" si="107">H1178*2300</f>
        <v>0</v>
      </c>
      <c r="J1178" s="4"/>
      <c r="K1178" s="4">
        <f t="shared" si="91"/>
        <v>0</v>
      </c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 spans="1:26" ht="15.75" customHeight="1" x14ac:dyDescent="0.2">
      <c r="A1179" s="1">
        <v>1875</v>
      </c>
      <c r="B1179" s="13" t="s">
        <v>711</v>
      </c>
      <c r="C1179" s="14" t="s">
        <v>1336</v>
      </c>
      <c r="D1179" s="14" t="s">
        <v>1430</v>
      </c>
      <c r="E1179" s="14" t="s">
        <v>1431</v>
      </c>
      <c r="F1179" s="14" t="s">
        <v>1428</v>
      </c>
      <c r="G1179" s="14" t="s">
        <v>1207</v>
      </c>
      <c r="H1179" s="4"/>
      <c r="I1179" s="4">
        <f t="shared" si="107"/>
        <v>0</v>
      </c>
      <c r="J1179" s="4"/>
      <c r="K1179" s="4">
        <f t="shared" si="91"/>
        <v>0</v>
      </c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 spans="1:26" ht="15.75" customHeight="1" x14ac:dyDescent="0.2">
      <c r="A1180" s="1">
        <v>2687</v>
      </c>
      <c r="B1180" s="13" t="s">
        <v>1098</v>
      </c>
      <c r="C1180" s="14" t="s">
        <v>1336</v>
      </c>
      <c r="D1180" s="14" t="s">
        <v>1430</v>
      </c>
      <c r="E1180" s="14" t="s">
        <v>1431</v>
      </c>
      <c r="F1180" s="14" t="s">
        <v>1428</v>
      </c>
      <c r="G1180" s="14" t="s">
        <v>1207</v>
      </c>
      <c r="H1180" s="4"/>
      <c r="I1180" s="4">
        <f t="shared" si="107"/>
        <v>0</v>
      </c>
      <c r="J1180" s="4"/>
      <c r="K1180" s="4">
        <f t="shared" si="91"/>
        <v>0</v>
      </c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 spans="1:26" ht="15.75" customHeight="1" x14ac:dyDescent="0.2">
      <c r="A1181" s="1">
        <v>1405</v>
      </c>
      <c r="B1181" s="13" t="s">
        <v>386</v>
      </c>
      <c r="C1181" s="14" t="s">
        <v>1432</v>
      </c>
      <c r="D1181" s="14" t="s">
        <v>557</v>
      </c>
      <c r="E1181" s="14" t="s">
        <v>1433</v>
      </c>
      <c r="F1181" s="14" t="s">
        <v>1428</v>
      </c>
      <c r="G1181" s="14" t="s">
        <v>1207</v>
      </c>
      <c r="H1181" s="4"/>
      <c r="I1181" s="4">
        <f t="shared" si="107"/>
        <v>0</v>
      </c>
      <c r="J1181" s="4"/>
      <c r="K1181" s="4">
        <f t="shared" si="91"/>
        <v>0</v>
      </c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 spans="1:26" ht="15.75" customHeight="1" x14ac:dyDescent="0.2">
      <c r="A1182" s="1">
        <v>2689</v>
      </c>
      <c r="B1182" s="13" t="s">
        <v>1098</v>
      </c>
      <c r="C1182" s="14" t="s">
        <v>1432</v>
      </c>
      <c r="D1182" s="14" t="s">
        <v>557</v>
      </c>
      <c r="E1182" s="14" t="s">
        <v>1433</v>
      </c>
      <c r="F1182" s="14" t="s">
        <v>1428</v>
      </c>
      <c r="G1182" s="14" t="s">
        <v>1207</v>
      </c>
      <c r="H1182" s="4"/>
      <c r="I1182" s="4">
        <f t="shared" si="107"/>
        <v>0</v>
      </c>
      <c r="J1182" s="4"/>
      <c r="K1182" s="4">
        <f t="shared" si="91"/>
        <v>0</v>
      </c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 spans="1:26" ht="15.75" customHeight="1" x14ac:dyDescent="0.2">
      <c r="A1183" s="1">
        <v>113</v>
      </c>
      <c r="B1183" s="13" t="s">
        <v>1262</v>
      </c>
      <c r="C1183" s="14" t="s">
        <v>1434</v>
      </c>
      <c r="D1183" s="14" t="s">
        <v>139</v>
      </c>
      <c r="E1183" s="14" t="s">
        <v>32</v>
      </c>
      <c r="F1183" s="14" t="s">
        <v>1428</v>
      </c>
      <c r="G1183" s="14" t="s">
        <v>1207</v>
      </c>
      <c r="H1183" s="4"/>
      <c r="I1183" s="4">
        <f t="shared" si="107"/>
        <v>0</v>
      </c>
      <c r="J1183" s="4"/>
      <c r="K1183" s="4">
        <f t="shared" si="91"/>
        <v>0</v>
      </c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 spans="1:26" ht="15.75" customHeight="1" x14ac:dyDescent="0.2">
      <c r="A1184" s="1">
        <v>2957</v>
      </c>
      <c r="B1184" s="13" t="s">
        <v>1270</v>
      </c>
      <c r="C1184" s="14" t="s">
        <v>1434</v>
      </c>
      <c r="D1184" s="14" t="s">
        <v>139</v>
      </c>
      <c r="E1184" s="14" t="s">
        <v>32</v>
      </c>
      <c r="F1184" s="14" t="s">
        <v>1428</v>
      </c>
      <c r="G1184" s="14" t="s">
        <v>1207</v>
      </c>
      <c r="H1184" s="4"/>
      <c r="I1184" s="4">
        <f t="shared" si="107"/>
        <v>0</v>
      </c>
      <c r="J1184" s="4"/>
      <c r="K1184" s="4">
        <f t="shared" si="91"/>
        <v>0</v>
      </c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 spans="1:26" ht="15.75" customHeight="1" x14ac:dyDescent="0.2">
      <c r="A1185" s="1"/>
      <c r="B1185" s="2" t="s">
        <v>121</v>
      </c>
      <c r="C1185" s="3" t="s">
        <v>1435</v>
      </c>
      <c r="D1185" s="3" t="s">
        <v>1436</v>
      </c>
      <c r="E1185" s="3" t="s">
        <v>1437</v>
      </c>
      <c r="F1185" s="3" t="s">
        <v>1428</v>
      </c>
      <c r="G1185" s="3" t="s">
        <v>1207</v>
      </c>
      <c r="H1185" s="4"/>
      <c r="I1185" s="4">
        <f t="shared" ref="I1185:I1187" si="108">H1185*1800</f>
        <v>0</v>
      </c>
      <c r="J1185" s="4"/>
      <c r="K1185" s="4">
        <f t="shared" si="91"/>
        <v>0</v>
      </c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 spans="1:26" ht="15.75" customHeight="1" x14ac:dyDescent="0.2">
      <c r="A1186" s="1"/>
      <c r="B1186" s="2" t="s">
        <v>307</v>
      </c>
      <c r="C1186" s="3" t="s">
        <v>1438</v>
      </c>
      <c r="D1186" s="3" t="s">
        <v>266</v>
      </c>
      <c r="E1186" s="3" t="s">
        <v>306</v>
      </c>
      <c r="F1186" s="3" t="s">
        <v>1428</v>
      </c>
      <c r="G1186" s="3" t="s">
        <v>1207</v>
      </c>
      <c r="H1186" s="4"/>
      <c r="I1186" s="4">
        <f t="shared" si="108"/>
        <v>0</v>
      </c>
      <c r="J1186" s="4"/>
      <c r="K1186" s="4">
        <f t="shared" si="91"/>
        <v>0</v>
      </c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 spans="1:26" ht="15.75" customHeight="1" x14ac:dyDescent="0.2">
      <c r="A1187" s="1"/>
      <c r="B1187" s="2" t="s">
        <v>94</v>
      </c>
      <c r="C1187" s="3" t="s">
        <v>1438</v>
      </c>
      <c r="D1187" s="3" t="s">
        <v>266</v>
      </c>
      <c r="E1187" s="3" t="s">
        <v>306</v>
      </c>
      <c r="F1187" s="3" t="s">
        <v>1428</v>
      </c>
      <c r="G1187" s="3" t="s">
        <v>1207</v>
      </c>
      <c r="H1187" s="4"/>
      <c r="I1187" s="4">
        <f t="shared" si="108"/>
        <v>0</v>
      </c>
      <c r="J1187" s="4"/>
      <c r="K1187" s="4">
        <f t="shared" si="91"/>
        <v>0</v>
      </c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 spans="1:26" ht="15.75" customHeight="1" x14ac:dyDescent="0.2">
      <c r="A1188" s="1">
        <v>513</v>
      </c>
      <c r="B1188" s="13" t="s">
        <v>509</v>
      </c>
      <c r="C1188" s="14" t="s">
        <v>1440</v>
      </c>
      <c r="D1188" s="14" t="s">
        <v>513</v>
      </c>
      <c r="E1188" s="14" t="s">
        <v>1441</v>
      </c>
      <c r="F1188" s="14" t="s">
        <v>1428</v>
      </c>
      <c r="G1188" s="14" t="s">
        <v>1207</v>
      </c>
      <c r="H1188" s="4"/>
      <c r="I1188" s="4">
        <f t="shared" ref="I1188:I1218" si="109">H1188*2300</f>
        <v>0</v>
      </c>
      <c r="J1188" s="4"/>
      <c r="K1188" s="4">
        <f t="shared" si="91"/>
        <v>0</v>
      </c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 spans="1:26" ht="15.75" customHeight="1" x14ac:dyDescent="0.2">
      <c r="A1189" s="1">
        <v>1115</v>
      </c>
      <c r="B1189" s="13" t="s">
        <v>1344</v>
      </c>
      <c r="C1189" s="14" t="s">
        <v>1440</v>
      </c>
      <c r="D1189" s="14" t="s">
        <v>513</v>
      </c>
      <c r="E1189" s="14" t="s">
        <v>1441</v>
      </c>
      <c r="F1189" s="14" t="s">
        <v>1428</v>
      </c>
      <c r="G1189" s="14" t="s">
        <v>1207</v>
      </c>
      <c r="H1189" s="4"/>
      <c r="I1189" s="4">
        <f t="shared" si="109"/>
        <v>0</v>
      </c>
      <c r="J1189" s="4"/>
      <c r="K1189" s="4">
        <f t="shared" si="91"/>
        <v>0</v>
      </c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 spans="1:26" ht="15.75" customHeight="1" x14ac:dyDescent="0.2">
      <c r="A1190" s="1">
        <v>2827</v>
      </c>
      <c r="B1190" s="13" t="s">
        <v>518</v>
      </c>
      <c r="C1190" s="14" t="s">
        <v>1440</v>
      </c>
      <c r="D1190" s="14" t="s">
        <v>513</v>
      </c>
      <c r="E1190" s="14" t="s">
        <v>1441</v>
      </c>
      <c r="F1190" s="14" t="s">
        <v>1428</v>
      </c>
      <c r="G1190" s="14" t="s">
        <v>1207</v>
      </c>
      <c r="H1190" s="4"/>
      <c r="I1190" s="4">
        <f t="shared" si="109"/>
        <v>0</v>
      </c>
      <c r="J1190" s="4"/>
      <c r="K1190" s="4">
        <f t="shared" si="91"/>
        <v>0</v>
      </c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 spans="1:26" ht="15.75" customHeight="1" x14ac:dyDescent="0.2">
      <c r="A1191" s="1">
        <v>107</v>
      </c>
      <c r="B1191" s="13" t="s">
        <v>1262</v>
      </c>
      <c r="C1191" s="14" t="s">
        <v>1442</v>
      </c>
      <c r="D1191" s="14" t="s">
        <v>949</v>
      </c>
      <c r="E1191" s="14" t="s">
        <v>393</v>
      </c>
      <c r="F1191" s="14" t="s">
        <v>1428</v>
      </c>
      <c r="G1191" s="14" t="s">
        <v>1207</v>
      </c>
      <c r="H1191" s="4"/>
      <c r="I1191" s="4">
        <f t="shared" si="109"/>
        <v>0</v>
      </c>
      <c r="J1191" s="4"/>
      <c r="K1191" s="4">
        <f t="shared" si="91"/>
        <v>0</v>
      </c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 spans="1:26" ht="15.75" customHeight="1" x14ac:dyDescent="0.2">
      <c r="A1192" s="1">
        <v>1025</v>
      </c>
      <c r="B1192" s="13" t="s">
        <v>1076</v>
      </c>
      <c r="C1192" s="14" t="s">
        <v>1442</v>
      </c>
      <c r="D1192" s="14" t="s">
        <v>949</v>
      </c>
      <c r="E1192" s="14" t="s">
        <v>393</v>
      </c>
      <c r="F1192" s="14" t="s">
        <v>1428</v>
      </c>
      <c r="G1192" s="14" t="s">
        <v>1207</v>
      </c>
      <c r="H1192" s="4"/>
      <c r="I1192" s="4">
        <f t="shared" si="109"/>
        <v>0</v>
      </c>
      <c r="J1192" s="4"/>
      <c r="K1192" s="4">
        <f t="shared" si="91"/>
        <v>0</v>
      </c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 spans="1:26" ht="15.75" customHeight="1" x14ac:dyDescent="0.2">
      <c r="A1193" s="1">
        <v>263</v>
      </c>
      <c r="B1193" s="13" t="s">
        <v>243</v>
      </c>
      <c r="C1193" s="14" t="s">
        <v>1443</v>
      </c>
      <c r="D1193" s="14" t="s">
        <v>75</v>
      </c>
      <c r="E1193" s="14" t="s">
        <v>637</v>
      </c>
      <c r="F1193" s="14" t="s">
        <v>1428</v>
      </c>
      <c r="G1193" s="14" t="s">
        <v>1207</v>
      </c>
      <c r="H1193" s="4"/>
      <c r="I1193" s="4">
        <f t="shared" si="109"/>
        <v>0</v>
      </c>
      <c r="J1193" s="4"/>
      <c r="K1193" s="4">
        <f t="shared" si="91"/>
        <v>0</v>
      </c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 spans="1:26" ht="15.75" customHeight="1" x14ac:dyDescent="0.2">
      <c r="A1194" s="1">
        <v>1283</v>
      </c>
      <c r="B1194" s="13" t="s">
        <v>453</v>
      </c>
      <c r="C1194" s="14" t="s">
        <v>1443</v>
      </c>
      <c r="D1194" s="14" t="s">
        <v>75</v>
      </c>
      <c r="E1194" s="14" t="s">
        <v>637</v>
      </c>
      <c r="F1194" s="14" t="s">
        <v>1428</v>
      </c>
      <c r="G1194" s="14" t="s">
        <v>1207</v>
      </c>
      <c r="H1194" s="4"/>
      <c r="I1194" s="4">
        <f t="shared" si="109"/>
        <v>0</v>
      </c>
      <c r="J1194" s="4"/>
      <c r="K1194" s="4">
        <f t="shared" si="91"/>
        <v>0</v>
      </c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 spans="1:26" ht="15.75" customHeight="1" x14ac:dyDescent="0.2">
      <c r="A1195" s="1">
        <v>477</v>
      </c>
      <c r="B1195" s="13" t="s">
        <v>1018</v>
      </c>
      <c r="C1195" s="14" t="s">
        <v>1444</v>
      </c>
      <c r="D1195" s="14" t="s">
        <v>370</v>
      </c>
      <c r="E1195" s="14" t="s">
        <v>1445</v>
      </c>
      <c r="F1195" s="14" t="s">
        <v>1428</v>
      </c>
      <c r="G1195" s="14" t="s">
        <v>1207</v>
      </c>
      <c r="H1195" s="4"/>
      <c r="I1195" s="4">
        <f t="shared" si="109"/>
        <v>0</v>
      </c>
      <c r="J1195" s="4"/>
      <c r="K1195" s="4">
        <f t="shared" si="91"/>
        <v>0</v>
      </c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 spans="1:26" ht="15.75" customHeight="1" x14ac:dyDescent="0.2">
      <c r="A1196" s="1">
        <v>1171</v>
      </c>
      <c r="B1196" s="13" t="s">
        <v>433</v>
      </c>
      <c r="C1196" s="14" t="s">
        <v>1444</v>
      </c>
      <c r="D1196" s="14" t="s">
        <v>370</v>
      </c>
      <c r="E1196" s="14" t="s">
        <v>1445</v>
      </c>
      <c r="F1196" s="14" t="s">
        <v>1428</v>
      </c>
      <c r="G1196" s="14" t="s">
        <v>1207</v>
      </c>
      <c r="H1196" s="4"/>
      <c r="I1196" s="4">
        <f t="shared" si="109"/>
        <v>0</v>
      </c>
      <c r="J1196" s="4"/>
      <c r="K1196" s="4">
        <f t="shared" si="91"/>
        <v>0</v>
      </c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 spans="1:26" ht="15.75" customHeight="1" x14ac:dyDescent="0.2">
      <c r="A1197" s="1">
        <v>109</v>
      </c>
      <c r="B1197" s="13" t="s">
        <v>1262</v>
      </c>
      <c r="C1197" s="14" t="s">
        <v>1446</v>
      </c>
      <c r="D1197" s="14" t="s">
        <v>901</v>
      </c>
      <c r="E1197" s="14" t="s">
        <v>70</v>
      </c>
      <c r="F1197" s="14" t="s">
        <v>1428</v>
      </c>
      <c r="G1197" s="14" t="s">
        <v>1207</v>
      </c>
      <c r="H1197" s="4"/>
      <c r="I1197" s="4">
        <f t="shared" si="109"/>
        <v>0</v>
      </c>
      <c r="J1197" s="4"/>
      <c r="K1197" s="4">
        <f t="shared" si="91"/>
        <v>0</v>
      </c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 spans="1:26" ht="15.75" customHeight="1" x14ac:dyDescent="0.2">
      <c r="A1198" s="1">
        <v>1079</v>
      </c>
      <c r="B1198" s="13" t="s">
        <v>458</v>
      </c>
      <c r="C1198" s="14" t="s">
        <v>1446</v>
      </c>
      <c r="D1198" s="14" t="s">
        <v>901</v>
      </c>
      <c r="E1198" s="14" t="s">
        <v>70</v>
      </c>
      <c r="F1198" s="14" t="s">
        <v>1428</v>
      </c>
      <c r="G1198" s="14" t="s">
        <v>1207</v>
      </c>
      <c r="H1198" s="4"/>
      <c r="I1198" s="4">
        <f t="shared" si="109"/>
        <v>0</v>
      </c>
      <c r="J1198" s="4"/>
      <c r="K1198" s="4">
        <f t="shared" si="91"/>
        <v>0</v>
      </c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 spans="1:26" ht="15.75" customHeight="1" x14ac:dyDescent="0.2">
      <c r="A1199" s="1">
        <v>475</v>
      </c>
      <c r="B1199" s="13" t="s">
        <v>1018</v>
      </c>
      <c r="C1199" s="14" t="s">
        <v>1447</v>
      </c>
      <c r="D1199" s="14" t="s">
        <v>481</v>
      </c>
      <c r="E1199" s="14" t="s">
        <v>482</v>
      </c>
      <c r="F1199" s="14" t="s">
        <v>1428</v>
      </c>
      <c r="G1199" s="14" t="s">
        <v>1207</v>
      </c>
      <c r="H1199" s="4"/>
      <c r="I1199" s="4">
        <f t="shared" si="109"/>
        <v>0</v>
      </c>
      <c r="J1199" s="4"/>
      <c r="K1199" s="4">
        <f t="shared" si="91"/>
        <v>0</v>
      </c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 spans="1:26" ht="15.75" customHeight="1" x14ac:dyDescent="0.2">
      <c r="A1200" s="1">
        <v>2521</v>
      </c>
      <c r="B1200" s="13" t="s">
        <v>434</v>
      </c>
      <c r="C1200" s="14" t="s">
        <v>1447</v>
      </c>
      <c r="D1200" s="14" t="s">
        <v>481</v>
      </c>
      <c r="E1200" s="14" t="s">
        <v>482</v>
      </c>
      <c r="F1200" s="14" t="s">
        <v>1428</v>
      </c>
      <c r="G1200" s="14" t="s">
        <v>1207</v>
      </c>
      <c r="H1200" s="4"/>
      <c r="I1200" s="4">
        <f t="shared" si="109"/>
        <v>0</v>
      </c>
      <c r="J1200" s="4"/>
      <c r="K1200" s="4">
        <f t="shared" si="91"/>
        <v>0</v>
      </c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 spans="1:26" ht="15.75" customHeight="1" x14ac:dyDescent="0.2">
      <c r="A1201" s="1">
        <v>253</v>
      </c>
      <c r="B1201" s="13" t="s">
        <v>243</v>
      </c>
      <c r="C1201" s="14" t="s">
        <v>1448</v>
      </c>
      <c r="D1201" s="14" t="s">
        <v>1300</v>
      </c>
      <c r="E1201" s="14" t="s">
        <v>302</v>
      </c>
      <c r="F1201" s="14" t="s">
        <v>1428</v>
      </c>
      <c r="G1201" s="14" t="s">
        <v>1207</v>
      </c>
      <c r="H1201" s="4"/>
      <c r="I1201" s="4">
        <f t="shared" si="109"/>
        <v>0</v>
      </c>
      <c r="J1201" s="4"/>
      <c r="K1201" s="4">
        <f t="shared" si="91"/>
        <v>0</v>
      </c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 spans="1:26" ht="15.75" customHeight="1" x14ac:dyDescent="0.2">
      <c r="A1202" s="1">
        <v>1327</v>
      </c>
      <c r="B1202" s="13" t="s">
        <v>260</v>
      </c>
      <c r="C1202" s="14" t="s">
        <v>1448</v>
      </c>
      <c r="D1202" s="14" t="s">
        <v>1300</v>
      </c>
      <c r="E1202" s="14" t="s">
        <v>302</v>
      </c>
      <c r="F1202" s="14" t="s">
        <v>1428</v>
      </c>
      <c r="G1202" s="14" t="s">
        <v>1207</v>
      </c>
      <c r="H1202" s="4"/>
      <c r="I1202" s="4">
        <f t="shared" si="109"/>
        <v>0</v>
      </c>
      <c r="J1202" s="4"/>
      <c r="K1202" s="4">
        <f t="shared" si="91"/>
        <v>0</v>
      </c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 spans="1:26" ht="15.75" customHeight="1" x14ac:dyDescent="0.2">
      <c r="A1203" s="1">
        <v>2105</v>
      </c>
      <c r="B1203" s="13" t="s">
        <v>280</v>
      </c>
      <c r="C1203" s="14" t="s">
        <v>1448</v>
      </c>
      <c r="D1203" s="14" t="s">
        <v>1300</v>
      </c>
      <c r="E1203" s="14" t="s">
        <v>302</v>
      </c>
      <c r="F1203" s="14" t="s">
        <v>1428</v>
      </c>
      <c r="G1203" s="14" t="s">
        <v>1207</v>
      </c>
      <c r="H1203" s="4"/>
      <c r="I1203" s="4">
        <f t="shared" si="109"/>
        <v>0</v>
      </c>
      <c r="J1203" s="4"/>
      <c r="K1203" s="4">
        <f t="shared" si="91"/>
        <v>0</v>
      </c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 spans="1:26" ht="15.75" customHeight="1" x14ac:dyDescent="0.2">
      <c r="A1204" s="1">
        <v>121</v>
      </c>
      <c r="B1204" s="13" t="s">
        <v>504</v>
      </c>
      <c r="C1204" s="14" t="s">
        <v>1449</v>
      </c>
      <c r="D1204" s="14" t="s">
        <v>1283</v>
      </c>
      <c r="E1204" s="14" t="s">
        <v>1450</v>
      </c>
      <c r="F1204" s="14" t="s">
        <v>1428</v>
      </c>
      <c r="G1204" s="14" t="s">
        <v>1207</v>
      </c>
      <c r="H1204" s="4"/>
      <c r="I1204" s="4">
        <f t="shared" si="109"/>
        <v>0</v>
      </c>
      <c r="J1204" s="4"/>
      <c r="K1204" s="4">
        <f t="shared" si="91"/>
        <v>0</v>
      </c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 spans="1:26" ht="15.75" customHeight="1" x14ac:dyDescent="0.2">
      <c r="A1205" s="1">
        <v>213</v>
      </c>
      <c r="B1205" s="13" t="s">
        <v>946</v>
      </c>
      <c r="C1205" s="14" t="s">
        <v>1449</v>
      </c>
      <c r="D1205" s="14" t="s">
        <v>1283</v>
      </c>
      <c r="E1205" s="14" t="s">
        <v>1450</v>
      </c>
      <c r="F1205" s="14" t="s">
        <v>1428</v>
      </c>
      <c r="G1205" s="14" t="s">
        <v>1207</v>
      </c>
      <c r="H1205" s="4"/>
      <c r="I1205" s="4">
        <f t="shared" si="109"/>
        <v>0</v>
      </c>
      <c r="J1205" s="4"/>
      <c r="K1205" s="4">
        <f t="shared" si="91"/>
        <v>0</v>
      </c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 spans="1:26" ht="15.75" customHeight="1" x14ac:dyDescent="0.2">
      <c r="A1206" s="1">
        <v>1065</v>
      </c>
      <c r="B1206" s="13" t="s">
        <v>458</v>
      </c>
      <c r="C1206" s="14" t="s">
        <v>1449</v>
      </c>
      <c r="D1206" s="14" t="s">
        <v>1283</v>
      </c>
      <c r="E1206" s="14" t="s">
        <v>1450</v>
      </c>
      <c r="F1206" s="14" t="s">
        <v>1428</v>
      </c>
      <c r="G1206" s="14" t="s">
        <v>1207</v>
      </c>
      <c r="H1206" s="4"/>
      <c r="I1206" s="4">
        <f t="shared" si="109"/>
        <v>0</v>
      </c>
      <c r="J1206" s="4"/>
      <c r="K1206" s="4">
        <f t="shared" si="91"/>
        <v>0</v>
      </c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 spans="1:26" ht="15.75" customHeight="1" x14ac:dyDescent="0.2">
      <c r="A1207" s="1">
        <v>1757</v>
      </c>
      <c r="B1207" s="13" t="s">
        <v>459</v>
      </c>
      <c r="C1207" s="14" t="s">
        <v>1449</v>
      </c>
      <c r="D1207" s="14" t="s">
        <v>1283</v>
      </c>
      <c r="E1207" s="14" t="s">
        <v>1450</v>
      </c>
      <c r="F1207" s="14" t="s">
        <v>1428</v>
      </c>
      <c r="G1207" s="14" t="s">
        <v>1207</v>
      </c>
      <c r="H1207" s="4"/>
      <c r="I1207" s="4">
        <f t="shared" si="109"/>
        <v>0</v>
      </c>
      <c r="J1207" s="4"/>
      <c r="K1207" s="4">
        <f t="shared" si="91"/>
        <v>0</v>
      </c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 spans="1:26" ht="15.75" customHeight="1" x14ac:dyDescent="0.2">
      <c r="A1208" s="1">
        <v>211</v>
      </c>
      <c r="B1208" s="13" t="s">
        <v>946</v>
      </c>
      <c r="C1208" s="14" t="s">
        <v>1451</v>
      </c>
      <c r="D1208" s="14" t="s">
        <v>86</v>
      </c>
      <c r="E1208" s="14" t="s">
        <v>70</v>
      </c>
      <c r="F1208" s="14" t="s">
        <v>1428</v>
      </c>
      <c r="G1208" s="14" t="s">
        <v>1207</v>
      </c>
      <c r="H1208" s="4"/>
      <c r="I1208" s="4">
        <f t="shared" si="109"/>
        <v>0</v>
      </c>
      <c r="J1208" s="4"/>
      <c r="K1208" s="4">
        <f t="shared" si="91"/>
        <v>0</v>
      </c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 spans="1:26" ht="15.75" customHeight="1" x14ac:dyDescent="0.2">
      <c r="A1209" s="1">
        <v>1269</v>
      </c>
      <c r="B1209" s="13" t="s">
        <v>453</v>
      </c>
      <c r="C1209" s="14" t="s">
        <v>1451</v>
      </c>
      <c r="D1209" s="14" t="s">
        <v>86</v>
      </c>
      <c r="E1209" s="14" t="s">
        <v>70</v>
      </c>
      <c r="F1209" s="14" t="s">
        <v>1428</v>
      </c>
      <c r="G1209" s="14" t="s">
        <v>1207</v>
      </c>
      <c r="H1209" s="4"/>
      <c r="I1209" s="4">
        <f t="shared" si="109"/>
        <v>0</v>
      </c>
      <c r="J1209" s="4"/>
      <c r="K1209" s="4">
        <f t="shared" si="91"/>
        <v>0</v>
      </c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 spans="1:26" ht="15.75" customHeight="1" x14ac:dyDescent="0.2">
      <c r="A1210" s="1">
        <v>2107</v>
      </c>
      <c r="B1210" s="13" t="s">
        <v>280</v>
      </c>
      <c r="C1210" s="14" t="s">
        <v>1451</v>
      </c>
      <c r="D1210" s="14" t="s">
        <v>86</v>
      </c>
      <c r="E1210" s="14" t="s">
        <v>70</v>
      </c>
      <c r="F1210" s="14" t="s">
        <v>1428</v>
      </c>
      <c r="G1210" s="14" t="s">
        <v>1207</v>
      </c>
      <c r="H1210" s="4"/>
      <c r="I1210" s="4">
        <f t="shared" si="109"/>
        <v>0</v>
      </c>
      <c r="J1210" s="4"/>
      <c r="K1210" s="4">
        <f t="shared" si="91"/>
        <v>0</v>
      </c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 spans="1:26" ht="15.75" customHeight="1" x14ac:dyDescent="0.2">
      <c r="A1211" s="1">
        <v>2657</v>
      </c>
      <c r="B1211" s="13" t="s">
        <v>1055</v>
      </c>
      <c r="C1211" s="14" t="s">
        <v>1451</v>
      </c>
      <c r="D1211" s="14" t="s">
        <v>86</v>
      </c>
      <c r="E1211" s="14" t="s">
        <v>70</v>
      </c>
      <c r="F1211" s="14" t="s">
        <v>1428</v>
      </c>
      <c r="G1211" s="14" t="s">
        <v>1207</v>
      </c>
      <c r="H1211" s="4"/>
      <c r="I1211" s="4">
        <f t="shared" si="109"/>
        <v>0</v>
      </c>
      <c r="J1211" s="4"/>
      <c r="K1211" s="4">
        <f t="shared" si="91"/>
        <v>0</v>
      </c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 spans="1:26" ht="15.75" customHeight="1" x14ac:dyDescent="0.2">
      <c r="A1212" s="1">
        <v>2921</v>
      </c>
      <c r="B1212" s="13" t="s">
        <v>722</v>
      </c>
      <c r="C1212" s="14" t="s">
        <v>1451</v>
      </c>
      <c r="D1212" s="14" t="s">
        <v>86</v>
      </c>
      <c r="E1212" s="14" t="s">
        <v>70</v>
      </c>
      <c r="F1212" s="14" t="s">
        <v>1428</v>
      </c>
      <c r="G1212" s="14" t="s">
        <v>1207</v>
      </c>
      <c r="H1212" s="4"/>
      <c r="I1212" s="4">
        <f t="shared" si="109"/>
        <v>0</v>
      </c>
      <c r="J1212" s="4"/>
      <c r="K1212" s="4">
        <f t="shared" si="91"/>
        <v>0</v>
      </c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 spans="1:26" ht="15.75" customHeight="1" x14ac:dyDescent="0.2">
      <c r="A1213" s="1">
        <v>323</v>
      </c>
      <c r="B1213" s="13" t="s">
        <v>365</v>
      </c>
      <c r="C1213" s="14" t="s">
        <v>1452</v>
      </c>
      <c r="D1213" s="14" t="s">
        <v>1453</v>
      </c>
      <c r="E1213" s="14" t="s">
        <v>1454</v>
      </c>
      <c r="F1213" s="14" t="s">
        <v>1428</v>
      </c>
      <c r="G1213" s="14" t="s">
        <v>1207</v>
      </c>
      <c r="H1213" s="4"/>
      <c r="I1213" s="4">
        <f t="shared" si="109"/>
        <v>0</v>
      </c>
      <c r="J1213" s="4"/>
      <c r="K1213" s="4">
        <f t="shared" si="91"/>
        <v>0</v>
      </c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 spans="1:26" ht="15.75" customHeight="1" x14ac:dyDescent="0.2">
      <c r="A1214" s="1">
        <v>1599</v>
      </c>
      <c r="B1214" s="13" t="s">
        <v>264</v>
      </c>
      <c r="C1214" s="14" t="s">
        <v>1452</v>
      </c>
      <c r="D1214" s="14" t="s">
        <v>1453</v>
      </c>
      <c r="E1214" s="14" t="s">
        <v>1454</v>
      </c>
      <c r="F1214" s="14" t="s">
        <v>1428</v>
      </c>
      <c r="G1214" s="14" t="s">
        <v>1207</v>
      </c>
      <c r="H1214" s="4"/>
      <c r="I1214" s="4">
        <f t="shared" si="109"/>
        <v>0</v>
      </c>
      <c r="J1214" s="4"/>
      <c r="K1214" s="4">
        <f t="shared" si="91"/>
        <v>0</v>
      </c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 spans="1:26" ht="15.75" customHeight="1" x14ac:dyDescent="0.2">
      <c r="A1215" s="1">
        <v>2771</v>
      </c>
      <c r="B1215" s="13" t="s">
        <v>623</v>
      </c>
      <c r="C1215" s="14" t="s">
        <v>1452</v>
      </c>
      <c r="D1215" s="14" t="s">
        <v>1453</v>
      </c>
      <c r="E1215" s="14" t="s">
        <v>1454</v>
      </c>
      <c r="F1215" s="14" t="s">
        <v>1428</v>
      </c>
      <c r="G1215" s="14" t="s">
        <v>1207</v>
      </c>
      <c r="H1215" s="4"/>
      <c r="I1215" s="4">
        <f t="shared" si="109"/>
        <v>0</v>
      </c>
      <c r="J1215" s="4"/>
      <c r="K1215" s="4">
        <f t="shared" si="91"/>
        <v>0</v>
      </c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 spans="1:26" ht="15.75" customHeight="1" x14ac:dyDescent="0.2">
      <c r="A1216" s="1">
        <v>441</v>
      </c>
      <c r="B1216" s="13" t="s">
        <v>674</v>
      </c>
      <c r="C1216" s="14" t="s">
        <v>1456</v>
      </c>
      <c r="D1216" s="14" t="s">
        <v>1457</v>
      </c>
      <c r="E1216" s="14" t="s">
        <v>255</v>
      </c>
      <c r="F1216" s="14" t="s">
        <v>1428</v>
      </c>
      <c r="G1216" s="14" t="s">
        <v>1207</v>
      </c>
      <c r="H1216" s="4"/>
      <c r="I1216" s="4">
        <f t="shared" si="109"/>
        <v>0</v>
      </c>
      <c r="J1216" s="4"/>
      <c r="K1216" s="4">
        <f t="shared" si="91"/>
        <v>0</v>
      </c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 spans="1:26" ht="15.75" customHeight="1" x14ac:dyDescent="0.2">
      <c r="A1217" s="1">
        <v>983</v>
      </c>
      <c r="B1217" s="13" t="s">
        <v>624</v>
      </c>
      <c r="C1217" s="14" t="s">
        <v>1456</v>
      </c>
      <c r="D1217" s="14" t="s">
        <v>1457</v>
      </c>
      <c r="E1217" s="14" t="s">
        <v>255</v>
      </c>
      <c r="F1217" s="14" t="s">
        <v>1428</v>
      </c>
      <c r="G1217" s="14" t="s">
        <v>1207</v>
      </c>
      <c r="H1217" s="4"/>
      <c r="I1217" s="4">
        <f t="shared" si="109"/>
        <v>0</v>
      </c>
      <c r="J1217" s="4"/>
      <c r="K1217" s="4">
        <f t="shared" si="91"/>
        <v>0</v>
      </c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 spans="1:26" ht="15.75" customHeight="1" x14ac:dyDescent="0.2">
      <c r="A1218" s="1">
        <v>2825</v>
      </c>
      <c r="B1218" s="13" t="s">
        <v>518</v>
      </c>
      <c r="C1218" s="14" t="s">
        <v>1456</v>
      </c>
      <c r="D1218" s="14" t="s">
        <v>1457</v>
      </c>
      <c r="E1218" s="14" t="s">
        <v>255</v>
      </c>
      <c r="F1218" s="14" t="s">
        <v>1428</v>
      </c>
      <c r="G1218" s="14" t="s">
        <v>1207</v>
      </c>
      <c r="H1218" s="4"/>
      <c r="I1218" s="4">
        <f t="shared" si="109"/>
        <v>0</v>
      </c>
      <c r="J1218" s="4"/>
      <c r="K1218" s="4">
        <f t="shared" si="91"/>
        <v>0</v>
      </c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 spans="1:26" ht="15.75" customHeight="1" x14ac:dyDescent="0.2">
      <c r="A1219" s="1"/>
      <c r="B1219" s="2" t="s">
        <v>122</v>
      </c>
      <c r="C1219" s="3" t="s">
        <v>1458</v>
      </c>
      <c r="D1219" s="3" t="s">
        <v>989</v>
      </c>
      <c r="E1219" s="3" t="s">
        <v>302</v>
      </c>
      <c r="F1219" s="3" t="s">
        <v>1428</v>
      </c>
      <c r="G1219" s="3" t="s">
        <v>1207</v>
      </c>
      <c r="H1219" s="4"/>
      <c r="I1219" s="4">
        <f t="shared" ref="I1219:I1220" si="110">H1219*1800</f>
        <v>0</v>
      </c>
      <c r="J1219" s="4"/>
      <c r="K1219" s="4">
        <f t="shared" si="91"/>
        <v>0</v>
      </c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 spans="1:26" ht="15.75" customHeight="1" x14ac:dyDescent="0.2">
      <c r="A1220" s="1"/>
      <c r="B1220" s="2" t="s">
        <v>94</v>
      </c>
      <c r="C1220" s="3" t="s">
        <v>1458</v>
      </c>
      <c r="D1220" s="3" t="s">
        <v>989</v>
      </c>
      <c r="E1220" s="3" t="s">
        <v>302</v>
      </c>
      <c r="F1220" s="3" t="s">
        <v>1428</v>
      </c>
      <c r="G1220" s="3" t="s">
        <v>1207</v>
      </c>
      <c r="H1220" s="4"/>
      <c r="I1220" s="4">
        <f t="shared" si="110"/>
        <v>0</v>
      </c>
      <c r="J1220" s="4"/>
      <c r="K1220" s="4">
        <f t="shared" si="91"/>
        <v>0</v>
      </c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 spans="1:26" ht="15.75" customHeight="1" x14ac:dyDescent="0.2">
      <c r="A1221" s="1">
        <v>357</v>
      </c>
      <c r="B1221" s="13" t="s">
        <v>1162</v>
      </c>
      <c r="C1221" s="14" t="s">
        <v>1459</v>
      </c>
      <c r="D1221" s="14" t="s">
        <v>954</v>
      </c>
      <c r="E1221" s="14" t="s">
        <v>1284</v>
      </c>
      <c r="F1221" s="14" t="s">
        <v>1428</v>
      </c>
      <c r="G1221" s="14" t="s">
        <v>1207</v>
      </c>
      <c r="H1221" s="4"/>
      <c r="I1221" s="4">
        <f t="shared" ref="I1221:I1222" si="111">H1221*2300</f>
        <v>0</v>
      </c>
      <c r="J1221" s="4"/>
      <c r="K1221" s="4">
        <f t="shared" si="91"/>
        <v>0</v>
      </c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 spans="1:26" ht="15.75" customHeight="1" x14ac:dyDescent="0.2">
      <c r="A1222" s="1">
        <v>2563</v>
      </c>
      <c r="B1222" s="13" t="s">
        <v>1247</v>
      </c>
      <c r="C1222" s="14" t="s">
        <v>1459</v>
      </c>
      <c r="D1222" s="14" t="s">
        <v>954</v>
      </c>
      <c r="E1222" s="14" t="s">
        <v>1284</v>
      </c>
      <c r="F1222" s="14" t="s">
        <v>1428</v>
      </c>
      <c r="G1222" s="14" t="s">
        <v>1207</v>
      </c>
      <c r="H1222" s="4"/>
      <c r="I1222" s="4">
        <f t="shared" si="111"/>
        <v>0</v>
      </c>
      <c r="J1222" s="4"/>
      <c r="K1222" s="4">
        <f t="shared" si="91"/>
        <v>0</v>
      </c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 spans="1:26" ht="15.75" customHeight="1" x14ac:dyDescent="0.2">
      <c r="A1223" s="1"/>
      <c r="B1223" s="2" t="s">
        <v>122</v>
      </c>
      <c r="C1223" s="3" t="s">
        <v>1460</v>
      </c>
      <c r="D1223" s="3" t="s">
        <v>1461</v>
      </c>
      <c r="E1223" s="3" t="s">
        <v>1419</v>
      </c>
      <c r="F1223" s="3" t="s">
        <v>1428</v>
      </c>
      <c r="G1223" s="3" t="s">
        <v>1207</v>
      </c>
      <c r="H1223" s="4"/>
      <c r="I1223" s="4">
        <f t="shared" ref="I1223:I1224" si="112">H1223*1800</f>
        <v>0</v>
      </c>
      <c r="J1223" s="4"/>
      <c r="K1223" s="4">
        <f t="shared" si="91"/>
        <v>0</v>
      </c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 spans="1:26" ht="15.75" customHeight="1" x14ac:dyDescent="0.2">
      <c r="A1224" s="1"/>
      <c r="B1224" s="2" t="s">
        <v>94</v>
      </c>
      <c r="C1224" s="3" t="s">
        <v>1460</v>
      </c>
      <c r="D1224" s="3" t="s">
        <v>1461</v>
      </c>
      <c r="E1224" s="3" t="s">
        <v>1419</v>
      </c>
      <c r="F1224" s="3" t="s">
        <v>1428</v>
      </c>
      <c r="G1224" s="3" t="s">
        <v>1207</v>
      </c>
      <c r="H1224" s="4"/>
      <c r="I1224" s="4">
        <f t="shared" si="112"/>
        <v>0</v>
      </c>
      <c r="J1224" s="4"/>
      <c r="K1224" s="4">
        <f t="shared" si="91"/>
        <v>0</v>
      </c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 spans="1:26" ht="15.75" customHeight="1" x14ac:dyDescent="0.2">
      <c r="A1225" s="1">
        <v>63</v>
      </c>
      <c r="B1225" s="13" t="s">
        <v>1301</v>
      </c>
      <c r="C1225" s="14" t="s">
        <v>1462</v>
      </c>
      <c r="D1225" s="14" t="s">
        <v>901</v>
      </c>
      <c r="E1225" s="14" t="s">
        <v>876</v>
      </c>
      <c r="F1225" s="14" t="s">
        <v>1428</v>
      </c>
      <c r="G1225" s="14" t="s">
        <v>1207</v>
      </c>
      <c r="H1225" s="4"/>
      <c r="I1225" s="4">
        <f t="shared" ref="I1225:I1229" si="113">H1225*2300</f>
        <v>0</v>
      </c>
      <c r="J1225" s="4"/>
      <c r="K1225" s="4">
        <f t="shared" si="91"/>
        <v>0</v>
      </c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 spans="1:26" ht="15.75" customHeight="1" x14ac:dyDescent="0.2">
      <c r="A1226" s="1">
        <v>97</v>
      </c>
      <c r="B1226" s="13" t="s">
        <v>1262</v>
      </c>
      <c r="C1226" s="14" t="s">
        <v>1462</v>
      </c>
      <c r="D1226" s="14" t="s">
        <v>901</v>
      </c>
      <c r="E1226" s="14" t="s">
        <v>876</v>
      </c>
      <c r="F1226" s="14" t="s">
        <v>1428</v>
      </c>
      <c r="G1226" s="14" t="s">
        <v>1207</v>
      </c>
      <c r="H1226" s="4"/>
      <c r="I1226" s="4">
        <f t="shared" si="113"/>
        <v>0</v>
      </c>
      <c r="J1226" s="4"/>
      <c r="K1226" s="4">
        <f t="shared" si="91"/>
        <v>0</v>
      </c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 spans="1:26" ht="15.75" customHeight="1" x14ac:dyDescent="0.2">
      <c r="A1227" s="1">
        <v>907</v>
      </c>
      <c r="B1227" s="13" t="s">
        <v>694</v>
      </c>
      <c r="C1227" s="14" t="s">
        <v>1462</v>
      </c>
      <c r="D1227" s="14" t="s">
        <v>901</v>
      </c>
      <c r="E1227" s="14" t="s">
        <v>876</v>
      </c>
      <c r="F1227" s="14" t="s">
        <v>1428</v>
      </c>
      <c r="G1227" s="14" t="s">
        <v>1207</v>
      </c>
      <c r="H1227" s="4"/>
      <c r="I1227" s="4">
        <f t="shared" si="113"/>
        <v>0</v>
      </c>
      <c r="J1227" s="4"/>
      <c r="K1227" s="4">
        <f t="shared" si="91"/>
        <v>0</v>
      </c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 spans="1:26" ht="15.75" customHeight="1" x14ac:dyDescent="0.2">
      <c r="A1228" s="1">
        <v>327</v>
      </c>
      <c r="B1228" s="13" t="s">
        <v>365</v>
      </c>
      <c r="C1228" s="14" t="s">
        <v>450</v>
      </c>
      <c r="D1228" s="14" t="s">
        <v>266</v>
      </c>
      <c r="E1228" s="14" t="s">
        <v>302</v>
      </c>
      <c r="F1228" s="14" t="s">
        <v>1428</v>
      </c>
      <c r="G1228" s="14" t="s">
        <v>1207</v>
      </c>
      <c r="H1228" s="4"/>
      <c r="I1228" s="4">
        <f t="shared" si="113"/>
        <v>0</v>
      </c>
      <c r="J1228" s="4"/>
      <c r="K1228" s="4">
        <f t="shared" si="91"/>
        <v>0</v>
      </c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 spans="1:26" ht="15.75" customHeight="1" x14ac:dyDescent="0.2">
      <c r="A1229" s="1">
        <v>1687</v>
      </c>
      <c r="B1229" s="13" t="s">
        <v>270</v>
      </c>
      <c r="C1229" s="14" t="s">
        <v>450</v>
      </c>
      <c r="D1229" s="14" t="s">
        <v>266</v>
      </c>
      <c r="E1229" s="14" t="s">
        <v>302</v>
      </c>
      <c r="F1229" s="14" t="s">
        <v>1428</v>
      </c>
      <c r="G1229" s="14" t="s">
        <v>1207</v>
      </c>
      <c r="H1229" s="4"/>
      <c r="I1229" s="4">
        <f t="shared" si="113"/>
        <v>0</v>
      </c>
      <c r="J1229" s="4"/>
      <c r="K1229" s="4">
        <f t="shared" si="91"/>
        <v>0</v>
      </c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 spans="1:26" ht="15.75" customHeight="1" x14ac:dyDescent="0.2">
      <c r="A1230" s="1"/>
      <c r="B1230" s="2" t="s">
        <v>108</v>
      </c>
      <c r="C1230" s="3" t="s">
        <v>1463</v>
      </c>
      <c r="D1230" s="3" t="s">
        <v>111</v>
      </c>
      <c r="E1230" s="3" t="s">
        <v>32</v>
      </c>
      <c r="F1230" s="3" t="s">
        <v>1428</v>
      </c>
      <c r="G1230" s="3" t="s">
        <v>1207</v>
      </c>
      <c r="H1230" s="4"/>
      <c r="I1230" s="4">
        <f t="shared" ref="I1230:I1231" si="114">H1230*1800</f>
        <v>0</v>
      </c>
      <c r="J1230" s="4"/>
      <c r="K1230" s="4">
        <f t="shared" si="91"/>
        <v>0</v>
      </c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 spans="1:26" ht="15.75" customHeight="1" x14ac:dyDescent="0.2">
      <c r="A1231" s="1"/>
      <c r="B1231" s="2" t="s">
        <v>94</v>
      </c>
      <c r="C1231" s="3" t="s">
        <v>1463</v>
      </c>
      <c r="D1231" s="3" t="s">
        <v>111</v>
      </c>
      <c r="E1231" s="3" t="s">
        <v>32</v>
      </c>
      <c r="F1231" s="3" t="s">
        <v>1428</v>
      </c>
      <c r="G1231" s="3" t="s">
        <v>1207</v>
      </c>
      <c r="H1231" s="4"/>
      <c r="I1231" s="4">
        <f t="shared" si="114"/>
        <v>0</v>
      </c>
      <c r="J1231" s="4"/>
      <c r="K1231" s="4">
        <f t="shared" si="91"/>
        <v>0</v>
      </c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 spans="1:26" ht="15.75" customHeight="1" x14ac:dyDescent="0.2">
      <c r="A1232" s="1">
        <v>2565</v>
      </c>
      <c r="B1232" s="13" t="s">
        <v>1247</v>
      </c>
      <c r="C1232" s="14" t="s">
        <v>1464</v>
      </c>
      <c r="D1232" s="14" t="s">
        <v>1465</v>
      </c>
      <c r="E1232" s="14" t="s">
        <v>1466</v>
      </c>
      <c r="F1232" s="14" t="s">
        <v>1428</v>
      </c>
      <c r="G1232" s="14" t="s">
        <v>1207</v>
      </c>
      <c r="H1232" s="4"/>
      <c r="I1232" s="4">
        <f t="shared" ref="I1232:I1234" si="115">H1232*2300</f>
        <v>0</v>
      </c>
      <c r="J1232" s="4"/>
      <c r="K1232" s="4">
        <f t="shared" si="91"/>
        <v>0</v>
      </c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 spans="1:26" ht="15.75" customHeight="1" x14ac:dyDescent="0.2">
      <c r="A1233" s="1">
        <v>311</v>
      </c>
      <c r="B1233" s="13" t="s">
        <v>552</v>
      </c>
      <c r="C1233" s="14" t="s">
        <v>1467</v>
      </c>
      <c r="D1233" s="14" t="s">
        <v>1468</v>
      </c>
      <c r="E1233" s="14" t="s">
        <v>1433</v>
      </c>
      <c r="F1233" s="14" t="s">
        <v>1428</v>
      </c>
      <c r="G1233" s="14" t="s">
        <v>1207</v>
      </c>
      <c r="H1233" s="4"/>
      <c r="I1233" s="4">
        <f t="shared" si="115"/>
        <v>0</v>
      </c>
      <c r="J1233" s="4"/>
      <c r="K1233" s="4">
        <f t="shared" si="91"/>
        <v>0</v>
      </c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 spans="1:26" ht="15.75" customHeight="1" x14ac:dyDescent="0.2">
      <c r="A1234" s="1">
        <v>2557</v>
      </c>
      <c r="B1234" s="13" t="s">
        <v>1247</v>
      </c>
      <c r="C1234" s="14" t="s">
        <v>1467</v>
      </c>
      <c r="D1234" s="14" t="s">
        <v>1468</v>
      </c>
      <c r="E1234" s="14" t="s">
        <v>1433</v>
      </c>
      <c r="F1234" s="14" t="s">
        <v>1428</v>
      </c>
      <c r="G1234" s="14" t="s">
        <v>1207</v>
      </c>
      <c r="H1234" s="4"/>
      <c r="I1234" s="4">
        <f t="shared" si="115"/>
        <v>0</v>
      </c>
      <c r="J1234" s="4"/>
      <c r="K1234" s="4">
        <f t="shared" si="91"/>
        <v>0</v>
      </c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 spans="1:26" ht="15.75" customHeight="1" x14ac:dyDescent="0.2">
      <c r="A1235" s="1"/>
      <c r="B1235" s="2" t="s">
        <v>118</v>
      </c>
      <c r="C1235" s="3" t="s">
        <v>1469</v>
      </c>
      <c r="D1235" s="3" t="s">
        <v>1470</v>
      </c>
      <c r="E1235" s="3" t="s">
        <v>1284</v>
      </c>
      <c r="F1235" s="23" t="s">
        <v>1428</v>
      </c>
      <c r="G1235" s="3" t="s">
        <v>1207</v>
      </c>
      <c r="H1235" s="4"/>
      <c r="I1235" s="4">
        <f t="shared" ref="I1235:I1236" si="116">H1235*1800</f>
        <v>0</v>
      </c>
      <c r="J1235" s="4"/>
      <c r="K1235" s="4">
        <f t="shared" si="91"/>
        <v>0</v>
      </c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 spans="1:26" ht="15.75" customHeight="1" x14ac:dyDescent="0.2">
      <c r="A1236" s="1"/>
      <c r="B1236" s="2" t="s">
        <v>94</v>
      </c>
      <c r="C1236" s="3" t="s">
        <v>1469</v>
      </c>
      <c r="D1236" s="3" t="s">
        <v>1470</v>
      </c>
      <c r="E1236" s="3" t="s">
        <v>1284</v>
      </c>
      <c r="F1236" s="23" t="s">
        <v>1428</v>
      </c>
      <c r="G1236" s="3" t="s">
        <v>1207</v>
      </c>
      <c r="H1236" s="4"/>
      <c r="I1236" s="4">
        <f t="shared" si="116"/>
        <v>0</v>
      </c>
      <c r="J1236" s="4"/>
      <c r="K1236" s="4">
        <f t="shared" si="91"/>
        <v>0</v>
      </c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 spans="1:26" ht="15.75" customHeight="1" x14ac:dyDescent="0.2">
      <c r="A1237" s="1">
        <v>119</v>
      </c>
      <c r="B1237" s="13" t="s">
        <v>504</v>
      </c>
      <c r="C1237" s="14" t="s">
        <v>1471</v>
      </c>
      <c r="D1237" s="14" t="s">
        <v>779</v>
      </c>
      <c r="E1237" s="14" t="s">
        <v>1472</v>
      </c>
      <c r="F1237" s="14" t="s">
        <v>1428</v>
      </c>
      <c r="G1237" s="14" t="s">
        <v>1207</v>
      </c>
      <c r="H1237" s="4"/>
      <c r="I1237" s="4">
        <f t="shared" ref="I1237:I1250" si="117">H1237*2300</f>
        <v>0</v>
      </c>
      <c r="J1237" s="4"/>
      <c r="K1237" s="4">
        <f t="shared" si="91"/>
        <v>0</v>
      </c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 spans="1:26" ht="15.75" customHeight="1" x14ac:dyDescent="0.2">
      <c r="A1238" s="1">
        <v>1063</v>
      </c>
      <c r="B1238" s="13" t="s">
        <v>458</v>
      </c>
      <c r="C1238" s="14" t="s">
        <v>1471</v>
      </c>
      <c r="D1238" s="14" t="s">
        <v>779</v>
      </c>
      <c r="E1238" s="14" t="s">
        <v>1472</v>
      </c>
      <c r="F1238" s="14" t="s">
        <v>1428</v>
      </c>
      <c r="G1238" s="14" t="s">
        <v>1207</v>
      </c>
      <c r="H1238" s="4"/>
      <c r="I1238" s="4">
        <f t="shared" si="117"/>
        <v>0</v>
      </c>
      <c r="J1238" s="4"/>
      <c r="K1238" s="4">
        <f t="shared" si="91"/>
        <v>0</v>
      </c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 spans="1:26" ht="15.75" customHeight="1" x14ac:dyDescent="0.2">
      <c r="A1239" s="1">
        <v>111</v>
      </c>
      <c r="B1239" s="13" t="s">
        <v>1262</v>
      </c>
      <c r="C1239" s="14" t="s">
        <v>1473</v>
      </c>
      <c r="D1239" s="14" t="s">
        <v>1474</v>
      </c>
      <c r="E1239" s="14" t="s">
        <v>1475</v>
      </c>
      <c r="F1239" s="14" t="s">
        <v>1428</v>
      </c>
      <c r="G1239" s="14" t="s">
        <v>1207</v>
      </c>
      <c r="H1239" s="4"/>
      <c r="I1239" s="4">
        <f t="shared" si="117"/>
        <v>0</v>
      </c>
      <c r="J1239" s="4"/>
      <c r="K1239" s="4">
        <f t="shared" si="91"/>
        <v>0</v>
      </c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 spans="1:26" ht="15.75" customHeight="1" x14ac:dyDescent="0.2">
      <c r="A1240" s="1">
        <v>197</v>
      </c>
      <c r="B1240" s="13" t="s">
        <v>549</v>
      </c>
      <c r="C1240" s="14" t="s">
        <v>1473</v>
      </c>
      <c r="D1240" s="14" t="s">
        <v>1474</v>
      </c>
      <c r="E1240" s="14" t="s">
        <v>1475</v>
      </c>
      <c r="F1240" s="14" t="s">
        <v>1428</v>
      </c>
      <c r="G1240" s="14" t="s">
        <v>1207</v>
      </c>
      <c r="H1240" s="4"/>
      <c r="I1240" s="4">
        <f t="shared" si="117"/>
        <v>0</v>
      </c>
      <c r="J1240" s="4"/>
      <c r="K1240" s="4">
        <f t="shared" si="91"/>
        <v>0</v>
      </c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 spans="1:26" ht="15.75" customHeight="1" x14ac:dyDescent="0.2">
      <c r="A1241" s="1">
        <v>1027</v>
      </c>
      <c r="B1241" s="13" t="s">
        <v>1076</v>
      </c>
      <c r="C1241" s="14" t="s">
        <v>1473</v>
      </c>
      <c r="D1241" s="14" t="s">
        <v>1474</v>
      </c>
      <c r="E1241" s="14" t="s">
        <v>1475</v>
      </c>
      <c r="F1241" s="14" t="s">
        <v>1428</v>
      </c>
      <c r="G1241" s="14" t="s">
        <v>1207</v>
      </c>
      <c r="H1241" s="4"/>
      <c r="I1241" s="4">
        <f t="shared" si="117"/>
        <v>0</v>
      </c>
      <c r="J1241" s="4"/>
      <c r="K1241" s="4">
        <f t="shared" ref="K1241:K1495" si="118">J1241*4000</f>
        <v>0</v>
      </c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 spans="1:26" ht="15.75" customHeight="1" x14ac:dyDescent="0.2">
      <c r="A1242" s="1">
        <v>1447</v>
      </c>
      <c r="B1242" s="13" t="s">
        <v>261</v>
      </c>
      <c r="C1242" s="14" t="s">
        <v>1476</v>
      </c>
      <c r="D1242" s="14" t="s">
        <v>1439</v>
      </c>
      <c r="E1242" s="14" t="s">
        <v>1376</v>
      </c>
      <c r="F1242" s="14" t="s">
        <v>1428</v>
      </c>
      <c r="G1242" s="14" t="s">
        <v>1207</v>
      </c>
      <c r="H1242" s="4"/>
      <c r="I1242" s="4">
        <f t="shared" si="117"/>
        <v>0</v>
      </c>
      <c r="J1242" s="4"/>
      <c r="K1242" s="4">
        <f t="shared" si="118"/>
        <v>0</v>
      </c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 spans="1:26" ht="15.75" customHeight="1" x14ac:dyDescent="0.2">
      <c r="A1243" s="1">
        <v>1897</v>
      </c>
      <c r="B1243" s="13" t="s">
        <v>277</v>
      </c>
      <c r="C1243" s="14" t="s">
        <v>1476</v>
      </c>
      <c r="D1243" s="14" t="s">
        <v>1439</v>
      </c>
      <c r="E1243" s="14" t="s">
        <v>1376</v>
      </c>
      <c r="F1243" s="14" t="s">
        <v>1428</v>
      </c>
      <c r="G1243" s="14" t="s">
        <v>1207</v>
      </c>
      <c r="H1243" s="4"/>
      <c r="I1243" s="4">
        <f t="shared" si="117"/>
        <v>0</v>
      </c>
      <c r="J1243" s="4"/>
      <c r="K1243" s="4">
        <f t="shared" si="118"/>
        <v>0</v>
      </c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 spans="1:26" ht="15.75" customHeight="1" x14ac:dyDescent="0.2">
      <c r="A1244" s="1">
        <v>2695</v>
      </c>
      <c r="B1244" s="13" t="s">
        <v>1098</v>
      </c>
      <c r="C1244" s="14" t="s">
        <v>1476</v>
      </c>
      <c r="D1244" s="14" t="s">
        <v>1439</v>
      </c>
      <c r="E1244" s="14" t="s">
        <v>1376</v>
      </c>
      <c r="F1244" s="14" t="s">
        <v>1428</v>
      </c>
      <c r="G1244" s="14" t="s">
        <v>1207</v>
      </c>
      <c r="H1244" s="4"/>
      <c r="I1244" s="4">
        <f t="shared" si="117"/>
        <v>0</v>
      </c>
      <c r="J1244" s="4"/>
      <c r="K1244" s="4">
        <f t="shared" si="118"/>
        <v>0</v>
      </c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 spans="1:26" ht="15.75" customHeight="1" x14ac:dyDescent="0.2">
      <c r="A1245" s="1">
        <v>105</v>
      </c>
      <c r="B1245" s="13" t="s">
        <v>1262</v>
      </c>
      <c r="C1245" s="14" t="s">
        <v>1477</v>
      </c>
      <c r="D1245" s="14" t="s">
        <v>292</v>
      </c>
      <c r="E1245" s="14" t="s">
        <v>237</v>
      </c>
      <c r="F1245" s="14" t="s">
        <v>1428</v>
      </c>
      <c r="G1245" s="14" t="s">
        <v>1207</v>
      </c>
      <c r="H1245" s="4"/>
      <c r="I1245" s="4">
        <f t="shared" si="117"/>
        <v>0</v>
      </c>
      <c r="J1245" s="4"/>
      <c r="K1245" s="4">
        <f t="shared" si="118"/>
        <v>0</v>
      </c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 spans="1:26" ht="15.75" customHeight="1" x14ac:dyDescent="0.2">
      <c r="A1246" s="1">
        <v>195</v>
      </c>
      <c r="B1246" s="13" t="s">
        <v>549</v>
      </c>
      <c r="C1246" s="14" t="s">
        <v>1477</v>
      </c>
      <c r="D1246" s="14" t="s">
        <v>292</v>
      </c>
      <c r="E1246" s="14" t="s">
        <v>237</v>
      </c>
      <c r="F1246" s="14" t="s">
        <v>1428</v>
      </c>
      <c r="G1246" s="14" t="s">
        <v>1207</v>
      </c>
      <c r="H1246" s="4"/>
      <c r="I1246" s="4">
        <f t="shared" si="117"/>
        <v>0</v>
      </c>
      <c r="J1246" s="4"/>
      <c r="K1246" s="4">
        <f t="shared" si="118"/>
        <v>0</v>
      </c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 spans="1:26" ht="15.75" customHeight="1" x14ac:dyDescent="0.2">
      <c r="A1247" s="1">
        <v>2955</v>
      </c>
      <c r="B1247" s="13" t="s">
        <v>1270</v>
      </c>
      <c r="C1247" s="14" t="s">
        <v>1477</v>
      </c>
      <c r="D1247" s="14" t="s">
        <v>292</v>
      </c>
      <c r="E1247" s="14" t="s">
        <v>237</v>
      </c>
      <c r="F1247" s="14" t="s">
        <v>1428</v>
      </c>
      <c r="G1247" s="14" t="s">
        <v>1207</v>
      </c>
      <c r="H1247" s="4"/>
      <c r="I1247" s="4">
        <f t="shared" si="117"/>
        <v>0</v>
      </c>
      <c r="J1247" s="4"/>
      <c r="K1247" s="4">
        <f t="shared" si="118"/>
        <v>0</v>
      </c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 spans="1:26" ht="15.75" customHeight="1" x14ac:dyDescent="0.2">
      <c r="A1248" s="1">
        <v>869</v>
      </c>
      <c r="B1248" s="13" t="s">
        <v>454</v>
      </c>
      <c r="C1248" s="14" t="s">
        <v>1478</v>
      </c>
      <c r="D1248" s="14" t="s">
        <v>441</v>
      </c>
      <c r="E1248" s="14" t="s">
        <v>637</v>
      </c>
      <c r="F1248" s="14" t="s">
        <v>1428</v>
      </c>
      <c r="G1248" s="14" t="s">
        <v>1207</v>
      </c>
      <c r="H1248" s="4"/>
      <c r="I1248" s="4">
        <f t="shared" si="117"/>
        <v>0</v>
      </c>
      <c r="J1248" s="4"/>
      <c r="K1248" s="4">
        <f t="shared" si="118"/>
        <v>0</v>
      </c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 spans="1:26" ht="15.75" customHeight="1" x14ac:dyDescent="0.2">
      <c r="A1249" s="1">
        <v>1213</v>
      </c>
      <c r="B1249" s="13" t="s">
        <v>1364</v>
      </c>
      <c r="C1249" s="14" t="s">
        <v>1478</v>
      </c>
      <c r="D1249" s="14" t="s">
        <v>186</v>
      </c>
      <c r="E1249" s="14" t="s">
        <v>637</v>
      </c>
      <c r="F1249" s="14" t="s">
        <v>1428</v>
      </c>
      <c r="G1249" s="14" t="s">
        <v>1207</v>
      </c>
      <c r="H1249" s="4"/>
      <c r="I1249" s="4">
        <f t="shared" si="117"/>
        <v>0</v>
      </c>
      <c r="J1249" s="4"/>
      <c r="K1249" s="4">
        <f t="shared" si="118"/>
        <v>0</v>
      </c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 spans="1:26" ht="15.75" customHeight="1" x14ac:dyDescent="0.2">
      <c r="A1250" s="1">
        <v>1713</v>
      </c>
      <c r="B1250" s="13" t="s">
        <v>1345</v>
      </c>
      <c r="C1250" s="14" t="s">
        <v>1478</v>
      </c>
      <c r="D1250" s="14" t="s">
        <v>186</v>
      </c>
      <c r="E1250" s="14" t="s">
        <v>637</v>
      </c>
      <c r="F1250" s="14" t="s">
        <v>1428</v>
      </c>
      <c r="G1250" s="14" t="s">
        <v>1207</v>
      </c>
      <c r="H1250" s="4"/>
      <c r="I1250" s="4">
        <f t="shared" si="117"/>
        <v>0</v>
      </c>
      <c r="J1250" s="4"/>
      <c r="K1250" s="4">
        <f t="shared" si="118"/>
        <v>0</v>
      </c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 spans="1:26" ht="15.75" customHeight="1" x14ac:dyDescent="0.2">
      <c r="A1251" s="1"/>
      <c r="B1251" s="2" t="s">
        <v>323</v>
      </c>
      <c r="C1251" s="3" t="s">
        <v>1479</v>
      </c>
      <c r="D1251" s="3" t="s">
        <v>822</v>
      </c>
      <c r="E1251" s="3" t="s">
        <v>40</v>
      </c>
      <c r="F1251" s="3" t="s">
        <v>1480</v>
      </c>
      <c r="G1251" s="3" t="s">
        <v>1207</v>
      </c>
      <c r="H1251" s="4"/>
      <c r="I1251" s="4">
        <f t="shared" ref="I1251:I1255" si="119">H1251*1800</f>
        <v>0</v>
      </c>
      <c r="J1251" s="4"/>
      <c r="K1251" s="4">
        <f t="shared" si="118"/>
        <v>0</v>
      </c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 spans="1:26" ht="15.75" customHeight="1" x14ac:dyDescent="0.2">
      <c r="A1252" s="1"/>
      <c r="B1252" s="2" t="s">
        <v>297</v>
      </c>
      <c r="C1252" s="3" t="s">
        <v>1479</v>
      </c>
      <c r="D1252" s="3" t="s">
        <v>822</v>
      </c>
      <c r="E1252" s="3" t="s">
        <v>40</v>
      </c>
      <c r="F1252" s="3" t="s">
        <v>1480</v>
      </c>
      <c r="G1252" s="3" t="s">
        <v>1207</v>
      </c>
      <c r="H1252" s="4"/>
      <c r="I1252" s="4">
        <f t="shared" si="119"/>
        <v>0</v>
      </c>
      <c r="J1252" s="4"/>
      <c r="K1252" s="4">
        <f t="shared" si="118"/>
        <v>0</v>
      </c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 spans="1:26" ht="15.75" customHeight="1" x14ac:dyDescent="0.2">
      <c r="A1253" s="1"/>
      <c r="B1253" s="2" t="s">
        <v>108</v>
      </c>
      <c r="C1253" s="3" t="s">
        <v>1479</v>
      </c>
      <c r="D1253" s="3" t="s">
        <v>822</v>
      </c>
      <c r="E1253" s="3" t="s">
        <v>40</v>
      </c>
      <c r="F1253" s="3" t="s">
        <v>1480</v>
      </c>
      <c r="G1253" s="3" t="s">
        <v>1207</v>
      </c>
      <c r="H1253" s="4"/>
      <c r="I1253" s="4">
        <f t="shared" si="119"/>
        <v>0</v>
      </c>
      <c r="J1253" s="4"/>
      <c r="K1253" s="4">
        <f t="shared" si="118"/>
        <v>0</v>
      </c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 spans="1:26" ht="15.75" customHeight="1" x14ac:dyDescent="0.2">
      <c r="A1254" s="1"/>
      <c r="B1254" s="2" t="s">
        <v>296</v>
      </c>
      <c r="C1254" s="3" t="s">
        <v>1481</v>
      </c>
      <c r="D1254" s="3" t="s">
        <v>1482</v>
      </c>
      <c r="E1254" s="3" t="s">
        <v>1483</v>
      </c>
      <c r="F1254" s="3" t="s">
        <v>1480</v>
      </c>
      <c r="G1254" s="3" t="s">
        <v>1207</v>
      </c>
      <c r="H1254" s="4"/>
      <c r="I1254" s="4">
        <f t="shared" si="119"/>
        <v>0</v>
      </c>
      <c r="J1254" s="4"/>
      <c r="K1254" s="4">
        <f t="shared" si="118"/>
        <v>0</v>
      </c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 spans="1:26" ht="15.75" customHeight="1" x14ac:dyDescent="0.2">
      <c r="A1255" s="1"/>
      <c r="B1255" s="2" t="s">
        <v>94</v>
      </c>
      <c r="C1255" s="3" t="s">
        <v>1481</v>
      </c>
      <c r="D1255" s="3" t="s">
        <v>1482</v>
      </c>
      <c r="E1255" s="3" t="s">
        <v>1483</v>
      </c>
      <c r="F1255" s="3" t="s">
        <v>1480</v>
      </c>
      <c r="G1255" s="3" t="s">
        <v>1207</v>
      </c>
      <c r="H1255" s="4"/>
      <c r="I1255" s="4">
        <f t="shared" si="119"/>
        <v>0</v>
      </c>
      <c r="J1255" s="4"/>
      <c r="K1255" s="4">
        <f t="shared" si="118"/>
        <v>0</v>
      </c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 spans="1:26" ht="15.75" customHeight="1" x14ac:dyDescent="0.2">
      <c r="A1256" s="1">
        <v>15</v>
      </c>
      <c r="B1256" s="13" t="s">
        <v>939</v>
      </c>
      <c r="C1256" s="14" t="s">
        <v>1484</v>
      </c>
      <c r="D1256" s="14" t="s">
        <v>31</v>
      </c>
      <c r="E1256" s="14" t="s">
        <v>1485</v>
      </c>
      <c r="F1256" s="14" t="s">
        <v>1486</v>
      </c>
      <c r="G1256" s="14" t="s">
        <v>1207</v>
      </c>
      <c r="H1256" s="4"/>
      <c r="I1256" s="4">
        <f t="shared" ref="I1256:I1288" si="120">H1256*2300</f>
        <v>0</v>
      </c>
      <c r="J1256" s="4"/>
      <c r="K1256" s="4">
        <f t="shared" si="118"/>
        <v>0</v>
      </c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 spans="1:26" ht="15.75" customHeight="1" x14ac:dyDescent="0.2">
      <c r="A1257" s="1">
        <v>93</v>
      </c>
      <c r="B1257" s="13" t="s">
        <v>1262</v>
      </c>
      <c r="C1257" s="14" t="s">
        <v>1487</v>
      </c>
      <c r="D1257" s="14" t="s">
        <v>73</v>
      </c>
      <c r="E1257" s="14" t="s">
        <v>87</v>
      </c>
      <c r="F1257" s="14" t="s">
        <v>1486</v>
      </c>
      <c r="G1257" s="14" t="s">
        <v>1207</v>
      </c>
      <c r="H1257" s="4"/>
      <c r="I1257" s="4">
        <f t="shared" si="120"/>
        <v>0</v>
      </c>
      <c r="J1257" s="4"/>
      <c r="K1257" s="4">
        <f t="shared" si="118"/>
        <v>0</v>
      </c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 spans="1:26" ht="15.75" customHeight="1" x14ac:dyDescent="0.2">
      <c r="A1258" s="1">
        <v>143</v>
      </c>
      <c r="B1258" s="13" t="s">
        <v>460</v>
      </c>
      <c r="C1258" s="14" t="s">
        <v>1488</v>
      </c>
      <c r="D1258" s="14" t="s">
        <v>992</v>
      </c>
      <c r="E1258" s="14" t="s">
        <v>40</v>
      </c>
      <c r="F1258" s="14" t="s">
        <v>1486</v>
      </c>
      <c r="G1258" s="14" t="s">
        <v>1207</v>
      </c>
      <c r="H1258" s="4"/>
      <c r="I1258" s="4">
        <f t="shared" si="120"/>
        <v>0</v>
      </c>
      <c r="J1258" s="4"/>
      <c r="K1258" s="4">
        <f t="shared" si="118"/>
        <v>0</v>
      </c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 spans="1:26" ht="15.75" customHeight="1" x14ac:dyDescent="0.2">
      <c r="A1259" s="1">
        <v>251</v>
      </c>
      <c r="B1259" s="13" t="s">
        <v>243</v>
      </c>
      <c r="C1259" s="14" t="s">
        <v>1489</v>
      </c>
      <c r="D1259" s="14" t="s">
        <v>1369</v>
      </c>
      <c r="E1259" s="14" t="s">
        <v>1490</v>
      </c>
      <c r="F1259" s="14" t="s">
        <v>1486</v>
      </c>
      <c r="G1259" s="14" t="s">
        <v>1207</v>
      </c>
      <c r="H1259" s="4"/>
      <c r="I1259" s="4">
        <f t="shared" si="120"/>
        <v>0</v>
      </c>
      <c r="J1259" s="4"/>
      <c r="K1259" s="4">
        <f t="shared" si="118"/>
        <v>0</v>
      </c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 spans="1:26" ht="15.75" customHeight="1" x14ac:dyDescent="0.2">
      <c r="A1260" s="1">
        <v>401</v>
      </c>
      <c r="B1260" s="13" t="s">
        <v>1299</v>
      </c>
      <c r="C1260" s="14" t="s">
        <v>1491</v>
      </c>
      <c r="D1260" s="14" t="s">
        <v>39</v>
      </c>
      <c r="E1260" s="14" t="s">
        <v>650</v>
      </c>
      <c r="F1260" s="14" t="s">
        <v>1486</v>
      </c>
      <c r="G1260" s="14" t="s">
        <v>1207</v>
      </c>
      <c r="H1260" s="4"/>
      <c r="I1260" s="4">
        <f t="shared" si="120"/>
        <v>0</v>
      </c>
      <c r="J1260" s="4"/>
      <c r="K1260" s="4">
        <f t="shared" si="118"/>
        <v>0</v>
      </c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 spans="1:26" ht="15.75" customHeight="1" x14ac:dyDescent="0.2">
      <c r="A1261" s="1">
        <v>425</v>
      </c>
      <c r="B1261" s="13" t="s">
        <v>672</v>
      </c>
      <c r="C1261" s="14" t="s">
        <v>1444</v>
      </c>
      <c r="D1261" s="14" t="s">
        <v>526</v>
      </c>
      <c r="E1261" s="14" t="s">
        <v>1492</v>
      </c>
      <c r="F1261" s="14" t="s">
        <v>1486</v>
      </c>
      <c r="G1261" s="14" t="s">
        <v>1207</v>
      </c>
      <c r="H1261" s="4"/>
      <c r="I1261" s="4">
        <f t="shared" si="120"/>
        <v>0</v>
      </c>
      <c r="J1261" s="4"/>
      <c r="K1261" s="4">
        <f t="shared" si="118"/>
        <v>0</v>
      </c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 spans="1:26" ht="15.75" customHeight="1" x14ac:dyDescent="0.2">
      <c r="A1262" s="1">
        <v>427</v>
      </c>
      <c r="B1262" s="13" t="s">
        <v>672</v>
      </c>
      <c r="C1262" s="14" t="s">
        <v>1493</v>
      </c>
      <c r="D1262" s="14" t="s">
        <v>345</v>
      </c>
      <c r="E1262" s="14" t="s">
        <v>787</v>
      </c>
      <c r="F1262" s="14" t="s">
        <v>1486</v>
      </c>
      <c r="G1262" s="14" t="s">
        <v>1207</v>
      </c>
      <c r="H1262" s="4"/>
      <c r="I1262" s="4">
        <f t="shared" si="120"/>
        <v>0</v>
      </c>
      <c r="J1262" s="4"/>
      <c r="K1262" s="4">
        <f t="shared" si="118"/>
        <v>0</v>
      </c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 spans="1:26" ht="15.75" customHeight="1" x14ac:dyDescent="0.2">
      <c r="A1263" s="1">
        <v>495</v>
      </c>
      <c r="B1263" s="13" t="s">
        <v>1339</v>
      </c>
      <c r="C1263" s="14" t="s">
        <v>1494</v>
      </c>
      <c r="D1263" s="14" t="s">
        <v>1495</v>
      </c>
      <c r="E1263" s="14" t="s">
        <v>1291</v>
      </c>
      <c r="F1263" s="14" t="s">
        <v>1486</v>
      </c>
      <c r="G1263" s="14" t="s">
        <v>1207</v>
      </c>
      <c r="H1263" s="4"/>
      <c r="I1263" s="4">
        <f t="shared" si="120"/>
        <v>0</v>
      </c>
      <c r="J1263" s="4"/>
      <c r="K1263" s="4">
        <f t="shared" si="118"/>
        <v>0</v>
      </c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 spans="1:26" ht="15.75" customHeight="1" x14ac:dyDescent="0.2">
      <c r="A1264" s="1">
        <v>525</v>
      </c>
      <c r="B1264" s="13" t="s">
        <v>678</v>
      </c>
      <c r="C1264" s="14" t="s">
        <v>1496</v>
      </c>
      <c r="D1264" s="14" t="s">
        <v>90</v>
      </c>
      <c r="E1264" s="14" t="s">
        <v>357</v>
      </c>
      <c r="F1264" s="14" t="s">
        <v>1486</v>
      </c>
      <c r="G1264" s="14" t="s">
        <v>1207</v>
      </c>
      <c r="H1264" s="4"/>
      <c r="I1264" s="4">
        <f t="shared" si="120"/>
        <v>0</v>
      </c>
      <c r="J1264" s="4"/>
      <c r="K1264" s="4">
        <f t="shared" si="118"/>
        <v>0</v>
      </c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 spans="1:26" ht="15.75" customHeight="1" x14ac:dyDescent="0.2">
      <c r="A1265" s="1">
        <v>659</v>
      </c>
      <c r="B1265" s="13" t="s">
        <v>252</v>
      </c>
      <c r="C1265" s="14" t="s">
        <v>1181</v>
      </c>
      <c r="D1265" s="14" t="s">
        <v>1497</v>
      </c>
      <c r="E1265" s="14" t="s">
        <v>314</v>
      </c>
      <c r="F1265" s="14" t="s">
        <v>1486</v>
      </c>
      <c r="G1265" s="14" t="s">
        <v>1207</v>
      </c>
      <c r="H1265" s="4"/>
      <c r="I1265" s="4">
        <f t="shared" si="120"/>
        <v>0</v>
      </c>
      <c r="J1265" s="4"/>
      <c r="K1265" s="4">
        <f t="shared" si="118"/>
        <v>0</v>
      </c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 spans="1:26" ht="15.75" customHeight="1" x14ac:dyDescent="0.2">
      <c r="A1266" s="1">
        <v>961</v>
      </c>
      <c r="B1266" s="13" t="s">
        <v>698</v>
      </c>
      <c r="C1266" s="14" t="s">
        <v>1498</v>
      </c>
      <c r="D1266" s="14" t="s">
        <v>104</v>
      </c>
      <c r="E1266" s="14" t="s">
        <v>1499</v>
      </c>
      <c r="F1266" s="14" t="s">
        <v>1486</v>
      </c>
      <c r="G1266" s="14" t="s">
        <v>1207</v>
      </c>
      <c r="H1266" s="4"/>
      <c r="I1266" s="4">
        <f t="shared" si="120"/>
        <v>0</v>
      </c>
      <c r="J1266" s="4"/>
      <c r="K1266" s="4">
        <f t="shared" si="118"/>
        <v>0</v>
      </c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 spans="1:26" ht="15.75" customHeight="1" x14ac:dyDescent="0.2">
      <c r="A1267" s="1">
        <v>963</v>
      </c>
      <c r="B1267" s="13" t="s">
        <v>698</v>
      </c>
      <c r="C1267" s="14" t="s">
        <v>1444</v>
      </c>
      <c r="D1267" s="14" t="s">
        <v>526</v>
      </c>
      <c r="E1267" s="14" t="s">
        <v>1492</v>
      </c>
      <c r="F1267" s="14" t="s">
        <v>1486</v>
      </c>
      <c r="G1267" s="14" t="s">
        <v>1207</v>
      </c>
      <c r="H1267" s="4"/>
      <c r="I1267" s="4">
        <f t="shared" si="120"/>
        <v>0</v>
      </c>
      <c r="J1267" s="4"/>
      <c r="K1267" s="4">
        <f t="shared" si="118"/>
        <v>0</v>
      </c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 spans="1:26" ht="15.75" customHeight="1" x14ac:dyDescent="0.2">
      <c r="A1268" s="1">
        <v>1035</v>
      </c>
      <c r="B1268" s="13" t="s">
        <v>464</v>
      </c>
      <c r="C1268" s="14" t="s">
        <v>1488</v>
      </c>
      <c r="D1268" s="14" t="s">
        <v>992</v>
      </c>
      <c r="E1268" s="14" t="s">
        <v>40</v>
      </c>
      <c r="F1268" s="14" t="s">
        <v>1486</v>
      </c>
      <c r="G1268" s="14" t="s">
        <v>1207</v>
      </c>
      <c r="H1268" s="4"/>
      <c r="I1268" s="4">
        <f t="shared" si="120"/>
        <v>0</v>
      </c>
      <c r="J1268" s="4"/>
      <c r="K1268" s="4">
        <f t="shared" si="118"/>
        <v>0</v>
      </c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 spans="1:26" ht="15.75" customHeight="1" x14ac:dyDescent="0.2">
      <c r="A1269" s="1">
        <v>1105</v>
      </c>
      <c r="B1269" s="13" t="s">
        <v>1344</v>
      </c>
      <c r="C1269" s="14" t="s">
        <v>1496</v>
      </c>
      <c r="D1269" s="14" t="s">
        <v>90</v>
      </c>
      <c r="E1269" s="14" t="s">
        <v>357</v>
      </c>
      <c r="F1269" s="14" t="s">
        <v>1486</v>
      </c>
      <c r="G1269" s="14" t="s">
        <v>1207</v>
      </c>
      <c r="H1269" s="4"/>
      <c r="I1269" s="4">
        <f t="shared" si="120"/>
        <v>0</v>
      </c>
      <c r="J1269" s="4"/>
      <c r="K1269" s="4">
        <f t="shared" si="118"/>
        <v>0</v>
      </c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 spans="1:26" ht="15.75" customHeight="1" x14ac:dyDescent="0.2">
      <c r="A1270" s="1">
        <v>1493</v>
      </c>
      <c r="B1270" s="13" t="s">
        <v>262</v>
      </c>
      <c r="C1270" s="14" t="s">
        <v>1181</v>
      </c>
      <c r="D1270" s="14" t="s">
        <v>1497</v>
      </c>
      <c r="E1270" s="14" t="s">
        <v>314</v>
      </c>
      <c r="F1270" s="14" t="s">
        <v>1486</v>
      </c>
      <c r="G1270" s="14" t="s">
        <v>1207</v>
      </c>
      <c r="H1270" s="4"/>
      <c r="I1270" s="4">
        <f t="shared" si="120"/>
        <v>0</v>
      </c>
      <c r="J1270" s="4"/>
      <c r="K1270" s="4">
        <f t="shared" si="118"/>
        <v>0</v>
      </c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 spans="1:26" ht="15.75" customHeight="1" x14ac:dyDescent="0.2">
      <c r="A1271" s="1">
        <v>1499</v>
      </c>
      <c r="B1271" s="13" t="s">
        <v>262</v>
      </c>
      <c r="C1271" s="14" t="s">
        <v>1500</v>
      </c>
      <c r="D1271" s="14" t="s">
        <v>133</v>
      </c>
      <c r="E1271" s="14" t="s">
        <v>259</v>
      </c>
      <c r="F1271" s="14" t="s">
        <v>1486</v>
      </c>
      <c r="G1271" s="14" t="s">
        <v>1207</v>
      </c>
      <c r="H1271" s="4"/>
      <c r="I1271" s="4">
        <f t="shared" si="120"/>
        <v>0</v>
      </c>
      <c r="J1271" s="4"/>
      <c r="K1271" s="4">
        <f t="shared" si="118"/>
        <v>0</v>
      </c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 spans="1:26" ht="15.75" customHeight="1" x14ac:dyDescent="0.2">
      <c r="A1272" s="1">
        <v>1543</v>
      </c>
      <c r="B1272" s="13" t="s">
        <v>377</v>
      </c>
      <c r="C1272" s="14" t="s">
        <v>1501</v>
      </c>
      <c r="D1272" s="14" t="s">
        <v>295</v>
      </c>
      <c r="E1272" s="14" t="s">
        <v>645</v>
      </c>
      <c r="F1272" s="14" t="s">
        <v>1486</v>
      </c>
      <c r="G1272" s="14" t="s">
        <v>1207</v>
      </c>
      <c r="H1272" s="4"/>
      <c r="I1272" s="4">
        <f t="shared" si="120"/>
        <v>0</v>
      </c>
      <c r="J1272" s="4"/>
      <c r="K1272" s="4">
        <f t="shared" si="118"/>
        <v>0</v>
      </c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 spans="1:26" ht="15.75" customHeight="1" x14ac:dyDescent="0.2">
      <c r="A1273" s="1">
        <v>1651</v>
      </c>
      <c r="B1273" s="13" t="s">
        <v>435</v>
      </c>
      <c r="C1273" s="14" t="s">
        <v>1491</v>
      </c>
      <c r="D1273" s="14" t="s">
        <v>39</v>
      </c>
      <c r="E1273" s="14" t="s">
        <v>650</v>
      </c>
      <c r="F1273" s="14" t="s">
        <v>1486</v>
      </c>
      <c r="G1273" s="14" t="s">
        <v>1207</v>
      </c>
      <c r="H1273" s="4"/>
      <c r="I1273" s="4">
        <f t="shared" si="120"/>
        <v>0</v>
      </c>
      <c r="J1273" s="4"/>
      <c r="K1273" s="4">
        <f t="shared" si="118"/>
        <v>0</v>
      </c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 spans="1:26" ht="15.75" customHeight="1" x14ac:dyDescent="0.2">
      <c r="A1274" s="1">
        <v>1755</v>
      </c>
      <c r="B1274" s="13" t="s">
        <v>459</v>
      </c>
      <c r="C1274" s="14" t="s">
        <v>1488</v>
      </c>
      <c r="D1274" s="14" t="s">
        <v>992</v>
      </c>
      <c r="E1274" s="14" t="s">
        <v>40</v>
      </c>
      <c r="F1274" s="14" t="s">
        <v>1486</v>
      </c>
      <c r="G1274" s="14" t="s">
        <v>1207</v>
      </c>
      <c r="H1274" s="4"/>
      <c r="I1274" s="4">
        <f t="shared" si="120"/>
        <v>0</v>
      </c>
      <c r="J1274" s="4"/>
      <c r="K1274" s="4">
        <f t="shared" si="118"/>
        <v>0</v>
      </c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 spans="1:26" ht="15.75" customHeight="1" x14ac:dyDescent="0.2">
      <c r="A1275" s="1">
        <v>1817</v>
      </c>
      <c r="B1275" s="13" t="s">
        <v>439</v>
      </c>
      <c r="C1275" s="14" t="s">
        <v>1496</v>
      </c>
      <c r="D1275" s="14" t="s">
        <v>90</v>
      </c>
      <c r="E1275" s="14" t="s">
        <v>357</v>
      </c>
      <c r="F1275" s="14" t="s">
        <v>1486</v>
      </c>
      <c r="G1275" s="14" t="s">
        <v>1207</v>
      </c>
      <c r="H1275" s="4"/>
      <c r="I1275" s="4">
        <f t="shared" si="120"/>
        <v>0</v>
      </c>
      <c r="J1275" s="4"/>
      <c r="K1275" s="4">
        <f t="shared" si="118"/>
        <v>0</v>
      </c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 spans="1:26" ht="15.75" customHeight="1" x14ac:dyDescent="0.2">
      <c r="A1276" s="1">
        <v>1921</v>
      </c>
      <c r="B1276" s="13" t="s">
        <v>278</v>
      </c>
      <c r="C1276" s="14" t="s">
        <v>1491</v>
      </c>
      <c r="D1276" s="14" t="s">
        <v>39</v>
      </c>
      <c r="E1276" s="14" t="s">
        <v>650</v>
      </c>
      <c r="F1276" s="14" t="s">
        <v>1486</v>
      </c>
      <c r="G1276" s="14" t="s">
        <v>1207</v>
      </c>
      <c r="H1276" s="4"/>
      <c r="I1276" s="4">
        <f t="shared" si="120"/>
        <v>0</v>
      </c>
      <c r="J1276" s="4"/>
      <c r="K1276" s="4">
        <f t="shared" si="118"/>
        <v>0</v>
      </c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 spans="1:26" ht="15.75" customHeight="1" x14ac:dyDescent="0.2">
      <c r="A1277" s="1">
        <v>1965</v>
      </c>
      <c r="B1277" s="13" t="s">
        <v>721</v>
      </c>
      <c r="C1277" s="14" t="s">
        <v>1500</v>
      </c>
      <c r="D1277" s="14" t="s">
        <v>133</v>
      </c>
      <c r="E1277" s="14" t="s">
        <v>259</v>
      </c>
      <c r="F1277" s="14" t="s">
        <v>1486</v>
      </c>
      <c r="G1277" s="14" t="s">
        <v>1207</v>
      </c>
      <c r="H1277" s="4"/>
      <c r="I1277" s="4">
        <f t="shared" si="120"/>
        <v>0</v>
      </c>
      <c r="J1277" s="4"/>
      <c r="K1277" s="4">
        <f t="shared" si="118"/>
        <v>0</v>
      </c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 spans="1:26" ht="15.75" customHeight="1" x14ac:dyDescent="0.2">
      <c r="A1278" s="1">
        <v>2059</v>
      </c>
      <c r="B1278" s="13" t="s">
        <v>653</v>
      </c>
      <c r="C1278" s="14" t="s">
        <v>1488</v>
      </c>
      <c r="D1278" s="14" t="s">
        <v>992</v>
      </c>
      <c r="E1278" s="14" t="s">
        <v>40</v>
      </c>
      <c r="F1278" s="14" t="s">
        <v>1486</v>
      </c>
      <c r="G1278" s="14" t="s">
        <v>1207</v>
      </c>
      <c r="H1278" s="4"/>
      <c r="I1278" s="4">
        <f t="shared" si="120"/>
        <v>0</v>
      </c>
      <c r="J1278" s="4"/>
      <c r="K1278" s="4">
        <f t="shared" si="118"/>
        <v>0</v>
      </c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 spans="1:26" ht="15.75" customHeight="1" x14ac:dyDescent="0.2">
      <c r="A1279" s="1">
        <v>2181</v>
      </c>
      <c r="B1279" s="13" t="s">
        <v>282</v>
      </c>
      <c r="C1279" s="14" t="s">
        <v>1491</v>
      </c>
      <c r="D1279" s="14" t="s">
        <v>39</v>
      </c>
      <c r="E1279" s="14" t="s">
        <v>650</v>
      </c>
      <c r="F1279" s="14" t="s">
        <v>1486</v>
      </c>
      <c r="G1279" s="14" t="s">
        <v>1207</v>
      </c>
      <c r="H1279" s="4"/>
      <c r="I1279" s="4">
        <f t="shared" si="120"/>
        <v>0</v>
      </c>
      <c r="J1279" s="4"/>
      <c r="K1279" s="4">
        <f t="shared" si="118"/>
        <v>0</v>
      </c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 spans="1:26" ht="15.75" customHeight="1" x14ac:dyDescent="0.2">
      <c r="A1280" s="1">
        <v>2267</v>
      </c>
      <c r="B1280" s="13" t="s">
        <v>283</v>
      </c>
      <c r="C1280" s="14" t="s">
        <v>1496</v>
      </c>
      <c r="D1280" s="14" t="s">
        <v>90</v>
      </c>
      <c r="E1280" s="14" t="s">
        <v>357</v>
      </c>
      <c r="F1280" s="14" t="s">
        <v>1486</v>
      </c>
      <c r="G1280" s="14" t="s">
        <v>1207</v>
      </c>
      <c r="H1280" s="4"/>
      <c r="I1280" s="4">
        <f t="shared" si="120"/>
        <v>0</v>
      </c>
      <c r="J1280" s="4"/>
      <c r="K1280" s="4">
        <f t="shared" si="118"/>
        <v>0</v>
      </c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 spans="1:26" ht="15.75" customHeight="1" x14ac:dyDescent="0.2">
      <c r="A1281" s="1">
        <v>2319</v>
      </c>
      <c r="B1281" s="13" t="s">
        <v>285</v>
      </c>
      <c r="C1281" s="14" t="s">
        <v>1501</v>
      </c>
      <c r="D1281" s="14" t="s">
        <v>295</v>
      </c>
      <c r="E1281" s="14" t="s">
        <v>645</v>
      </c>
      <c r="F1281" s="14" t="s">
        <v>1486</v>
      </c>
      <c r="G1281" s="14" t="s">
        <v>1207</v>
      </c>
      <c r="H1281" s="4"/>
      <c r="I1281" s="4">
        <f t="shared" si="120"/>
        <v>0</v>
      </c>
      <c r="J1281" s="4"/>
      <c r="K1281" s="4">
        <f t="shared" si="118"/>
        <v>0</v>
      </c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 spans="1:26" ht="15.75" customHeight="1" x14ac:dyDescent="0.2">
      <c r="A1282" s="1">
        <v>2323</v>
      </c>
      <c r="B1282" s="13" t="s">
        <v>285</v>
      </c>
      <c r="C1282" s="14" t="s">
        <v>1181</v>
      </c>
      <c r="D1282" s="14" t="s">
        <v>1497</v>
      </c>
      <c r="E1282" s="14" t="s">
        <v>314</v>
      </c>
      <c r="F1282" s="14" t="s">
        <v>1486</v>
      </c>
      <c r="G1282" s="14" t="s">
        <v>1207</v>
      </c>
      <c r="H1282" s="4"/>
      <c r="I1282" s="4">
        <f t="shared" si="120"/>
        <v>0</v>
      </c>
      <c r="J1282" s="4"/>
      <c r="K1282" s="4">
        <f t="shared" si="118"/>
        <v>0</v>
      </c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 spans="1:26" ht="15.75" customHeight="1" x14ac:dyDescent="0.2">
      <c r="A1283" s="1">
        <v>2509</v>
      </c>
      <c r="B1283" s="13" t="s">
        <v>434</v>
      </c>
      <c r="C1283" s="14" t="s">
        <v>1494</v>
      </c>
      <c r="D1283" s="14" t="s">
        <v>1495</v>
      </c>
      <c r="E1283" s="14" t="s">
        <v>1291</v>
      </c>
      <c r="F1283" s="14" t="s">
        <v>1486</v>
      </c>
      <c r="G1283" s="14" t="s">
        <v>1207</v>
      </c>
      <c r="H1283" s="4"/>
      <c r="I1283" s="4">
        <f t="shared" si="120"/>
        <v>0</v>
      </c>
      <c r="J1283" s="4"/>
      <c r="K1283" s="4">
        <f t="shared" si="118"/>
        <v>0</v>
      </c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 spans="1:26" ht="15.75" customHeight="1" x14ac:dyDescent="0.2">
      <c r="A1284" s="1">
        <v>2711</v>
      </c>
      <c r="B1284" s="13" t="s">
        <v>703</v>
      </c>
      <c r="C1284" s="14" t="s">
        <v>1501</v>
      </c>
      <c r="D1284" s="14" t="s">
        <v>295</v>
      </c>
      <c r="E1284" s="14" t="s">
        <v>645</v>
      </c>
      <c r="F1284" s="14" t="s">
        <v>1486</v>
      </c>
      <c r="G1284" s="14" t="s">
        <v>1207</v>
      </c>
      <c r="H1284" s="4"/>
      <c r="I1284" s="4">
        <f t="shared" si="120"/>
        <v>0</v>
      </c>
      <c r="J1284" s="4"/>
      <c r="K1284" s="4">
        <f t="shared" si="118"/>
        <v>0</v>
      </c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 spans="1:26" ht="15.75" customHeight="1" x14ac:dyDescent="0.2">
      <c r="A1285" s="1">
        <v>2715</v>
      </c>
      <c r="B1285" s="13" t="s">
        <v>703</v>
      </c>
      <c r="C1285" s="14" t="s">
        <v>1500</v>
      </c>
      <c r="D1285" s="14" t="s">
        <v>133</v>
      </c>
      <c r="E1285" s="14" t="s">
        <v>259</v>
      </c>
      <c r="F1285" s="14" t="s">
        <v>1486</v>
      </c>
      <c r="G1285" s="14" t="s">
        <v>1207</v>
      </c>
      <c r="H1285" s="4"/>
      <c r="I1285" s="4">
        <f t="shared" si="120"/>
        <v>0</v>
      </c>
      <c r="J1285" s="4"/>
      <c r="K1285" s="4">
        <f t="shared" si="118"/>
        <v>0</v>
      </c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 spans="1:26" ht="15.75" customHeight="1" x14ac:dyDescent="0.2">
      <c r="A1286" s="1">
        <v>2735</v>
      </c>
      <c r="B1286" s="13" t="s">
        <v>944</v>
      </c>
      <c r="C1286" s="14" t="s">
        <v>1484</v>
      </c>
      <c r="D1286" s="14" t="s">
        <v>31</v>
      </c>
      <c r="E1286" s="14" t="s">
        <v>1485</v>
      </c>
      <c r="F1286" s="14" t="s">
        <v>1486</v>
      </c>
      <c r="G1286" s="14" t="s">
        <v>1207</v>
      </c>
      <c r="H1286" s="4"/>
      <c r="I1286" s="4">
        <f t="shared" si="120"/>
        <v>0</v>
      </c>
      <c r="J1286" s="4"/>
      <c r="K1286" s="4">
        <f t="shared" si="118"/>
        <v>0</v>
      </c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 spans="1:26" ht="15.75" customHeight="1" x14ac:dyDescent="0.2">
      <c r="A1287" s="1">
        <v>2809</v>
      </c>
      <c r="B1287" s="13" t="s">
        <v>1348</v>
      </c>
      <c r="C1287" s="14" t="s">
        <v>1498</v>
      </c>
      <c r="D1287" s="14" t="s">
        <v>104</v>
      </c>
      <c r="E1287" s="14" t="s">
        <v>1499</v>
      </c>
      <c r="F1287" s="14" t="s">
        <v>1486</v>
      </c>
      <c r="G1287" s="14" t="s">
        <v>1207</v>
      </c>
      <c r="H1287" s="4"/>
      <c r="I1287" s="4">
        <f t="shared" si="120"/>
        <v>0</v>
      </c>
      <c r="J1287" s="4"/>
      <c r="K1287" s="4">
        <f t="shared" si="118"/>
        <v>0</v>
      </c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 spans="1:26" ht="15.75" customHeight="1" x14ac:dyDescent="0.2">
      <c r="A1288" s="1">
        <v>2941</v>
      </c>
      <c r="B1288" s="13" t="s">
        <v>1270</v>
      </c>
      <c r="C1288" s="14" t="s">
        <v>1487</v>
      </c>
      <c r="D1288" s="14" t="s">
        <v>73</v>
      </c>
      <c r="E1288" s="14" t="s">
        <v>87</v>
      </c>
      <c r="F1288" s="14" t="s">
        <v>1486</v>
      </c>
      <c r="G1288" s="14" t="s">
        <v>1207</v>
      </c>
      <c r="H1288" s="4"/>
      <c r="I1288" s="4">
        <f t="shared" si="120"/>
        <v>0</v>
      </c>
      <c r="J1288" s="4"/>
      <c r="K1288" s="4">
        <f t="shared" si="118"/>
        <v>0</v>
      </c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 spans="1:26" ht="15.75" customHeight="1" x14ac:dyDescent="0.2">
      <c r="A1289" s="1"/>
      <c r="B1289" s="2" t="s">
        <v>316</v>
      </c>
      <c r="C1289" s="3" t="s">
        <v>1502</v>
      </c>
      <c r="D1289" s="3" t="s">
        <v>593</v>
      </c>
      <c r="E1289" s="3" t="s">
        <v>596</v>
      </c>
      <c r="F1289" s="3" t="s">
        <v>1486</v>
      </c>
      <c r="G1289" s="3" t="s">
        <v>1207</v>
      </c>
      <c r="H1289" s="4"/>
      <c r="I1289" s="4">
        <f t="shared" ref="I1289:I1293" si="121">H1289*1800</f>
        <v>0</v>
      </c>
      <c r="J1289" s="4"/>
      <c r="K1289" s="4">
        <f t="shared" si="118"/>
        <v>0</v>
      </c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 spans="1:26" ht="15.75" customHeight="1" x14ac:dyDescent="0.2">
      <c r="A1290" s="1"/>
      <c r="B1290" s="2" t="s">
        <v>102</v>
      </c>
      <c r="C1290" s="3" t="s">
        <v>1502</v>
      </c>
      <c r="D1290" s="3" t="s">
        <v>593</v>
      </c>
      <c r="E1290" s="3" t="s">
        <v>596</v>
      </c>
      <c r="F1290" s="3" t="s">
        <v>1486</v>
      </c>
      <c r="G1290" s="3" t="s">
        <v>1207</v>
      </c>
      <c r="H1290" s="4"/>
      <c r="I1290" s="4">
        <f t="shared" si="121"/>
        <v>0</v>
      </c>
      <c r="J1290" s="4"/>
      <c r="K1290" s="4">
        <f t="shared" si="118"/>
        <v>0</v>
      </c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 spans="1:26" ht="15.75" customHeight="1" x14ac:dyDescent="0.2">
      <c r="A1291" s="1"/>
      <c r="B1291" s="2" t="s">
        <v>315</v>
      </c>
      <c r="C1291" s="3" t="s">
        <v>1503</v>
      </c>
      <c r="D1291" s="3" t="s">
        <v>1418</v>
      </c>
      <c r="E1291" s="3" t="s">
        <v>1504</v>
      </c>
      <c r="F1291" s="3" t="s">
        <v>1486</v>
      </c>
      <c r="G1291" s="3" t="s">
        <v>1207</v>
      </c>
      <c r="H1291" s="4"/>
      <c r="I1291" s="4">
        <f t="shared" si="121"/>
        <v>0</v>
      </c>
      <c r="J1291" s="4"/>
      <c r="K1291" s="4">
        <f t="shared" si="118"/>
        <v>0</v>
      </c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 spans="1:26" ht="15.75" customHeight="1" x14ac:dyDescent="0.2">
      <c r="A1292" s="1"/>
      <c r="B1292" s="2" t="s">
        <v>323</v>
      </c>
      <c r="C1292" s="3" t="s">
        <v>1503</v>
      </c>
      <c r="D1292" s="3" t="s">
        <v>1418</v>
      </c>
      <c r="E1292" s="3" t="s">
        <v>1504</v>
      </c>
      <c r="F1292" s="3" t="s">
        <v>1486</v>
      </c>
      <c r="G1292" s="3" t="s">
        <v>1207</v>
      </c>
      <c r="H1292" s="4"/>
      <c r="I1292" s="4">
        <f t="shared" si="121"/>
        <v>0</v>
      </c>
      <c r="J1292" s="4"/>
      <c r="K1292" s="4">
        <f t="shared" si="118"/>
        <v>0</v>
      </c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 spans="1:26" ht="15.75" customHeight="1" x14ac:dyDescent="0.2">
      <c r="A1293" s="1"/>
      <c r="B1293" s="2" t="s">
        <v>94</v>
      </c>
      <c r="C1293" s="3" t="s">
        <v>1503</v>
      </c>
      <c r="D1293" s="3" t="s">
        <v>1418</v>
      </c>
      <c r="E1293" s="3" t="s">
        <v>1504</v>
      </c>
      <c r="F1293" s="3" t="s">
        <v>1486</v>
      </c>
      <c r="G1293" s="3" t="s">
        <v>1207</v>
      </c>
      <c r="H1293" s="4"/>
      <c r="I1293" s="4">
        <f t="shared" si="121"/>
        <v>0</v>
      </c>
      <c r="J1293" s="4"/>
      <c r="K1293" s="4">
        <f t="shared" si="118"/>
        <v>0</v>
      </c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 spans="1:26" ht="15.75" customHeight="1" x14ac:dyDescent="0.2">
      <c r="A1294" s="1"/>
      <c r="B1294" s="2" t="s">
        <v>88</v>
      </c>
      <c r="C1294" s="3" t="s">
        <v>1505</v>
      </c>
      <c r="D1294" s="3" t="s">
        <v>1363</v>
      </c>
      <c r="E1294" s="3" t="s">
        <v>348</v>
      </c>
      <c r="F1294" s="3" t="s">
        <v>1506</v>
      </c>
      <c r="G1294" s="3" t="s">
        <v>1207</v>
      </c>
      <c r="H1294" s="4">
        <v>2</v>
      </c>
      <c r="I1294" s="4">
        <f t="shared" ref="I1294:I1303" si="122">H1294*2300</f>
        <v>4600</v>
      </c>
      <c r="J1294" s="4"/>
      <c r="K1294" s="4">
        <f t="shared" si="118"/>
        <v>0</v>
      </c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 spans="1:26" ht="15.75" customHeight="1" x14ac:dyDescent="0.2">
      <c r="A1295" s="1"/>
      <c r="B1295" s="2" t="s">
        <v>88</v>
      </c>
      <c r="C1295" s="3" t="s">
        <v>1507</v>
      </c>
      <c r="D1295" s="3" t="s">
        <v>124</v>
      </c>
      <c r="E1295" s="3" t="s">
        <v>65</v>
      </c>
      <c r="F1295" s="3" t="s">
        <v>1506</v>
      </c>
      <c r="G1295" s="3" t="s">
        <v>1207</v>
      </c>
      <c r="H1295" s="4"/>
      <c r="I1295" s="4">
        <f t="shared" si="122"/>
        <v>0</v>
      </c>
      <c r="J1295" s="4"/>
      <c r="K1295" s="4">
        <f t="shared" si="118"/>
        <v>0</v>
      </c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 spans="1:26" ht="15.75" customHeight="1" x14ac:dyDescent="0.2">
      <c r="A1296" s="1">
        <v>693</v>
      </c>
      <c r="B1296" s="13" t="s">
        <v>1508</v>
      </c>
      <c r="C1296" s="14" t="s">
        <v>1509</v>
      </c>
      <c r="D1296" s="14" t="s">
        <v>1510</v>
      </c>
      <c r="E1296" s="14" t="s">
        <v>876</v>
      </c>
      <c r="F1296" s="14" t="s">
        <v>1511</v>
      </c>
      <c r="G1296" s="14" t="s">
        <v>1207</v>
      </c>
      <c r="H1296" s="4">
        <v>12</v>
      </c>
      <c r="I1296" s="4">
        <f t="shared" si="122"/>
        <v>27600</v>
      </c>
      <c r="J1296" s="4">
        <v>2</v>
      </c>
      <c r="K1296" s="4">
        <f t="shared" si="118"/>
        <v>8000</v>
      </c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 spans="1:26" ht="15.75" customHeight="1" x14ac:dyDescent="0.2">
      <c r="A1297" s="1">
        <v>2617</v>
      </c>
      <c r="B1297" s="13" t="s">
        <v>1512</v>
      </c>
      <c r="C1297" s="14" t="s">
        <v>1513</v>
      </c>
      <c r="D1297" s="14" t="s">
        <v>1514</v>
      </c>
      <c r="E1297" s="14" t="s">
        <v>1515</v>
      </c>
      <c r="F1297" s="14" t="s">
        <v>1511</v>
      </c>
      <c r="G1297" s="14" t="s">
        <v>1207</v>
      </c>
      <c r="H1297" s="4"/>
      <c r="I1297" s="4">
        <f t="shared" si="122"/>
        <v>0</v>
      </c>
      <c r="J1297" s="4"/>
      <c r="K1297" s="4">
        <f t="shared" si="118"/>
        <v>0</v>
      </c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 spans="1:26" ht="15.75" customHeight="1" x14ac:dyDescent="0.2">
      <c r="A1298" s="1">
        <v>2605</v>
      </c>
      <c r="B1298" s="13" t="s">
        <v>1420</v>
      </c>
      <c r="C1298" s="14" t="s">
        <v>1516</v>
      </c>
      <c r="D1298" s="14" t="s">
        <v>516</v>
      </c>
      <c r="E1298" s="14" t="s">
        <v>397</v>
      </c>
      <c r="F1298" s="14" t="s">
        <v>1511</v>
      </c>
      <c r="G1298" s="14" t="s">
        <v>1207</v>
      </c>
      <c r="H1298" s="4"/>
      <c r="I1298" s="4">
        <f t="shared" si="122"/>
        <v>0</v>
      </c>
      <c r="J1298" s="4"/>
      <c r="K1298" s="4">
        <f t="shared" si="118"/>
        <v>0</v>
      </c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 spans="1:26" ht="15.75" customHeight="1" x14ac:dyDescent="0.2">
      <c r="A1299" s="1">
        <v>2615</v>
      </c>
      <c r="B1299" s="13" t="s">
        <v>1512</v>
      </c>
      <c r="C1299" s="14" t="s">
        <v>1517</v>
      </c>
      <c r="D1299" s="14" t="s">
        <v>1518</v>
      </c>
      <c r="E1299" s="14" t="s">
        <v>1519</v>
      </c>
      <c r="F1299" s="14" t="s">
        <v>1511</v>
      </c>
      <c r="G1299" s="14" t="s">
        <v>1207</v>
      </c>
      <c r="H1299" s="4"/>
      <c r="I1299" s="4">
        <f t="shared" si="122"/>
        <v>0</v>
      </c>
      <c r="J1299" s="4"/>
      <c r="K1299" s="4">
        <f t="shared" si="118"/>
        <v>0</v>
      </c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 spans="1:26" ht="15.75" customHeight="1" x14ac:dyDescent="0.2">
      <c r="A1300" s="1">
        <v>2607</v>
      </c>
      <c r="B1300" s="13" t="s">
        <v>1420</v>
      </c>
      <c r="C1300" s="14" t="s">
        <v>1520</v>
      </c>
      <c r="D1300" s="14" t="s">
        <v>1234</v>
      </c>
      <c r="E1300" s="14" t="s">
        <v>1284</v>
      </c>
      <c r="F1300" s="14" t="s">
        <v>1511</v>
      </c>
      <c r="G1300" s="14" t="s">
        <v>1207</v>
      </c>
      <c r="H1300" s="4"/>
      <c r="I1300" s="4">
        <f t="shared" si="122"/>
        <v>0</v>
      </c>
      <c r="J1300" s="4"/>
      <c r="K1300" s="4">
        <f t="shared" si="118"/>
        <v>0</v>
      </c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 spans="1:26" ht="15.75" customHeight="1" x14ac:dyDescent="0.2">
      <c r="A1301" s="1">
        <v>709</v>
      </c>
      <c r="B1301" s="13" t="s">
        <v>685</v>
      </c>
      <c r="C1301" s="14" t="s">
        <v>712</v>
      </c>
      <c r="D1301" s="14" t="s">
        <v>295</v>
      </c>
      <c r="E1301" s="14" t="s">
        <v>639</v>
      </c>
      <c r="F1301" s="14" t="s">
        <v>1511</v>
      </c>
      <c r="G1301" s="14" t="s">
        <v>1207</v>
      </c>
      <c r="H1301" s="4"/>
      <c r="I1301" s="4">
        <f t="shared" si="122"/>
        <v>0</v>
      </c>
      <c r="J1301" s="4"/>
      <c r="K1301" s="4">
        <f t="shared" si="118"/>
        <v>0</v>
      </c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 spans="1:26" ht="15.75" customHeight="1" x14ac:dyDescent="0.2">
      <c r="A1302" s="1">
        <v>721</v>
      </c>
      <c r="B1302" s="13" t="s">
        <v>1407</v>
      </c>
      <c r="C1302" s="14" t="s">
        <v>1521</v>
      </c>
      <c r="D1302" s="14" t="s">
        <v>388</v>
      </c>
      <c r="E1302" s="14" t="s">
        <v>743</v>
      </c>
      <c r="F1302" s="14" t="s">
        <v>1511</v>
      </c>
      <c r="G1302" s="14" t="s">
        <v>1207</v>
      </c>
      <c r="H1302" s="4"/>
      <c r="I1302" s="4">
        <f t="shared" si="122"/>
        <v>0</v>
      </c>
      <c r="J1302" s="4"/>
      <c r="K1302" s="4">
        <f t="shared" si="118"/>
        <v>0</v>
      </c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 spans="1:26" ht="15.75" customHeight="1" x14ac:dyDescent="0.2">
      <c r="A1303" s="1">
        <v>723</v>
      </c>
      <c r="B1303" s="13" t="s">
        <v>1407</v>
      </c>
      <c r="C1303" s="14" t="s">
        <v>1498</v>
      </c>
      <c r="D1303" s="14" t="s">
        <v>1522</v>
      </c>
      <c r="E1303" s="14" t="s">
        <v>836</v>
      </c>
      <c r="F1303" s="14" t="s">
        <v>1511</v>
      </c>
      <c r="G1303" s="14" t="s">
        <v>1207</v>
      </c>
      <c r="H1303" s="4"/>
      <c r="I1303" s="4">
        <f t="shared" si="122"/>
        <v>0</v>
      </c>
      <c r="J1303" s="4"/>
      <c r="K1303" s="4">
        <f t="shared" si="118"/>
        <v>0</v>
      </c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 spans="1:26" ht="15.75" customHeight="1" x14ac:dyDescent="0.2">
      <c r="A1304" s="1">
        <v>2609</v>
      </c>
      <c r="B1304" s="13" t="s">
        <v>1420</v>
      </c>
      <c r="C1304" s="14" t="s">
        <v>1523</v>
      </c>
      <c r="D1304" s="14" t="s">
        <v>1283</v>
      </c>
      <c r="E1304" s="14" t="s">
        <v>302</v>
      </c>
      <c r="F1304" s="14" t="s">
        <v>1511</v>
      </c>
      <c r="G1304" s="14" t="s">
        <v>1207</v>
      </c>
      <c r="H1304" s="4"/>
      <c r="I1304" s="4">
        <f t="shared" ref="I1304:I1305" si="123">H1304*1800</f>
        <v>0</v>
      </c>
      <c r="J1304" s="4"/>
      <c r="K1304" s="4">
        <f t="shared" si="118"/>
        <v>0</v>
      </c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 spans="1:26" ht="15.75" customHeight="1" x14ac:dyDescent="0.2">
      <c r="A1305" s="1">
        <v>2613</v>
      </c>
      <c r="B1305" s="13" t="s">
        <v>1512</v>
      </c>
      <c r="C1305" s="14" t="s">
        <v>1524</v>
      </c>
      <c r="D1305" s="14" t="s">
        <v>1157</v>
      </c>
      <c r="E1305" s="14" t="s">
        <v>259</v>
      </c>
      <c r="F1305" s="14" t="s">
        <v>1511</v>
      </c>
      <c r="G1305" s="14" t="s">
        <v>1207</v>
      </c>
      <c r="H1305" s="4"/>
      <c r="I1305" s="4">
        <f t="shared" si="123"/>
        <v>0</v>
      </c>
      <c r="J1305" s="4"/>
      <c r="K1305" s="4">
        <f t="shared" si="118"/>
        <v>0</v>
      </c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 spans="1:26" ht="15.75" customHeight="1" x14ac:dyDescent="0.2">
      <c r="A1306" s="1">
        <v>33</v>
      </c>
      <c r="B1306" s="13" t="s">
        <v>939</v>
      </c>
      <c r="C1306" s="14" t="s">
        <v>1525</v>
      </c>
      <c r="D1306" s="14" t="s">
        <v>58</v>
      </c>
      <c r="E1306" s="14" t="s">
        <v>393</v>
      </c>
      <c r="F1306" s="14" t="s">
        <v>1526</v>
      </c>
      <c r="G1306" s="14" t="s">
        <v>1207</v>
      </c>
      <c r="H1306" s="4"/>
      <c r="I1306" s="4">
        <f t="shared" ref="I1306:I1316" si="124">H1306*2300</f>
        <v>0</v>
      </c>
      <c r="J1306" s="4"/>
      <c r="K1306" s="4">
        <f t="shared" si="118"/>
        <v>0</v>
      </c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 spans="1:26" ht="15.75" customHeight="1" x14ac:dyDescent="0.2">
      <c r="A1307" s="1">
        <v>69</v>
      </c>
      <c r="B1307" s="13" t="s">
        <v>1301</v>
      </c>
      <c r="C1307" s="14" t="s">
        <v>1527</v>
      </c>
      <c r="D1307" s="14" t="s">
        <v>861</v>
      </c>
      <c r="E1307" s="14" t="s">
        <v>777</v>
      </c>
      <c r="F1307" s="14" t="s">
        <v>1526</v>
      </c>
      <c r="G1307" s="14" t="s">
        <v>1207</v>
      </c>
      <c r="H1307" s="4"/>
      <c r="I1307" s="4">
        <f t="shared" si="124"/>
        <v>0</v>
      </c>
      <c r="J1307" s="4"/>
      <c r="K1307" s="4">
        <f t="shared" si="118"/>
        <v>0</v>
      </c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 spans="1:26" ht="15.75" customHeight="1" x14ac:dyDescent="0.2">
      <c r="A1308" s="1">
        <v>183</v>
      </c>
      <c r="B1308" s="13" t="s">
        <v>549</v>
      </c>
      <c r="C1308" s="14" t="s">
        <v>1528</v>
      </c>
      <c r="D1308" s="14" t="s">
        <v>128</v>
      </c>
      <c r="E1308" s="14" t="s">
        <v>1217</v>
      </c>
      <c r="F1308" s="14" t="s">
        <v>1526</v>
      </c>
      <c r="G1308" s="14" t="s">
        <v>1207</v>
      </c>
      <c r="H1308" s="4"/>
      <c r="I1308" s="4">
        <f t="shared" si="124"/>
        <v>0</v>
      </c>
      <c r="J1308" s="4"/>
      <c r="K1308" s="4">
        <f t="shared" si="118"/>
        <v>0</v>
      </c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 spans="1:26" ht="15.75" customHeight="1" x14ac:dyDescent="0.2">
      <c r="A1309" s="1">
        <v>307</v>
      </c>
      <c r="B1309" s="13" t="s">
        <v>552</v>
      </c>
      <c r="C1309" s="14" t="s">
        <v>1529</v>
      </c>
      <c r="D1309" s="14" t="s">
        <v>51</v>
      </c>
      <c r="E1309" s="14" t="s">
        <v>1530</v>
      </c>
      <c r="F1309" s="14" t="s">
        <v>1526</v>
      </c>
      <c r="G1309" s="14" t="s">
        <v>1207</v>
      </c>
      <c r="H1309" s="4"/>
      <c r="I1309" s="4">
        <f t="shared" si="124"/>
        <v>0</v>
      </c>
      <c r="J1309" s="4"/>
      <c r="K1309" s="4">
        <f t="shared" si="118"/>
        <v>0</v>
      </c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 spans="1:26" ht="15.75" customHeight="1" x14ac:dyDescent="0.2">
      <c r="A1310" s="1">
        <v>905</v>
      </c>
      <c r="B1310" s="13" t="s">
        <v>694</v>
      </c>
      <c r="C1310" s="14" t="s">
        <v>1531</v>
      </c>
      <c r="D1310" s="14" t="s">
        <v>39</v>
      </c>
      <c r="E1310" s="14" t="s">
        <v>87</v>
      </c>
      <c r="F1310" s="14" t="s">
        <v>1526</v>
      </c>
      <c r="G1310" s="14" t="s">
        <v>1207</v>
      </c>
      <c r="H1310" s="4"/>
      <c r="I1310" s="4">
        <f t="shared" si="124"/>
        <v>0</v>
      </c>
      <c r="J1310" s="4"/>
      <c r="K1310" s="4">
        <f t="shared" si="118"/>
        <v>0</v>
      </c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 spans="1:26" ht="15.75" customHeight="1" x14ac:dyDescent="0.2">
      <c r="A1311" s="1">
        <v>2545</v>
      </c>
      <c r="B1311" s="13" t="s">
        <v>1247</v>
      </c>
      <c r="C1311" s="14" t="s">
        <v>1532</v>
      </c>
      <c r="D1311" s="14" t="s">
        <v>31</v>
      </c>
      <c r="E1311" s="14" t="s">
        <v>1533</v>
      </c>
      <c r="F1311" s="14" t="s">
        <v>1526</v>
      </c>
      <c r="G1311" s="14" t="s">
        <v>1207</v>
      </c>
      <c r="H1311" s="4"/>
      <c r="I1311" s="4">
        <f t="shared" si="124"/>
        <v>0</v>
      </c>
      <c r="J1311" s="4"/>
      <c r="K1311" s="4">
        <f t="shared" si="118"/>
        <v>0</v>
      </c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 spans="1:26" ht="15.75" customHeight="1" x14ac:dyDescent="0.2">
      <c r="A1312" s="1">
        <v>2551</v>
      </c>
      <c r="B1312" s="13" t="s">
        <v>1247</v>
      </c>
      <c r="C1312" s="14" t="s">
        <v>1534</v>
      </c>
      <c r="D1312" s="14" t="s">
        <v>39</v>
      </c>
      <c r="E1312" s="14" t="s">
        <v>87</v>
      </c>
      <c r="F1312" s="14" t="s">
        <v>1526</v>
      </c>
      <c r="G1312" s="14" t="s">
        <v>1207</v>
      </c>
      <c r="H1312" s="4"/>
      <c r="I1312" s="4">
        <f t="shared" si="124"/>
        <v>0</v>
      </c>
      <c r="J1312" s="4"/>
      <c r="K1312" s="4">
        <f t="shared" si="118"/>
        <v>0</v>
      </c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 spans="1:26" ht="15.75" customHeight="1" x14ac:dyDescent="0.2">
      <c r="A1313" s="1">
        <v>2623</v>
      </c>
      <c r="B1313" s="13" t="s">
        <v>702</v>
      </c>
      <c r="C1313" s="14" t="s">
        <v>1531</v>
      </c>
      <c r="D1313" s="14" t="s">
        <v>39</v>
      </c>
      <c r="E1313" s="14" t="s">
        <v>87</v>
      </c>
      <c r="F1313" s="14" t="s">
        <v>1526</v>
      </c>
      <c r="G1313" s="14" t="s">
        <v>1207</v>
      </c>
      <c r="H1313" s="4"/>
      <c r="I1313" s="4">
        <f t="shared" si="124"/>
        <v>0</v>
      </c>
      <c r="J1313" s="4"/>
      <c r="K1313" s="4">
        <f t="shared" si="118"/>
        <v>0</v>
      </c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 spans="1:26" ht="15.75" customHeight="1" x14ac:dyDescent="0.2">
      <c r="A1314" s="1">
        <v>2659</v>
      </c>
      <c r="B1314" s="13" t="s">
        <v>1055</v>
      </c>
      <c r="C1314" s="14" t="s">
        <v>1532</v>
      </c>
      <c r="D1314" s="14" t="s">
        <v>31</v>
      </c>
      <c r="E1314" s="14" t="s">
        <v>1533</v>
      </c>
      <c r="F1314" s="14" t="s">
        <v>1526</v>
      </c>
      <c r="G1314" s="14" t="s">
        <v>1207</v>
      </c>
      <c r="H1314" s="4"/>
      <c r="I1314" s="4">
        <f t="shared" si="124"/>
        <v>0</v>
      </c>
      <c r="J1314" s="4"/>
      <c r="K1314" s="4">
        <f t="shared" si="118"/>
        <v>0</v>
      </c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 spans="1:26" ht="15.75" customHeight="1" x14ac:dyDescent="0.2">
      <c r="A1315" s="1">
        <v>2749</v>
      </c>
      <c r="B1315" s="13" t="s">
        <v>944</v>
      </c>
      <c r="C1315" s="14" t="s">
        <v>1527</v>
      </c>
      <c r="D1315" s="14" t="s">
        <v>861</v>
      </c>
      <c r="E1315" s="14" t="s">
        <v>777</v>
      </c>
      <c r="F1315" s="14" t="s">
        <v>1526</v>
      </c>
      <c r="G1315" s="14" t="s">
        <v>1207</v>
      </c>
      <c r="H1315" s="4"/>
      <c r="I1315" s="4">
        <f t="shared" si="124"/>
        <v>0</v>
      </c>
      <c r="J1315" s="4"/>
      <c r="K1315" s="4">
        <f t="shared" si="118"/>
        <v>0</v>
      </c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 spans="1:26" ht="15.75" customHeight="1" x14ac:dyDescent="0.2">
      <c r="A1316" s="1">
        <v>2963</v>
      </c>
      <c r="B1316" s="13" t="s">
        <v>1138</v>
      </c>
      <c r="C1316" s="14" t="s">
        <v>1528</v>
      </c>
      <c r="D1316" s="14" t="s">
        <v>128</v>
      </c>
      <c r="E1316" s="14" t="s">
        <v>1217</v>
      </c>
      <c r="F1316" s="14" t="s">
        <v>1526</v>
      </c>
      <c r="G1316" s="14" t="s">
        <v>1207</v>
      </c>
      <c r="H1316" s="4"/>
      <c r="I1316" s="4">
        <f t="shared" si="124"/>
        <v>0</v>
      </c>
      <c r="J1316" s="4"/>
      <c r="K1316" s="4">
        <f t="shared" si="118"/>
        <v>0</v>
      </c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 spans="1:26" ht="15.75" customHeight="1" x14ac:dyDescent="0.2">
      <c r="A1317" s="1"/>
      <c r="B1317" s="2" t="s">
        <v>823</v>
      </c>
      <c r="C1317" s="3" t="s">
        <v>870</v>
      </c>
      <c r="D1317" s="3" t="s">
        <v>309</v>
      </c>
      <c r="E1317" s="3" t="s">
        <v>79</v>
      </c>
      <c r="F1317" s="3" t="s">
        <v>1535</v>
      </c>
      <c r="G1317" s="3" t="s">
        <v>1207</v>
      </c>
      <c r="H1317" s="4">
        <v>9</v>
      </c>
      <c r="I1317" s="4">
        <f t="shared" ref="I1317:I1321" si="125">H1317*1800</f>
        <v>16200</v>
      </c>
      <c r="J1317" s="4"/>
      <c r="K1317" s="4">
        <f t="shared" si="118"/>
        <v>0</v>
      </c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 spans="1:26" ht="15.75" customHeight="1" x14ac:dyDescent="0.2">
      <c r="A1318" s="1"/>
      <c r="B1318" s="2" t="s">
        <v>815</v>
      </c>
      <c r="C1318" s="3" t="s">
        <v>1536</v>
      </c>
      <c r="D1318" s="3" t="s">
        <v>275</v>
      </c>
      <c r="E1318" s="3" t="s">
        <v>326</v>
      </c>
      <c r="F1318" s="3" t="s">
        <v>1535</v>
      </c>
      <c r="G1318" s="3" t="s">
        <v>1207</v>
      </c>
      <c r="H1318" s="4"/>
      <c r="I1318" s="4">
        <f t="shared" si="125"/>
        <v>0</v>
      </c>
      <c r="J1318" s="4"/>
      <c r="K1318" s="4">
        <f t="shared" si="118"/>
        <v>0</v>
      </c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 spans="1:26" ht="15.75" customHeight="1" x14ac:dyDescent="0.2">
      <c r="A1319" s="1"/>
      <c r="B1319" s="2" t="s">
        <v>818</v>
      </c>
      <c r="C1319" s="3" t="s">
        <v>1537</v>
      </c>
      <c r="D1319" s="3" t="s">
        <v>266</v>
      </c>
      <c r="E1319" s="3" t="s">
        <v>478</v>
      </c>
      <c r="F1319" s="3" t="s">
        <v>1535</v>
      </c>
      <c r="G1319" s="3" t="s">
        <v>1207</v>
      </c>
      <c r="H1319" s="4"/>
      <c r="I1319" s="4">
        <f t="shared" si="125"/>
        <v>0</v>
      </c>
      <c r="J1319" s="4"/>
      <c r="K1319" s="4">
        <f t="shared" si="118"/>
        <v>0</v>
      </c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 spans="1:26" ht="15.75" customHeight="1" x14ac:dyDescent="0.2">
      <c r="A1320" s="1"/>
      <c r="B1320" s="2" t="s">
        <v>523</v>
      </c>
      <c r="C1320" s="3" t="s">
        <v>1538</v>
      </c>
      <c r="D1320" s="3" t="s">
        <v>1006</v>
      </c>
      <c r="E1320" s="3" t="s">
        <v>1539</v>
      </c>
      <c r="F1320" s="3" t="s">
        <v>1535</v>
      </c>
      <c r="G1320" s="3" t="s">
        <v>1207</v>
      </c>
      <c r="H1320" s="4"/>
      <c r="I1320" s="4">
        <f t="shared" si="125"/>
        <v>0</v>
      </c>
      <c r="J1320" s="4"/>
      <c r="K1320" s="4">
        <f t="shared" si="118"/>
        <v>0</v>
      </c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 spans="1:26" ht="15.75" customHeight="1" x14ac:dyDescent="0.2">
      <c r="A1321" s="1"/>
      <c r="B1321" s="2" t="s">
        <v>807</v>
      </c>
      <c r="C1321" s="3" t="s">
        <v>1478</v>
      </c>
      <c r="D1321" s="3" t="s">
        <v>1540</v>
      </c>
      <c r="E1321" s="3" t="s">
        <v>306</v>
      </c>
      <c r="F1321" s="3" t="s">
        <v>1535</v>
      </c>
      <c r="G1321" s="3" t="s">
        <v>1207</v>
      </c>
      <c r="H1321" s="4"/>
      <c r="I1321" s="4">
        <f t="shared" si="125"/>
        <v>0</v>
      </c>
      <c r="J1321" s="4"/>
      <c r="K1321" s="4">
        <f t="shared" si="118"/>
        <v>0</v>
      </c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 spans="1:26" ht="15.75" customHeight="1" x14ac:dyDescent="0.2">
      <c r="A1322" s="1">
        <v>9</v>
      </c>
      <c r="B1322" s="13" t="s">
        <v>939</v>
      </c>
      <c r="C1322" s="14" t="s">
        <v>1541</v>
      </c>
      <c r="D1322" s="14" t="s">
        <v>989</v>
      </c>
      <c r="E1322" s="14" t="s">
        <v>1217</v>
      </c>
      <c r="F1322" s="14" t="s">
        <v>1542</v>
      </c>
      <c r="G1322" s="14" t="s">
        <v>1207</v>
      </c>
      <c r="H1322" s="4"/>
      <c r="I1322" s="4">
        <f t="shared" ref="I1322:I1436" si="126">H1322*2300</f>
        <v>0</v>
      </c>
      <c r="J1322" s="4"/>
      <c r="K1322" s="4">
        <f t="shared" si="118"/>
        <v>0</v>
      </c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 spans="1:26" ht="15.75" customHeight="1" x14ac:dyDescent="0.2">
      <c r="A1323" s="1">
        <v>17</v>
      </c>
      <c r="B1323" s="13" t="s">
        <v>939</v>
      </c>
      <c r="C1323" s="14" t="s">
        <v>1543</v>
      </c>
      <c r="D1323" s="14" t="s">
        <v>183</v>
      </c>
      <c r="E1323" s="14" t="s">
        <v>112</v>
      </c>
      <c r="F1323" s="14" t="s">
        <v>1542</v>
      </c>
      <c r="G1323" s="14" t="s">
        <v>1207</v>
      </c>
      <c r="H1323" s="4"/>
      <c r="I1323" s="4">
        <f t="shared" si="126"/>
        <v>0</v>
      </c>
      <c r="J1323" s="4"/>
      <c r="K1323" s="4">
        <f t="shared" si="118"/>
        <v>0</v>
      </c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 spans="1:26" ht="15.75" customHeight="1" x14ac:dyDescent="0.2">
      <c r="A1324" s="1">
        <v>19</v>
      </c>
      <c r="B1324" s="13" t="s">
        <v>939</v>
      </c>
      <c r="C1324" s="14" t="s">
        <v>584</v>
      </c>
      <c r="D1324" s="14" t="s">
        <v>116</v>
      </c>
      <c r="E1324" s="14" t="s">
        <v>384</v>
      </c>
      <c r="F1324" s="14" t="s">
        <v>1542</v>
      </c>
      <c r="G1324" s="14" t="s">
        <v>1207</v>
      </c>
      <c r="H1324" s="4"/>
      <c r="I1324" s="4">
        <f t="shared" si="126"/>
        <v>0</v>
      </c>
      <c r="J1324" s="4"/>
      <c r="K1324" s="4">
        <f t="shared" si="118"/>
        <v>0</v>
      </c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 spans="1:26" ht="15.75" customHeight="1" x14ac:dyDescent="0.2">
      <c r="A1325" s="1">
        <v>21</v>
      </c>
      <c r="B1325" s="13" t="s">
        <v>939</v>
      </c>
      <c r="C1325" s="14" t="s">
        <v>1544</v>
      </c>
      <c r="D1325" s="14" t="s">
        <v>491</v>
      </c>
      <c r="E1325" s="14" t="s">
        <v>112</v>
      </c>
      <c r="F1325" s="14" t="s">
        <v>1542</v>
      </c>
      <c r="G1325" s="14" t="s">
        <v>1207</v>
      </c>
      <c r="H1325" s="4"/>
      <c r="I1325" s="4">
        <f t="shared" si="126"/>
        <v>0</v>
      </c>
      <c r="J1325" s="4"/>
      <c r="K1325" s="4">
        <f t="shared" si="118"/>
        <v>0</v>
      </c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 spans="1:26" ht="15.75" customHeight="1" x14ac:dyDescent="0.2">
      <c r="A1326" s="1">
        <v>41</v>
      </c>
      <c r="B1326" s="13" t="s">
        <v>1301</v>
      </c>
      <c r="C1326" s="14" t="s">
        <v>1545</v>
      </c>
      <c r="D1326" s="14" t="s">
        <v>643</v>
      </c>
      <c r="E1326" s="14" t="s">
        <v>40</v>
      </c>
      <c r="F1326" s="14" t="s">
        <v>1542</v>
      </c>
      <c r="G1326" s="14" t="s">
        <v>1207</v>
      </c>
      <c r="H1326" s="4"/>
      <c r="I1326" s="4">
        <f t="shared" si="126"/>
        <v>0</v>
      </c>
      <c r="J1326" s="4"/>
      <c r="K1326" s="4">
        <f t="shared" si="118"/>
        <v>0</v>
      </c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 spans="1:26" ht="15.75" customHeight="1" x14ac:dyDescent="0.2">
      <c r="A1327" s="1">
        <v>43</v>
      </c>
      <c r="B1327" s="13" t="s">
        <v>1301</v>
      </c>
      <c r="C1327" s="14" t="s">
        <v>1541</v>
      </c>
      <c r="D1327" s="14" t="s">
        <v>989</v>
      </c>
      <c r="E1327" s="14" t="s">
        <v>1217</v>
      </c>
      <c r="F1327" s="14" t="s">
        <v>1542</v>
      </c>
      <c r="G1327" s="14" t="s">
        <v>1207</v>
      </c>
      <c r="H1327" s="4"/>
      <c r="I1327" s="4">
        <f t="shared" si="126"/>
        <v>0</v>
      </c>
      <c r="J1327" s="4"/>
      <c r="K1327" s="4">
        <f t="shared" si="118"/>
        <v>0</v>
      </c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 spans="1:26" ht="15.75" customHeight="1" x14ac:dyDescent="0.2">
      <c r="A1328" s="1">
        <v>51</v>
      </c>
      <c r="B1328" s="13" t="s">
        <v>1301</v>
      </c>
      <c r="C1328" s="14" t="s">
        <v>1543</v>
      </c>
      <c r="D1328" s="14" t="s">
        <v>183</v>
      </c>
      <c r="E1328" s="14" t="s">
        <v>112</v>
      </c>
      <c r="F1328" s="14" t="s">
        <v>1542</v>
      </c>
      <c r="G1328" s="14" t="s">
        <v>1207</v>
      </c>
      <c r="H1328" s="4"/>
      <c r="I1328" s="4">
        <f t="shared" si="126"/>
        <v>0</v>
      </c>
      <c r="J1328" s="4"/>
      <c r="K1328" s="4">
        <f t="shared" si="118"/>
        <v>0</v>
      </c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 spans="1:26" ht="15.75" customHeight="1" x14ac:dyDescent="0.2">
      <c r="A1329" s="1">
        <v>53</v>
      </c>
      <c r="B1329" s="13" t="s">
        <v>1301</v>
      </c>
      <c r="C1329" s="14" t="s">
        <v>1544</v>
      </c>
      <c r="D1329" s="14" t="s">
        <v>491</v>
      </c>
      <c r="E1329" s="14" t="s">
        <v>112</v>
      </c>
      <c r="F1329" s="14" t="s">
        <v>1542</v>
      </c>
      <c r="G1329" s="14" t="s">
        <v>1207</v>
      </c>
      <c r="H1329" s="4"/>
      <c r="I1329" s="4">
        <f t="shared" si="126"/>
        <v>0</v>
      </c>
      <c r="J1329" s="4"/>
      <c r="K1329" s="4">
        <f t="shared" si="118"/>
        <v>0</v>
      </c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 spans="1:26" ht="15.75" customHeight="1" x14ac:dyDescent="0.2">
      <c r="A1330" s="1">
        <v>55</v>
      </c>
      <c r="B1330" s="13" t="s">
        <v>1301</v>
      </c>
      <c r="C1330" s="14" t="s">
        <v>1546</v>
      </c>
      <c r="D1330" s="14" t="s">
        <v>116</v>
      </c>
      <c r="E1330" s="14" t="s">
        <v>70</v>
      </c>
      <c r="F1330" s="14" t="s">
        <v>1542</v>
      </c>
      <c r="G1330" s="14" t="s">
        <v>1207</v>
      </c>
      <c r="H1330" s="4"/>
      <c r="I1330" s="4">
        <f t="shared" si="126"/>
        <v>0</v>
      </c>
      <c r="J1330" s="4"/>
      <c r="K1330" s="4">
        <f t="shared" si="118"/>
        <v>0</v>
      </c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 spans="1:26" ht="15.75" customHeight="1" x14ac:dyDescent="0.2">
      <c r="A1331" s="1">
        <v>81</v>
      </c>
      <c r="B1331" s="13" t="s">
        <v>707</v>
      </c>
      <c r="C1331" s="14" t="s">
        <v>1449</v>
      </c>
      <c r="D1331" s="14" t="s">
        <v>396</v>
      </c>
      <c r="E1331" s="14" t="s">
        <v>70</v>
      </c>
      <c r="F1331" s="14" t="s">
        <v>1542</v>
      </c>
      <c r="G1331" s="14" t="s">
        <v>1207</v>
      </c>
      <c r="H1331" s="4"/>
      <c r="I1331" s="4">
        <f t="shared" si="126"/>
        <v>0</v>
      </c>
      <c r="J1331" s="4"/>
      <c r="K1331" s="4">
        <f t="shared" si="118"/>
        <v>0</v>
      </c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 spans="1:26" ht="15.75" customHeight="1" x14ac:dyDescent="0.2">
      <c r="A1332" s="1">
        <v>91</v>
      </c>
      <c r="B1332" s="13" t="s">
        <v>1262</v>
      </c>
      <c r="C1332" s="14" t="s">
        <v>927</v>
      </c>
      <c r="D1332" s="14" t="s">
        <v>75</v>
      </c>
      <c r="E1332" s="14" t="s">
        <v>334</v>
      </c>
      <c r="F1332" s="14" t="s">
        <v>1542</v>
      </c>
      <c r="G1332" s="14" t="s">
        <v>1207</v>
      </c>
      <c r="H1332" s="4"/>
      <c r="I1332" s="4">
        <f t="shared" si="126"/>
        <v>0</v>
      </c>
      <c r="J1332" s="4"/>
      <c r="K1332" s="4">
        <f t="shared" si="118"/>
        <v>0</v>
      </c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 spans="1:26" ht="15.75" customHeight="1" x14ac:dyDescent="0.2">
      <c r="A1333" s="1">
        <v>95</v>
      </c>
      <c r="B1333" s="13" t="s">
        <v>1262</v>
      </c>
      <c r="C1333" s="14" t="s">
        <v>1546</v>
      </c>
      <c r="D1333" s="14" t="s">
        <v>116</v>
      </c>
      <c r="E1333" s="14" t="s">
        <v>70</v>
      </c>
      <c r="F1333" s="14" t="s">
        <v>1542</v>
      </c>
      <c r="G1333" s="14" t="s">
        <v>1207</v>
      </c>
      <c r="H1333" s="4"/>
      <c r="I1333" s="4">
        <f t="shared" si="126"/>
        <v>0</v>
      </c>
      <c r="J1333" s="4"/>
      <c r="K1333" s="4">
        <f t="shared" si="118"/>
        <v>0</v>
      </c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 spans="1:26" ht="15.75" customHeight="1" x14ac:dyDescent="0.2">
      <c r="A1334" s="1">
        <v>115</v>
      </c>
      <c r="B1334" s="13" t="s">
        <v>504</v>
      </c>
      <c r="C1334" s="14" t="s">
        <v>1547</v>
      </c>
      <c r="D1334" s="14" t="s">
        <v>116</v>
      </c>
      <c r="E1334" s="14" t="s">
        <v>1212</v>
      </c>
      <c r="F1334" s="14" t="s">
        <v>1542</v>
      </c>
      <c r="G1334" s="14" t="s">
        <v>1207</v>
      </c>
      <c r="H1334" s="4"/>
      <c r="I1334" s="4">
        <f t="shared" si="126"/>
        <v>0</v>
      </c>
      <c r="J1334" s="4"/>
      <c r="K1334" s="4">
        <f t="shared" si="118"/>
        <v>0</v>
      </c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 spans="1:26" ht="15.75" customHeight="1" x14ac:dyDescent="0.2">
      <c r="A1335" s="1">
        <v>139</v>
      </c>
      <c r="B1335" s="13" t="s">
        <v>460</v>
      </c>
      <c r="C1335" s="14" t="s">
        <v>584</v>
      </c>
      <c r="D1335" s="14" t="s">
        <v>491</v>
      </c>
      <c r="E1335" s="14" t="s">
        <v>384</v>
      </c>
      <c r="F1335" s="14" t="s">
        <v>1542</v>
      </c>
      <c r="G1335" s="14" t="s">
        <v>1207</v>
      </c>
      <c r="H1335" s="4"/>
      <c r="I1335" s="4">
        <f t="shared" si="126"/>
        <v>0</v>
      </c>
      <c r="J1335" s="4"/>
      <c r="K1335" s="4">
        <f t="shared" si="118"/>
        <v>0</v>
      </c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 spans="1:26" ht="15.75" customHeight="1" x14ac:dyDescent="0.2">
      <c r="A1336" s="1">
        <v>159</v>
      </c>
      <c r="B1336" s="13" t="s">
        <v>549</v>
      </c>
      <c r="C1336" s="14" t="s">
        <v>1548</v>
      </c>
      <c r="D1336" s="14" t="s">
        <v>407</v>
      </c>
      <c r="E1336" s="14" t="s">
        <v>630</v>
      </c>
      <c r="F1336" s="14" t="s">
        <v>1542</v>
      </c>
      <c r="G1336" s="14" t="s">
        <v>1207</v>
      </c>
      <c r="H1336" s="4"/>
      <c r="I1336" s="4">
        <f t="shared" si="126"/>
        <v>0</v>
      </c>
      <c r="J1336" s="4"/>
      <c r="K1336" s="4">
        <f t="shared" si="118"/>
        <v>0</v>
      </c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 spans="1:26" ht="15.75" customHeight="1" x14ac:dyDescent="0.2">
      <c r="A1337" s="1">
        <v>161</v>
      </c>
      <c r="B1337" s="13" t="s">
        <v>549</v>
      </c>
      <c r="C1337" s="14" t="s">
        <v>1549</v>
      </c>
      <c r="D1337" s="14" t="s">
        <v>275</v>
      </c>
      <c r="E1337" s="14" t="s">
        <v>40</v>
      </c>
      <c r="F1337" s="14" t="s">
        <v>1542</v>
      </c>
      <c r="G1337" s="14" t="s">
        <v>1207</v>
      </c>
      <c r="H1337" s="4"/>
      <c r="I1337" s="4">
        <f t="shared" si="126"/>
        <v>0</v>
      </c>
      <c r="J1337" s="4"/>
      <c r="K1337" s="4">
        <f t="shared" si="118"/>
        <v>0</v>
      </c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 spans="1:26" ht="15.75" customHeight="1" x14ac:dyDescent="0.2">
      <c r="A1338" s="1">
        <v>173</v>
      </c>
      <c r="B1338" s="13" t="s">
        <v>549</v>
      </c>
      <c r="C1338" s="14" t="s">
        <v>885</v>
      </c>
      <c r="D1338" s="14" t="s">
        <v>139</v>
      </c>
      <c r="E1338" s="14" t="s">
        <v>87</v>
      </c>
      <c r="F1338" s="14" t="s">
        <v>1542</v>
      </c>
      <c r="G1338" s="14" t="s">
        <v>1207</v>
      </c>
      <c r="H1338" s="4"/>
      <c r="I1338" s="4">
        <f t="shared" si="126"/>
        <v>0</v>
      </c>
      <c r="J1338" s="4"/>
      <c r="K1338" s="4">
        <f t="shared" si="118"/>
        <v>0</v>
      </c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 spans="1:26" ht="15.75" customHeight="1" x14ac:dyDescent="0.2">
      <c r="A1339" s="1">
        <v>185</v>
      </c>
      <c r="B1339" s="13" t="s">
        <v>549</v>
      </c>
      <c r="C1339" s="14" t="s">
        <v>1550</v>
      </c>
      <c r="D1339" s="14" t="s">
        <v>86</v>
      </c>
      <c r="E1339" s="14" t="s">
        <v>87</v>
      </c>
      <c r="F1339" s="14" t="s">
        <v>1542</v>
      </c>
      <c r="G1339" s="14" t="s">
        <v>1207</v>
      </c>
      <c r="H1339" s="4"/>
      <c r="I1339" s="4">
        <f t="shared" si="126"/>
        <v>0</v>
      </c>
      <c r="J1339" s="4"/>
      <c r="K1339" s="4">
        <f t="shared" si="118"/>
        <v>0</v>
      </c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 spans="1:26" ht="15.75" customHeight="1" x14ac:dyDescent="0.2">
      <c r="A1340" s="1">
        <v>207</v>
      </c>
      <c r="B1340" s="13" t="s">
        <v>946</v>
      </c>
      <c r="C1340" s="14" t="s">
        <v>1336</v>
      </c>
      <c r="D1340" s="14" t="s">
        <v>1551</v>
      </c>
      <c r="E1340" s="14" t="s">
        <v>302</v>
      </c>
      <c r="F1340" s="14" t="s">
        <v>1542</v>
      </c>
      <c r="G1340" s="14" t="s">
        <v>1207</v>
      </c>
      <c r="H1340" s="4"/>
      <c r="I1340" s="4">
        <f t="shared" si="126"/>
        <v>0</v>
      </c>
      <c r="J1340" s="4"/>
      <c r="K1340" s="4">
        <f t="shared" si="118"/>
        <v>0</v>
      </c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 spans="1:26" ht="15.75" customHeight="1" x14ac:dyDescent="0.2">
      <c r="A1341" s="1">
        <v>215</v>
      </c>
      <c r="B1341" s="13" t="s">
        <v>946</v>
      </c>
      <c r="C1341" s="14" t="s">
        <v>57</v>
      </c>
      <c r="D1341" s="14" t="s">
        <v>516</v>
      </c>
      <c r="E1341" s="14" t="s">
        <v>306</v>
      </c>
      <c r="F1341" s="14" t="s">
        <v>1542</v>
      </c>
      <c r="G1341" s="14" t="s">
        <v>1207</v>
      </c>
      <c r="H1341" s="4"/>
      <c r="I1341" s="4">
        <f t="shared" si="126"/>
        <v>0</v>
      </c>
      <c r="J1341" s="4"/>
      <c r="K1341" s="4">
        <f t="shared" si="118"/>
        <v>0</v>
      </c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 spans="1:26" ht="15.75" customHeight="1" x14ac:dyDescent="0.2">
      <c r="A1342" s="1">
        <v>233</v>
      </c>
      <c r="B1342" s="13" t="s">
        <v>243</v>
      </c>
      <c r="C1342" s="14" t="s">
        <v>1552</v>
      </c>
      <c r="D1342" s="14" t="s">
        <v>128</v>
      </c>
      <c r="E1342" s="14" t="s">
        <v>40</v>
      </c>
      <c r="F1342" s="14" t="s">
        <v>1542</v>
      </c>
      <c r="G1342" s="14" t="s">
        <v>1207</v>
      </c>
      <c r="H1342" s="4"/>
      <c r="I1342" s="4">
        <f t="shared" si="126"/>
        <v>0</v>
      </c>
      <c r="J1342" s="4"/>
      <c r="K1342" s="4">
        <f t="shared" si="118"/>
        <v>0</v>
      </c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 spans="1:26" ht="15.75" customHeight="1" x14ac:dyDescent="0.2">
      <c r="A1343" s="1">
        <v>235</v>
      </c>
      <c r="B1343" s="13" t="s">
        <v>243</v>
      </c>
      <c r="C1343" s="14" t="s">
        <v>1553</v>
      </c>
      <c r="D1343" s="14" t="s">
        <v>58</v>
      </c>
      <c r="E1343" s="14" t="s">
        <v>1058</v>
      </c>
      <c r="F1343" s="14" t="s">
        <v>1542</v>
      </c>
      <c r="G1343" s="14" t="s">
        <v>1207</v>
      </c>
      <c r="H1343" s="4"/>
      <c r="I1343" s="4">
        <f t="shared" si="126"/>
        <v>0</v>
      </c>
      <c r="J1343" s="4"/>
      <c r="K1343" s="4">
        <f t="shared" si="118"/>
        <v>0</v>
      </c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 spans="1:26" ht="15.75" customHeight="1" x14ac:dyDescent="0.2">
      <c r="A1344" s="1">
        <v>241</v>
      </c>
      <c r="B1344" s="13" t="s">
        <v>243</v>
      </c>
      <c r="C1344" s="14" t="s">
        <v>1554</v>
      </c>
      <c r="D1344" s="14" t="s">
        <v>516</v>
      </c>
      <c r="E1344" s="14" t="s">
        <v>306</v>
      </c>
      <c r="F1344" s="14" t="s">
        <v>1542</v>
      </c>
      <c r="G1344" s="14" t="s">
        <v>1207</v>
      </c>
      <c r="H1344" s="4"/>
      <c r="I1344" s="4">
        <f t="shared" si="126"/>
        <v>0</v>
      </c>
      <c r="J1344" s="4"/>
      <c r="K1344" s="4">
        <f t="shared" si="118"/>
        <v>0</v>
      </c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 spans="1:26" ht="15.75" customHeight="1" x14ac:dyDescent="0.2">
      <c r="A1345" s="1">
        <v>243</v>
      </c>
      <c r="B1345" s="13" t="s">
        <v>243</v>
      </c>
      <c r="C1345" s="14" t="s">
        <v>1555</v>
      </c>
      <c r="D1345" s="14" t="s">
        <v>1556</v>
      </c>
      <c r="E1345" s="14" t="s">
        <v>876</v>
      </c>
      <c r="F1345" s="14" t="s">
        <v>1542</v>
      </c>
      <c r="G1345" s="14" t="s">
        <v>1207</v>
      </c>
      <c r="H1345" s="4"/>
      <c r="I1345" s="4">
        <f t="shared" si="126"/>
        <v>0</v>
      </c>
      <c r="J1345" s="4"/>
      <c r="K1345" s="4">
        <f t="shared" si="118"/>
        <v>0</v>
      </c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 spans="1:26" ht="15.75" customHeight="1" x14ac:dyDescent="0.2">
      <c r="A1346" s="1">
        <v>261</v>
      </c>
      <c r="B1346" s="13" t="s">
        <v>243</v>
      </c>
      <c r="C1346" s="14" t="s">
        <v>1557</v>
      </c>
      <c r="D1346" s="14" t="s">
        <v>643</v>
      </c>
      <c r="E1346" s="14" t="s">
        <v>424</v>
      </c>
      <c r="F1346" s="14" t="s">
        <v>1542</v>
      </c>
      <c r="G1346" s="14" t="s">
        <v>1207</v>
      </c>
      <c r="H1346" s="4"/>
      <c r="I1346" s="4">
        <f t="shared" si="126"/>
        <v>0</v>
      </c>
      <c r="J1346" s="4"/>
      <c r="K1346" s="4">
        <f t="shared" si="118"/>
        <v>0</v>
      </c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 spans="1:26" ht="15.75" customHeight="1" x14ac:dyDescent="0.2">
      <c r="A1347" s="1">
        <v>293</v>
      </c>
      <c r="B1347" s="13" t="s">
        <v>552</v>
      </c>
      <c r="C1347" s="14" t="s">
        <v>1548</v>
      </c>
      <c r="D1347" s="14" t="s">
        <v>407</v>
      </c>
      <c r="E1347" s="14" t="s">
        <v>630</v>
      </c>
      <c r="F1347" s="14" t="s">
        <v>1542</v>
      </c>
      <c r="G1347" s="14" t="s">
        <v>1207</v>
      </c>
      <c r="H1347" s="4"/>
      <c r="I1347" s="4">
        <f t="shared" si="126"/>
        <v>0</v>
      </c>
      <c r="J1347" s="4"/>
      <c r="K1347" s="4">
        <f t="shared" si="118"/>
        <v>0</v>
      </c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 spans="1:26" ht="15.75" customHeight="1" x14ac:dyDescent="0.2">
      <c r="A1348" s="1">
        <v>313</v>
      </c>
      <c r="B1348" s="13" t="s">
        <v>552</v>
      </c>
      <c r="C1348" s="14" t="s">
        <v>1449</v>
      </c>
      <c r="D1348" s="14" t="s">
        <v>1237</v>
      </c>
      <c r="E1348" s="14" t="s">
        <v>70</v>
      </c>
      <c r="F1348" s="14" t="s">
        <v>1542</v>
      </c>
      <c r="G1348" s="14" t="s">
        <v>1207</v>
      </c>
      <c r="H1348" s="4"/>
      <c r="I1348" s="4">
        <f t="shared" si="126"/>
        <v>0</v>
      </c>
      <c r="J1348" s="4"/>
      <c r="K1348" s="4">
        <f t="shared" si="118"/>
        <v>0</v>
      </c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 spans="1:26" ht="15.75" customHeight="1" x14ac:dyDescent="0.2">
      <c r="A1349" s="1">
        <v>317</v>
      </c>
      <c r="B1349" s="13" t="s">
        <v>365</v>
      </c>
      <c r="C1349" s="14" t="s">
        <v>1558</v>
      </c>
      <c r="D1349" s="14" t="s">
        <v>1418</v>
      </c>
      <c r="E1349" s="14" t="s">
        <v>452</v>
      </c>
      <c r="F1349" s="14" t="s">
        <v>1542</v>
      </c>
      <c r="G1349" s="14" t="s">
        <v>1207</v>
      </c>
      <c r="H1349" s="4"/>
      <c r="I1349" s="4">
        <f t="shared" si="126"/>
        <v>0</v>
      </c>
      <c r="J1349" s="4"/>
      <c r="K1349" s="4">
        <f t="shared" si="118"/>
        <v>0</v>
      </c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 spans="1:26" ht="15.75" customHeight="1" x14ac:dyDescent="0.2">
      <c r="A1350" s="1">
        <v>319</v>
      </c>
      <c r="B1350" s="13" t="s">
        <v>365</v>
      </c>
      <c r="C1350" s="14" t="s">
        <v>1559</v>
      </c>
      <c r="D1350" s="14" t="s">
        <v>554</v>
      </c>
      <c r="E1350" s="14" t="s">
        <v>1560</v>
      </c>
      <c r="F1350" s="14" t="s">
        <v>1542</v>
      </c>
      <c r="G1350" s="14" t="s">
        <v>1207</v>
      </c>
      <c r="H1350" s="4"/>
      <c r="I1350" s="4">
        <f t="shared" si="126"/>
        <v>0</v>
      </c>
      <c r="J1350" s="4"/>
      <c r="K1350" s="4">
        <f t="shared" si="118"/>
        <v>0</v>
      </c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 spans="1:26" ht="15.75" customHeight="1" x14ac:dyDescent="0.2">
      <c r="A1351" s="1">
        <v>343</v>
      </c>
      <c r="B1351" s="13" t="s">
        <v>1162</v>
      </c>
      <c r="C1351" s="14" t="s">
        <v>1336</v>
      </c>
      <c r="D1351" s="14" t="s">
        <v>1551</v>
      </c>
      <c r="E1351" s="14" t="s">
        <v>302</v>
      </c>
      <c r="F1351" s="14" t="s">
        <v>1542</v>
      </c>
      <c r="G1351" s="14" t="s">
        <v>1207</v>
      </c>
      <c r="H1351" s="4"/>
      <c r="I1351" s="4">
        <f t="shared" si="126"/>
        <v>0</v>
      </c>
      <c r="J1351" s="4"/>
      <c r="K1351" s="4">
        <f t="shared" si="118"/>
        <v>0</v>
      </c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 spans="1:26" ht="15.75" customHeight="1" x14ac:dyDescent="0.2">
      <c r="A1352" s="1">
        <v>359</v>
      </c>
      <c r="B1352" s="13" t="s">
        <v>246</v>
      </c>
      <c r="C1352" s="14" t="s">
        <v>1561</v>
      </c>
      <c r="D1352" s="14" t="s">
        <v>309</v>
      </c>
      <c r="E1352" s="14" t="s">
        <v>40</v>
      </c>
      <c r="F1352" s="14" t="s">
        <v>1542</v>
      </c>
      <c r="G1352" s="14" t="s">
        <v>1207</v>
      </c>
      <c r="H1352" s="4"/>
      <c r="I1352" s="4">
        <f t="shared" si="126"/>
        <v>0</v>
      </c>
      <c r="J1352" s="4"/>
      <c r="K1352" s="4">
        <f t="shared" si="118"/>
        <v>0</v>
      </c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 spans="1:26" ht="15.75" customHeight="1" x14ac:dyDescent="0.2">
      <c r="A1353" s="1">
        <v>361</v>
      </c>
      <c r="B1353" s="13" t="s">
        <v>246</v>
      </c>
      <c r="C1353" s="14" t="s">
        <v>942</v>
      </c>
      <c r="D1353" s="14" t="s">
        <v>325</v>
      </c>
      <c r="E1353" s="14" t="s">
        <v>337</v>
      </c>
      <c r="F1353" s="14" t="s">
        <v>1542</v>
      </c>
      <c r="G1353" s="14" t="s">
        <v>1207</v>
      </c>
      <c r="H1353" s="4"/>
      <c r="I1353" s="4">
        <f t="shared" si="126"/>
        <v>0</v>
      </c>
      <c r="J1353" s="4"/>
      <c r="K1353" s="4">
        <f t="shared" si="118"/>
        <v>0</v>
      </c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 spans="1:26" ht="15.75" customHeight="1" x14ac:dyDescent="0.2">
      <c r="A1354" s="1">
        <v>419</v>
      </c>
      <c r="B1354" s="13" t="s">
        <v>672</v>
      </c>
      <c r="C1354" s="14" t="s">
        <v>483</v>
      </c>
      <c r="D1354" s="14" t="s">
        <v>313</v>
      </c>
      <c r="E1354" s="14" t="s">
        <v>319</v>
      </c>
      <c r="F1354" s="14" t="s">
        <v>1542</v>
      </c>
      <c r="G1354" s="14" t="s">
        <v>1207</v>
      </c>
      <c r="H1354" s="4"/>
      <c r="I1354" s="4">
        <f t="shared" si="126"/>
        <v>0</v>
      </c>
      <c r="J1354" s="4"/>
      <c r="K1354" s="4">
        <f t="shared" si="118"/>
        <v>0</v>
      </c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 spans="1:26" ht="15.75" customHeight="1" x14ac:dyDescent="0.2">
      <c r="A1355" s="1">
        <v>479</v>
      </c>
      <c r="B1355" s="13" t="s">
        <v>445</v>
      </c>
      <c r="C1355" s="14" t="s">
        <v>483</v>
      </c>
      <c r="D1355" s="14" t="s">
        <v>1562</v>
      </c>
      <c r="E1355" s="14" t="s">
        <v>319</v>
      </c>
      <c r="F1355" s="14" t="s">
        <v>1542</v>
      </c>
      <c r="G1355" s="14" t="s">
        <v>1207</v>
      </c>
      <c r="H1355" s="4"/>
      <c r="I1355" s="4">
        <f t="shared" si="126"/>
        <v>0</v>
      </c>
      <c r="J1355" s="4"/>
      <c r="K1355" s="4">
        <f t="shared" si="118"/>
        <v>0</v>
      </c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 spans="1:26" ht="15.75" customHeight="1" x14ac:dyDescent="0.2">
      <c r="A1356" s="1">
        <v>497</v>
      </c>
      <c r="B1356" s="13" t="s">
        <v>1339</v>
      </c>
      <c r="C1356" s="14" t="s">
        <v>257</v>
      </c>
      <c r="D1356" s="14" t="s">
        <v>388</v>
      </c>
      <c r="E1356" s="14" t="s">
        <v>134</v>
      </c>
      <c r="F1356" s="14" t="s">
        <v>1542</v>
      </c>
      <c r="G1356" s="14" t="s">
        <v>1207</v>
      </c>
      <c r="H1356" s="4"/>
      <c r="I1356" s="4">
        <f t="shared" si="126"/>
        <v>0</v>
      </c>
      <c r="J1356" s="4"/>
      <c r="K1356" s="4">
        <f t="shared" si="118"/>
        <v>0</v>
      </c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 spans="1:26" ht="15.75" customHeight="1" x14ac:dyDescent="0.2">
      <c r="A1357" s="1">
        <v>509</v>
      </c>
      <c r="B1357" s="13" t="s">
        <v>509</v>
      </c>
      <c r="C1357" s="14" t="s">
        <v>1563</v>
      </c>
      <c r="D1357" s="14" t="s">
        <v>376</v>
      </c>
      <c r="E1357" s="14" t="s">
        <v>690</v>
      </c>
      <c r="F1357" s="14" t="s">
        <v>1542</v>
      </c>
      <c r="G1357" s="14" t="s">
        <v>1207</v>
      </c>
      <c r="H1357" s="4"/>
      <c r="I1357" s="4">
        <f t="shared" si="126"/>
        <v>0</v>
      </c>
      <c r="J1357" s="4"/>
      <c r="K1357" s="4">
        <f t="shared" si="118"/>
        <v>0</v>
      </c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 spans="1:26" ht="15.75" customHeight="1" x14ac:dyDescent="0.2">
      <c r="A1358" s="1">
        <v>555</v>
      </c>
      <c r="B1358" s="13" t="s">
        <v>368</v>
      </c>
      <c r="C1358" s="14" t="s">
        <v>1564</v>
      </c>
      <c r="D1358" s="14" t="s">
        <v>1565</v>
      </c>
      <c r="E1358" s="14" t="s">
        <v>1566</v>
      </c>
      <c r="F1358" s="14" t="s">
        <v>1542</v>
      </c>
      <c r="G1358" s="14" t="s">
        <v>1207</v>
      </c>
      <c r="H1358" s="4"/>
      <c r="I1358" s="4">
        <f t="shared" si="126"/>
        <v>0</v>
      </c>
      <c r="J1358" s="4"/>
      <c r="K1358" s="4">
        <f t="shared" si="118"/>
        <v>0</v>
      </c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 spans="1:26" ht="15.75" customHeight="1" x14ac:dyDescent="0.2">
      <c r="A1359" s="1">
        <v>559</v>
      </c>
      <c r="B1359" s="13" t="s">
        <v>368</v>
      </c>
      <c r="C1359" s="14" t="s">
        <v>1444</v>
      </c>
      <c r="D1359" s="14" t="s">
        <v>1068</v>
      </c>
      <c r="E1359" s="14" t="s">
        <v>348</v>
      </c>
      <c r="F1359" s="14" t="s">
        <v>1542</v>
      </c>
      <c r="G1359" s="14" t="s">
        <v>1207</v>
      </c>
      <c r="H1359" s="4"/>
      <c r="I1359" s="4">
        <f t="shared" si="126"/>
        <v>0</v>
      </c>
      <c r="J1359" s="4"/>
      <c r="K1359" s="4">
        <f t="shared" si="118"/>
        <v>0</v>
      </c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 spans="1:26" ht="15.75" customHeight="1" x14ac:dyDescent="0.2">
      <c r="A1360" s="1">
        <v>561</v>
      </c>
      <c r="B1360" s="13" t="s">
        <v>368</v>
      </c>
      <c r="C1360" s="14" t="s">
        <v>257</v>
      </c>
      <c r="D1360" s="14" t="s">
        <v>388</v>
      </c>
      <c r="E1360" s="14" t="s">
        <v>134</v>
      </c>
      <c r="F1360" s="14" t="s">
        <v>1542</v>
      </c>
      <c r="G1360" s="14" t="s">
        <v>1207</v>
      </c>
      <c r="H1360" s="4"/>
      <c r="I1360" s="4">
        <f t="shared" si="126"/>
        <v>0</v>
      </c>
      <c r="J1360" s="4"/>
      <c r="K1360" s="4">
        <f t="shared" si="118"/>
        <v>0</v>
      </c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 spans="1:26" ht="15.75" customHeight="1" x14ac:dyDescent="0.2">
      <c r="A1361" s="1">
        <v>587</v>
      </c>
      <c r="B1361" s="13" t="s">
        <v>428</v>
      </c>
      <c r="C1361" s="14" t="s">
        <v>1567</v>
      </c>
      <c r="D1361" s="14" t="s">
        <v>534</v>
      </c>
      <c r="E1361" s="14" t="s">
        <v>18</v>
      </c>
      <c r="F1361" s="14" t="s">
        <v>1542</v>
      </c>
      <c r="G1361" s="14" t="s">
        <v>1207</v>
      </c>
      <c r="H1361" s="4"/>
      <c r="I1361" s="4">
        <f t="shared" si="126"/>
        <v>0</v>
      </c>
      <c r="J1361" s="4"/>
      <c r="K1361" s="4">
        <f t="shared" si="118"/>
        <v>0</v>
      </c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 spans="1:26" ht="15.75" customHeight="1" x14ac:dyDescent="0.2">
      <c r="A1362" s="1">
        <v>657</v>
      </c>
      <c r="B1362" s="13" t="s">
        <v>252</v>
      </c>
      <c r="C1362" s="14" t="s">
        <v>1564</v>
      </c>
      <c r="D1362" s="14" t="s">
        <v>529</v>
      </c>
      <c r="E1362" s="14" t="s">
        <v>639</v>
      </c>
      <c r="F1362" s="14" t="s">
        <v>1542</v>
      </c>
      <c r="G1362" s="14" t="s">
        <v>1207</v>
      </c>
      <c r="H1362" s="4"/>
      <c r="I1362" s="4">
        <f t="shared" si="126"/>
        <v>0</v>
      </c>
      <c r="J1362" s="4"/>
      <c r="K1362" s="4">
        <f t="shared" si="118"/>
        <v>0</v>
      </c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 spans="1:26" ht="15.75" customHeight="1" x14ac:dyDescent="0.2">
      <c r="A1363" s="1">
        <v>691</v>
      </c>
      <c r="B1363" s="13" t="s">
        <v>1508</v>
      </c>
      <c r="C1363" s="14" t="s">
        <v>1554</v>
      </c>
      <c r="D1363" s="14" t="s">
        <v>516</v>
      </c>
      <c r="E1363" s="14" t="s">
        <v>306</v>
      </c>
      <c r="F1363" s="14" t="s">
        <v>1542</v>
      </c>
      <c r="G1363" s="14" t="s">
        <v>1207</v>
      </c>
      <c r="H1363" s="4"/>
      <c r="I1363" s="4">
        <f t="shared" si="126"/>
        <v>0</v>
      </c>
      <c r="J1363" s="4"/>
      <c r="K1363" s="4">
        <f t="shared" si="118"/>
        <v>0</v>
      </c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 spans="1:26" ht="15.75" customHeight="1" x14ac:dyDescent="0.2">
      <c r="A1364" s="1">
        <v>695</v>
      </c>
      <c r="B1364" s="13" t="s">
        <v>1508</v>
      </c>
      <c r="C1364" s="14" t="s">
        <v>1568</v>
      </c>
      <c r="D1364" s="14" t="s">
        <v>1289</v>
      </c>
      <c r="E1364" s="14" t="s">
        <v>452</v>
      </c>
      <c r="F1364" s="14" t="s">
        <v>1542</v>
      </c>
      <c r="G1364" s="14" t="s">
        <v>1207</v>
      </c>
      <c r="H1364" s="4"/>
      <c r="I1364" s="4">
        <f t="shared" si="126"/>
        <v>0</v>
      </c>
      <c r="J1364" s="4"/>
      <c r="K1364" s="4">
        <f t="shared" si="118"/>
        <v>0</v>
      </c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 spans="1:26" ht="15.75" customHeight="1" x14ac:dyDescent="0.2">
      <c r="A1365" s="1">
        <v>705</v>
      </c>
      <c r="B1365" s="13" t="s">
        <v>1569</v>
      </c>
      <c r="C1365" s="14" t="s">
        <v>1570</v>
      </c>
      <c r="D1365" s="14" t="s">
        <v>1239</v>
      </c>
      <c r="E1365" s="14" t="s">
        <v>1571</v>
      </c>
      <c r="F1365" s="14" t="s">
        <v>1542</v>
      </c>
      <c r="G1365" s="14" t="s">
        <v>1207</v>
      </c>
      <c r="H1365" s="4"/>
      <c r="I1365" s="4">
        <f t="shared" si="126"/>
        <v>0</v>
      </c>
      <c r="J1365" s="4"/>
      <c r="K1365" s="4">
        <f t="shared" si="118"/>
        <v>0</v>
      </c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 spans="1:26" ht="15.75" customHeight="1" x14ac:dyDescent="0.2">
      <c r="A1366" s="1">
        <v>707</v>
      </c>
      <c r="B1366" s="13" t="s">
        <v>1569</v>
      </c>
      <c r="C1366" s="14" t="s">
        <v>1568</v>
      </c>
      <c r="D1366" s="14" t="s">
        <v>1289</v>
      </c>
      <c r="E1366" s="14" t="s">
        <v>452</v>
      </c>
      <c r="F1366" s="14" t="s">
        <v>1542</v>
      </c>
      <c r="G1366" s="14" t="s">
        <v>1207</v>
      </c>
      <c r="H1366" s="4"/>
      <c r="I1366" s="4">
        <f t="shared" si="126"/>
        <v>0</v>
      </c>
      <c r="J1366" s="4"/>
      <c r="K1366" s="4">
        <f t="shared" si="118"/>
        <v>0</v>
      </c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 spans="1:26" ht="15.75" customHeight="1" x14ac:dyDescent="0.2">
      <c r="A1367" s="1">
        <v>719</v>
      </c>
      <c r="B1367" s="13" t="s">
        <v>1407</v>
      </c>
      <c r="C1367" s="14" t="s">
        <v>1572</v>
      </c>
      <c r="D1367" s="14" t="s">
        <v>1573</v>
      </c>
      <c r="E1367" s="14" t="s">
        <v>348</v>
      </c>
      <c r="F1367" s="14" t="s">
        <v>1542</v>
      </c>
      <c r="G1367" s="14" t="s">
        <v>1207</v>
      </c>
      <c r="H1367" s="4"/>
      <c r="I1367" s="4">
        <f t="shared" si="126"/>
        <v>0</v>
      </c>
      <c r="J1367" s="4"/>
      <c r="K1367" s="4">
        <f t="shared" si="118"/>
        <v>0</v>
      </c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 spans="1:26" ht="15.75" customHeight="1" x14ac:dyDescent="0.2">
      <c r="A1368" s="1">
        <v>733</v>
      </c>
      <c r="B1368" s="13" t="s">
        <v>686</v>
      </c>
      <c r="C1368" s="14" t="s">
        <v>1574</v>
      </c>
      <c r="D1368" s="14" t="s">
        <v>1171</v>
      </c>
      <c r="E1368" s="14" t="s">
        <v>1575</v>
      </c>
      <c r="F1368" s="14" t="s">
        <v>1542</v>
      </c>
      <c r="G1368" s="14" t="s">
        <v>1207</v>
      </c>
      <c r="H1368" s="4"/>
      <c r="I1368" s="4">
        <f t="shared" si="126"/>
        <v>0</v>
      </c>
      <c r="J1368" s="4"/>
      <c r="K1368" s="4">
        <f t="shared" si="118"/>
        <v>0</v>
      </c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 spans="1:26" ht="15.75" customHeight="1" x14ac:dyDescent="0.2">
      <c r="A1369" s="1">
        <v>739</v>
      </c>
      <c r="B1369" s="13" t="s">
        <v>686</v>
      </c>
      <c r="C1369" s="14" t="s">
        <v>1572</v>
      </c>
      <c r="D1369" s="14" t="s">
        <v>1573</v>
      </c>
      <c r="E1369" s="14" t="s">
        <v>348</v>
      </c>
      <c r="F1369" s="14" t="s">
        <v>1542</v>
      </c>
      <c r="G1369" s="14" t="s">
        <v>1207</v>
      </c>
      <c r="H1369" s="4"/>
      <c r="I1369" s="4">
        <f t="shared" si="126"/>
        <v>0</v>
      </c>
      <c r="J1369" s="4"/>
      <c r="K1369" s="4">
        <f t="shared" si="118"/>
        <v>0</v>
      </c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 spans="1:26" ht="15.75" customHeight="1" x14ac:dyDescent="0.2">
      <c r="A1370" s="1">
        <v>745</v>
      </c>
      <c r="B1370" s="13" t="s">
        <v>687</v>
      </c>
      <c r="C1370" s="14" t="s">
        <v>1567</v>
      </c>
      <c r="D1370" s="14" t="s">
        <v>534</v>
      </c>
      <c r="E1370" s="14" t="s">
        <v>18</v>
      </c>
      <c r="F1370" s="14" t="s">
        <v>1542</v>
      </c>
      <c r="G1370" s="14" t="s">
        <v>1207</v>
      </c>
      <c r="H1370" s="4"/>
      <c r="I1370" s="4">
        <f t="shared" si="126"/>
        <v>0</v>
      </c>
      <c r="J1370" s="4"/>
      <c r="K1370" s="4">
        <f t="shared" si="118"/>
        <v>0</v>
      </c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 spans="1:26" ht="15.75" customHeight="1" x14ac:dyDescent="0.2">
      <c r="A1371" s="1">
        <v>891</v>
      </c>
      <c r="B1371" s="13" t="s">
        <v>634</v>
      </c>
      <c r="C1371" s="14" t="s">
        <v>1576</v>
      </c>
      <c r="D1371" s="14" t="s">
        <v>21</v>
      </c>
      <c r="E1371" s="14" t="s">
        <v>40</v>
      </c>
      <c r="F1371" s="14" t="s">
        <v>1542</v>
      </c>
      <c r="G1371" s="14" t="s">
        <v>1207</v>
      </c>
      <c r="H1371" s="4"/>
      <c r="I1371" s="4">
        <f t="shared" si="126"/>
        <v>0</v>
      </c>
      <c r="J1371" s="4"/>
      <c r="K1371" s="4">
        <f t="shared" si="118"/>
        <v>0</v>
      </c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 spans="1:26" ht="15.75" customHeight="1" x14ac:dyDescent="0.2">
      <c r="A1372" s="1">
        <v>927</v>
      </c>
      <c r="B1372" s="13" t="s">
        <v>709</v>
      </c>
      <c r="C1372" s="14" t="s">
        <v>1449</v>
      </c>
      <c r="D1372" s="14" t="s">
        <v>396</v>
      </c>
      <c r="E1372" s="14" t="s">
        <v>70</v>
      </c>
      <c r="F1372" s="14" t="s">
        <v>1542</v>
      </c>
      <c r="G1372" s="14" t="s">
        <v>1207</v>
      </c>
      <c r="H1372" s="4"/>
      <c r="I1372" s="4">
        <f t="shared" si="126"/>
        <v>0</v>
      </c>
      <c r="J1372" s="4"/>
      <c r="K1372" s="4">
        <f t="shared" si="118"/>
        <v>0</v>
      </c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 spans="1:26" ht="15.75" customHeight="1" x14ac:dyDescent="0.2">
      <c r="A1373" s="1">
        <v>1017</v>
      </c>
      <c r="B1373" s="13" t="s">
        <v>1076</v>
      </c>
      <c r="C1373" s="14" t="s">
        <v>1577</v>
      </c>
      <c r="D1373" s="14" t="s">
        <v>75</v>
      </c>
      <c r="E1373" s="14" t="s">
        <v>1485</v>
      </c>
      <c r="F1373" s="14" t="s">
        <v>1542</v>
      </c>
      <c r="G1373" s="14" t="s">
        <v>1207</v>
      </c>
      <c r="H1373" s="4"/>
      <c r="I1373" s="4">
        <f t="shared" si="126"/>
        <v>0</v>
      </c>
      <c r="J1373" s="4"/>
      <c r="K1373" s="4">
        <f t="shared" si="118"/>
        <v>0</v>
      </c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 spans="1:26" ht="15.75" customHeight="1" x14ac:dyDescent="0.2">
      <c r="A1374" s="1">
        <v>1085</v>
      </c>
      <c r="B1374" s="13" t="s">
        <v>710</v>
      </c>
      <c r="C1374" s="14" t="s">
        <v>584</v>
      </c>
      <c r="D1374" s="14" t="s">
        <v>491</v>
      </c>
      <c r="E1374" s="14" t="s">
        <v>384</v>
      </c>
      <c r="F1374" s="14" t="s">
        <v>1542</v>
      </c>
      <c r="G1374" s="14" t="s">
        <v>1207</v>
      </c>
      <c r="H1374" s="4"/>
      <c r="I1374" s="4">
        <f t="shared" si="126"/>
        <v>0</v>
      </c>
      <c r="J1374" s="4"/>
      <c r="K1374" s="4">
        <f t="shared" si="118"/>
        <v>0</v>
      </c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 spans="1:26" ht="15.75" customHeight="1" x14ac:dyDescent="0.2">
      <c r="A1375" s="1">
        <v>1143</v>
      </c>
      <c r="B1375" s="13" t="s">
        <v>433</v>
      </c>
      <c r="C1375" s="14" t="s">
        <v>483</v>
      </c>
      <c r="D1375" s="14" t="s">
        <v>1562</v>
      </c>
      <c r="E1375" s="14" t="s">
        <v>319</v>
      </c>
      <c r="F1375" s="14" t="s">
        <v>1542</v>
      </c>
      <c r="G1375" s="14" t="s">
        <v>1207</v>
      </c>
      <c r="H1375" s="4"/>
      <c r="I1375" s="4">
        <f t="shared" si="126"/>
        <v>0</v>
      </c>
      <c r="J1375" s="4"/>
      <c r="K1375" s="4">
        <f t="shared" si="118"/>
        <v>0</v>
      </c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 spans="1:26" ht="15.75" customHeight="1" x14ac:dyDescent="0.2">
      <c r="A1376" s="1">
        <v>1199</v>
      </c>
      <c r="B1376" s="13" t="s">
        <v>1364</v>
      </c>
      <c r="C1376" s="14" t="s">
        <v>1553</v>
      </c>
      <c r="D1376" s="14" t="s">
        <v>58</v>
      </c>
      <c r="E1376" s="14" t="s">
        <v>1058</v>
      </c>
      <c r="F1376" s="14" t="s">
        <v>1542</v>
      </c>
      <c r="G1376" s="14" t="s">
        <v>1207</v>
      </c>
      <c r="H1376" s="4"/>
      <c r="I1376" s="4">
        <f t="shared" si="126"/>
        <v>0</v>
      </c>
      <c r="J1376" s="4"/>
      <c r="K1376" s="4">
        <f t="shared" si="118"/>
        <v>0</v>
      </c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 spans="1:26" ht="15.75" customHeight="1" x14ac:dyDescent="0.2">
      <c r="A1377" s="1">
        <v>1207</v>
      </c>
      <c r="B1377" s="13" t="s">
        <v>1364</v>
      </c>
      <c r="C1377" s="14" t="s">
        <v>1554</v>
      </c>
      <c r="D1377" s="14" t="s">
        <v>516</v>
      </c>
      <c r="E1377" s="14" t="s">
        <v>306</v>
      </c>
      <c r="F1377" s="14" t="s">
        <v>1542</v>
      </c>
      <c r="G1377" s="14" t="s">
        <v>1207</v>
      </c>
      <c r="H1377" s="4"/>
      <c r="I1377" s="4">
        <f t="shared" si="126"/>
        <v>0</v>
      </c>
      <c r="J1377" s="4"/>
      <c r="K1377" s="4">
        <f t="shared" si="118"/>
        <v>0</v>
      </c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 spans="1:26" ht="15.75" customHeight="1" x14ac:dyDescent="0.2">
      <c r="A1378" s="1">
        <v>1211</v>
      </c>
      <c r="B1378" s="13" t="s">
        <v>1364</v>
      </c>
      <c r="C1378" s="14" t="s">
        <v>1555</v>
      </c>
      <c r="D1378" s="14" t="s">
        <v>1556</v>
      </c>
      <c r="E1378" s="14" t="s">
        <v>876</v>
      </c>
      <c r="F1378" s="14" t="s">
        <v>1542</v>
      </c>
      <c r="G1378" s="14" t="s">
        <v>1207</v>
      </c>
      <c r="H1378" s="4"/>
      <c r="I1378" s="4">
        <f t="shared" si="126"/>
        <v>0</v>
      </c>
      <c r="J1378" s="4"/>
      <c r="K1378" s="4">
        <f t="shared" si="118"/>
        <v>0</v>
      </c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 spans="1:26" ht="15.75" customHeight="1" x14ac:dyDescent="0.2">
      <c r="A1379" s="1">
        <v>1223</v>
      </c>
      <c r="B1379" s="13" t="s">
        <v>699</v>
      </c>
      <c r="C1379" s="14" t="s">
        <v>1552</v>
      </c>
      <c r="D1379" s="14" t="s">
        <v>128</v>
      </c>
      <c r="E1379" s="14" t="s">
        <v>40</v>
      </c>
      <c r="F1379" s="14" t="s">
        <v>1542</v>
      </c>
      <c r="G1379" s="14" t="s">
        <v>1207</v>
      </c>
      <c r="H1379" s="4"/>
      <c r="I1379" s="4">
        <f t="shared" si="126"/>
        <v>0</v>
      </c>
      <c r="J1379" s="4"/>
      <c r="K1379" s="4">
        <f t="shared" si="118"/>
        <v>0</v>
      </c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 spans="1:26" ht="15.75" customHeight="1" x14ac:dyDescent="0.2">
      <c r="A1380" s="1">
        <v>1253</v>
      </c>
      <c r="B1380" s="13" t="s">
        <v>699</v>
      </c>
      <c r="C1380" s="14" t="s">
        <v>1578</v>
      </c>
      <c r="D1380" s="14" t="s">
        <v>643</v>
      </c>
      <c r="E1380" s="14" t="s">
        <v>32</v>
      </c>
      <c r="F1380" s="14" t="s">
        <v>1542</v>
      </c>
      <c r="G1380" s="14" t="s">
        <v>1207</v>
      </c>
      <c r="H1380" s="4"/>
      <c r="I1380" s="4">
        <f t="shared" si="126"/>
        <v>0</v>
      </c>
      <c r="J1380" s="4"/>
      <c r="K1380" s="4">
        <f t="shared" si="118"/>
        <v>0</v>
      </c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 spans="1:26" ht="15.75" customHeight="1" x14ac:dyDescent="0.2">
      <c r="A1381" s="1">
        <v>1285</v>
      </c>
      <c r="B1381" s="13" t="s">
        <v>453</v>
      </c>
      <c r="C1381" s="14" t="s">
        <v>1579</v>
      </c>
      <c r="D1381" s="14" t="s">
        <v>128</v>
      </c>
      <c r="E1381" s="14" t="s">
        <v>70</v>
      </c>
      <c r="F1381" s="14" t="s">
        <v>1542</v>
      </c>
      <c r="G1381" s="14" t="s">
        <v>1207</v>
      </c>
      <c r="H1381" s="4"/>
      <c r="I1381" s="4">
        <f t="shared" si="126"/>
        <v>0</v>
      </c>
      <c r="J1381" s="4"/>
      <c r="K1381" s="4">
        <f t="shared" si="118"/>
        <v>0</v>
      </c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 spans="1:26" ht="15.75" customHeight="1" x14ac:dyDescent="0.2">
      <c r="A1382" s="1">
        <v>1299</v>
      </c>
      <c r="B1382" s="13" t="s">
        <v>936</v>
      </c>
      <c r="C1382" s="14" t="s">
        <v>1580</v>
      </c>
      <c r="D1382" s="14" t="s">
        <v>1581</v>
      </c>
      <c r="E1382" s="14" t="s">
        <v>1281</v>
      </c>
      <c r="F1382" s="14" t="s">
        <v>1542</v>
      </c>
      <c r="G1382" s="14" t="s">
        <v>1207</v>
      </c>
      <c r="H1382" s="4"/>
      <c r="I1382" s="4">
        <f t="shared" si="126"/>
        <v>0</v>
      </c>
      <c r="J1382" s="4"/>
      <c r="K1382" s="4">
        <f t="shared" si="118"/>
        <v>0</v>
      </c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 spans="1:26" ht="15.75" customHeight="1" x14ac:dyDescent="0.2">
      <c r="A1383" s="1">
        <v>1379</v>
      </c>
      <c r="B1383" s="13" t="s">
        <v>601</v>
      </c>
      <c r="C1383" s="14" t="s">
        <v>1576</v>
      </c>
      <c r="D1383" s="14" t="s">
        <v>124</v>
      </c>
      <c r="E1383" s="14" t="s">
        <v>40</v>
      </c>
      <c r="F1383" s="14" t="s">
        <v>1542</v>
      </c>
      <c r="G1383" s="14" t="s">
        <v>1207</v>
      </c>
      <c r="H1383" s="4"/>
      <c r="I1383" s="4">
        <f t="shared" si="126"/>
        <v>0</v>
      </c>
      <c r="J1383" s="4"/>
      <c r="K1383" s="4">
        <f t="shared" si="118"/>
        <v>0</v>
      </c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 spans="1:26" ht="15.75" customHeight="1" x14ac:dyDescent="0.2">
      <c r="A1384" s="1">
        <v>1383</v>
      </c>
      <c r="B1384" s="13" t="s">
        <v>601</v>
      </c>
      <c r="C1384" s="14" t="s">
        <v>1449</v>
      </c>
      <c r="D1384" s="14" t="s">
        <v>1237</v>
      </c>
      <c r="E1384" s="14" t="s">
        <v>70</v>
      </c>
      <c r="F1384" s="14" t="s">
        <v>1542</v>
      </c>
      <c r="G1384" s="14" t="s">
        <v>1207</v>
      </c>
      <c r="H1384" s="4"/>
      <c r="I1384" s="4">
        <f t="shared" si="126"/>
        <v>0</v>
      </c>
      <c r="J1384" s="4"/>
      <c r="K1384" s="4">
        <f t="shared" si="118"/>
        <v>0</v>
      </c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 spans="1:26" ht="15.75" customHeight="1" x14ac:dyDescent="0.2">
      <c r="A1385" s="1">
        <v>1435</v>
      </c>
      <c r="B1385" s="13" t="s">
        <v>261</v>
      </c>
      <c r="C1385" s="14" t="s">
        <v>1561</v>
      </c>
      <c r="D1385" s="14" t="s">
        <v>309</v>
      </c>
      <c r="E1385" s="14" t="s">
        <v>40</v>
      </c>
      <c r="F1385" s="14" t="s">
        <v>1542</v>
      </c>
      <c r="G1385" s="14" t="s">
        <v>1207</v>
      </c>
      <c r="H1385" s="4"/>
      <c r="I1385" s="4">
        <f t="shared" si="126"/>
        <v>0</v>
      </c>
      <c r="J1385" s="4"/>
      <c r="K1385" s="4">
        <f t="shared" si="118"/>
        <v>0</v>
      </c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 spans="1:26" ht="15.75" customHeight="1" x14ac:dyDescent="0.2">
      <c r="A1386" s="1">
        <v>1461</v>
      </c>
      <c r="B1386" s="13" t="s">
        <v>261</v>
      </c>
      <c r="C1386" s="14" t="s">
        <v>1582</v>
      </c>
      <c r="D1386" s="14" t="s">
        <v>75</v>
      </c>
      <c r="E1386" s="14" t="s">
        <v>87</v>
      </c>
      <c r="F1386" s="14" t="s">
        <v>1542</v>
      </c>
      <c r="G1386" s="14" t="s">
        <v>1207</v>
      </c>
      <c r="H1386" s="4"/>
      <c r="I1386" s="4">
        <f t="shared" si="126"/>
        <v>0</v>
      </c>
      <c r="J1386" s="4"/>
      <c r="K1386" s="4">
        <f t="shared" si="118"/>
        <v>0</v>
      </c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 spans="1:26" ht="15.75" customHeight="1" x14ac:dyDescent="0.2">
      <c r="A1387" s="1">
        <v>1525</v>
      </c>
      <c r="B1387" s="13" t="s">
        <v>263</v>
      </c>
      <c r="C1387" s="14" t="s">
        <v>1564</v>
      </c>
      <c r="D1387" s="14" t="s">
        <v>529</v>
      </c>
      <c r="E1387" s="14" t="s">
        <v>639</v>
      </c>
      <c r="F1387" s="14" t="s">
        <v>1542</v>
      </c>
      <c r="G1387" s="14" t="s">
        <v>1207</v>
      </c>
      <c r="H1387" s="4"/>
      <c r="I1387" s="4">
        <f t="shared" si="126"/>
        <v>0</v>
      </c>
      <c r="J1387" s="4"/>
      <c r="K1387" s="4">
        <f t="shared" si="118"/>
        <v>0</v>
      </c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 spans="1:26" ht="15.75" customHeight="1" x14ac:dyDescent="0.2">
      <c r="A1388" s="1">
        <v>1533</v>
      </c>
      <c r="B1388" s="13" t="s">
        <v>263</v>
      </c>
      <c r="C1388" s="14" t="s">
        <v>1583</v>
      </c>
      <c r="D1388" s="14" t="s">
        <v>426</v>
      </c>
      <c r="E1388" s="14" t="s">
        <v>91</v>
      </c>
      <c r="F1388" s="14" t="s">
        <v>1542</v>
      </c>
      <c r="G1388" s="14" t="s">
        <v>1207</v>
      </c>
      <c r="H1388" s="4"/>
      <c r="I1388" s="4">
        <f t="shared" si="126"/>
        <v>0</v>
      </c>
      <c r="J1388" s="4"/>
      <c r="K1388" s="4">
        <f t="shared" si="118"/>
        <v>0</v>
      </c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 spans="1:26" ht="15.75" customHeight="1" x14ac:dyDescent="0.2">
      <c r="A1389" s="1">
        <v>1679</v>
      </c>
      <c r="B1389" s="13" t="s">
        <v>270</v>
      </c>
      <c r="C1389" s="14" t="s">
        <v>1326</v>
      </c>
      <c r="D1389" s="14" t="s">
        <v>396</v>
      </c>
      <c r="E1389" s="14" t="s">
        <v>1330</v>
      </c>
      <c r="F1389" s="14" t="s">
        <v>1542</v>
      </c>
      <c r="G1389" s="14" t="s">
        <v>1207</v>
      </c>
      <c r="H1389" s="4"/>
      <c r="I1389" s="4">
        <f t="shared" si="126"/>
        <v>0</v>
      </c>
      <c r="J1389" s="4"/>
      <c r="K1389" s="4">
        <f t="shared" si="118"/>
        <v>0</v>
      </c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 spans="1:26" ht="15.75" customHeight="1" x14ac:dyDescent="0.2">
      <c r="A1390" s="1">
        <v>1717</v>
      </c>
      <c r="B1390" s="13" t="s">
        <v>465</v>
      </c>
      <c r="C1390" s="14" t="s">
        <v>1552</v>
      </c>
      <c r="D1390" s="14" t="s">
        <v>128</v>
      </c>
      <c r="E1390" s="14" t="s">
        <v>40</v>
      </c>
      <c r="F1390" s="14" t="s">
        <v>1542</v>
      </c>
      <c r="G1390" s="14" t="s">
        <v>1207</v>
      </c>
      <c r="H1390" s="4"/>
      <c r="I1390" s="4">
        <f t="shared" si="126"/>
        <v>0</v>
      </c>
      <c r="J1390" s="4"/>
      <c r="K1390" s="4">
        <f t="shared" si="118"/>
        <v>0</v>
      </c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 spans="1:26" ht="15.75" customHeight="1" x14ac:dyDescent="0.2">
      <c r="A1391" s="1">
        <v>1719</v>
      </c>
      <c r="B1391" s="13" t="s">
        <v>465</v>
      </c>
      <c r="C1391" s="14" t="s">
        <v>1554</v>
      </c>
      <c r="D1391" s="14" t="s">
        <v>516</v>
      </c>
      <c r="E1391" s="14" t="s">
        <v>306</v>
      </c>
      <c r="F1391" s="14" t="s">
        <v>1542</v>
      </c>
      <c r="G1391" s="14" t="s">
        <v>1207</v>
      </c>
      <c r="H1391" s="4"/>
      <c r="I1391" s="4">
        <f t="shared" si="126"/>
        <v>0</v>
      </c>
      <c r="J1391" s="4"/>
      <c r="K1391" s="4">
        <f t="shared" si="118"/>
        <v>0</v>
      </c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 spans="1:26" ht="15.75" customHeight="1" x14ac:dyDescent="0.2">
      <c r="A1392" s="1">
        <v>1721</v>
      </c>
      <c r="B1392" s="13" t="s">
        <v>465</v>
      </c>
      <c r="C1392" s="14" t="s">
        <v>1555</v>
      </c>
      <c r="D1392" s="14" t="s">
        <v>1556</v>
      </c>
      <c r="E1392" s="14" t="s">
        <v>876</v>
      </c>
      <c r="F1392" s="14" t="s">
        <v>1542</v>
      </c>
      <c r="G1392" s="14" t="s">
        <v>1207</v>
      </c>
      <c r="H1392" s="4"/>
      <c r="I1392" s="4">
        <f t="shared" si="126"/>
        <v>0</v>
      </c>
      <c r="J1392" s="4"/>
      <c r="K1392" s="4">
        <f t="shared" si="118"/>
        <v>0</v>
      </c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 spans="1:26" ht="15.75" customHeight="1" x14ac:dyDescent="0.2">
      <c r="A1393" s="1">
        <v>1741</v>
      </c>
      <c r="B1393" s="13" t="s">
        <v>465</v>
      </c>
      <c r="C1393" s="14" t="s">
        <v>1577</v>
      </c>
      <c r="D1393" s="14" t="s">
        <v>75</v>
      </c>
      <c r="E1393" s="14" t="s">
        <v>1485</v>
      </c>
      <c r="F1393" s="14" t="s">
        <v>1542</v>
      </c>
      <c r="G1393" s="14" t="s">
        <v>1207</v>
      </c>
      <c r="H1393" s="4"/>
      <c r="I1393" s="4">
        <f t="shared" si="126"/>
        <v>0</v>
      </c>
      <c r="J1393" s="4"/>
      <c r="K1393" s="4">
        <f t="shared" si="118"/>
        <v>0</v>
      </c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 spans="1:26" ht="15.75" customHeight="1" x14ac:dyDescent="0.2">
      <c r="A1394" s="1">
        <v>1769</v>
      </c>
      <c r="B1394" s="13" t="s">
        <v>442</v>
      </c>
      <c r="C1394" s="14" t="s">
        <v>584</v>
      </c>
      <c r="D1394" s="14" t="s">
        <v>491</v>
      </c>
      <c r="E1394" s="14" t="s">
        <v>384</v>
      </c>
      <c r="F1394" s="14" t="s">
        <v>1542</v>
      </c>
      <c r="G1394" s="14" t="s">
        <v>1207</v>
      </c>
      <c r="H1394" s="4"/>
      <c r="I1394" s="4">
        <f t="shared" si="126"/>
        <v>0</v>
      </c>
      <c r="J1394" s="4"/>
      <c r="K1394" s="4">
        <f t="shared" si="118"/>
        <v>0</v>
      </c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 spans="1:26" ht="15.75" customHeight="1" x14ac:dyDescent="0.2">
      <c r="A1395" s="1">
        <v>1795</v>
      </c>
      <c r="B1395" s="13" t="s">
        <v>276</v>
      </c>
      <c r="C1395" s="14" t="s">
        <v>1580</v>
      </c>
      <c r="D1395" s="14" t="s">
        <v>1581</v>
      </c>
      <c r="E1395" s="14" t="s">
        <v>1281</v>
      </c>
      <c r="F1395" s="14" t="s">
        <v>1542</v>
      </c>
      <c r="G1395" s="14" t="s">
        <v>1207</v>
      </c>
      <c r="H1395" s="4"/>
      <c r="I1395" s="4">
        <f t="shared" si="126"/>
        <v>0</v>
      </c>
      <c r="J1395" s="4"/>
      <c r="K1395" s="4">
        <f t="shared" si="118"/>
        <v>0</v>
      </c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 spans="1:26" ht="15.75" customHeight="1" x14ac:dyDescent="0.2">
      <c r="A1396" s="1">
        <v>1847</v>
      </c>
      <c r="B1396" s="13" t="s">
        <v>604</v>
      </c>
      <c r="C1396" s="14" t="s">
        <v>1584</v>
      </c>
      <c r="D1396" s="14" t="s">
        <v>78</v>
      </c>
      <c r="E1396" s="14" t="s">
        <v>273</v>
      </c>
      <c r="F1396" s="14" t="s">
        <v>1542</v>
      </c>
      <c r="G1396" s="14" t="s">
        <v>1207</v>
      </c>
      <c r="H1396" s="4"/>
      <c r="I1396" s="4">
        <f t="shared" si="126"/>
        <v>0</v>
      </c>
      <c r="J1396" s="4"/>
      <c r="K1396" s="4">
        <f t="shared" si="118"/>
        <v>0</v>
      </c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 spans="1:26" ht="15.75" customHeight="1" x14ac:dyDescent="0.2">
      <c r="A1397" s="1">
        <v>1883</v>
      </c>
      <c r="B1397" s="13" t="s">
        <v>711</v>
      </c>
      <c r="C1397" s="14" t="s">
        <v>1576</v>
      </c>
      <c r="D1397" s="14" t="s">
        <v>124</v>
      </c>
      <c r="E1397" s="14" t="s">
        <v>40</v>
      </c>
      <c r="F1397" s="14" t="s">
        <v>1542</v>
      </c>
      <c r="G1397" s="14" t="s">
        <v>1207</v>
      </c>
      <c r="H1397" s="4"/>
      <c r="I1397" s="4">
        <f t="shared" si="126"/>
        <v>0</v>
      </c>
      <c r="J1397" s="4"/>
      <c r="K1397" s="4">
        <f t="shared" si="118"/>
        <v>0</v>
      </c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 spans="1:26" ht="15.75" customHeight="1" x14ac:dyDescent="0.2">
      <c r="A1398" s="1">
        <v>1907</v>
      </c>
      <c r="B1398" s="13" t="s">
        <v>277</v>
      </c>
      <c r="C1398" s="14" t="s">
        <v>1582</v>
      </c>
      <c r="D1398" s="14" t="s">
        <v>75</v>
      </c>
      <c r="E1398" s="14" t="s">
        <v>87</v>
      </c>
      <c r="F1398" s="14" t="s">
        <v>1542</v>
      </c>
      <c r="G1398" s="14" t="s">
        <v>1207</v>
      </c>
      <c r="H1398" s="4"/>
      <c r="I1398" s="4">
        <f t="shared" si="126"/>
        <v>0</v>
      </c>
      <c r="J1398" s="4"/>
      <c r="K1398" s="4">
        <f t="shared" si="118"/>
        <v>0</v>
      </c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 spans="1:26" ht="15.75" customHeight="1" x14ac:dyDescent="0.2">
      <c r="A1399" s="1">
        <v>1917</v>
      </c>
      <c r="B1399" s="13" t="s">
        <v>278</v>
      </c>
      <c r="C1399" s="14" t="s">
        <v>1561</v>
      </c>
      <c r="D1399" s="14" t="s">
        <v>309</v>
      </c>
      <c r="E1399" s="14" t="s">
        <v>40</v>
      </c>
      <c r="F1399" s="14" t="s">
        <v>1542</v>
      </c>
      <c r="G1399" s="14" t="s">
        <v>1207</v>
      </c>
      <c r="H1399" s="4"/>
      <c r="I1399" s="4">
        <f t="shared" si="126"/>
        <v>0</v>
      </c>
      <c r="J1399" s="4"/>
      <c r="K1399" s="4">
        <f t="shared" si="118"/>
        <v>0</v>
      </c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 spans="1:26" ht="15.75" customHeight="1" x14ac:dyDescent="0.2">
      <c r="A1400" s="1">
        <v>1927</v>
      </c>
      <c r="B1400" s="13" t="s">
        <v>278</v>
      </c>
      <c r="C1400" s="14" t="s">
        <v>1585</v>
      </c>
      <c r="D1400" s="14" t="s">
        <v>124</v>
      </c>
      <c r="E1400" s="14" t="s">
        <v>1586</v>
      </c>
      <c r="F1400" s="14" t="s">
        <v>1542</v>
      </c>
      <c r="G1400" s="14" t="s">
        <v>1207</v>
      </c>
      <c r="H1400" s="4"/>
      <c r="I1400" s="4">
        <f t="shared" si="126"/>
        <v>0</v>
      </c>
      <c r="J1400" s="4"/>
      <c r="K1400" s="4">
        <f t="shared" si="118"/>
        <v>0</v>
      </c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 spans="1:26" ht="15.75" customHeight="1" x14ac:dyDescent="0.2">
      <c r="A1401" s="1">
        <v>1939</v>
      </c>
      <c r="B1401" s="13" t="s">
        <v>278</v>
      </c>
      <c r="C1401" s="14" t="s">
        <v>1326</v>
      </c>
      <c r="D1401" s="14" t="s">
        <v>396</v>
      </c>
      <c r="E1401" s="14" t="s">
        <v>1330</v>
      </c>
      <c r="F1401" s="14" t="s">
        <v>1542</v>
      </c>
      <c r="G1401" s="14" t="s">
        <v>1207</v>
      </c>
      <c r="H1401" s="4"/>
      <c r="I1401" s="4">
        <f t="shared" si="126"/>
        <v>0</v>
      </c>
      <c r="J1401" s="4"/>
      <c r="K1401" s="4">
        <f t="shared" si="118"/>
        <v>0</v>
      </c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 spans="1:26" ht="15.75" customHeight="1" x14ac:dyDescent="0.2">
      <c r="A1402" s="1">
        <v>1977</v>
      </c>
      <c r="B1402" s="13" t="s">
        <v>279</v>
      </c>
      <c r="C1402" s="14" t="s">
        <v>1583</v>
      </c>
      <c r="D1402" s="14" t="s">
        <v>426</v>
      </c>
      <c r="E1402" s="14" t="s">
        <v>91</v>
      </c>
      <c r="F1402" s="14" t="s">
        <v>1542</v>
      </c>
      <c r="G1402" s="14" t="s">
        <v>1207</v>
      </c>
      <c r="H1402" s="4"/>
      <c r="I1402" s="4">
        <f t="shared" si="126"/>
        <v>0</v>
      </c>
      <c r="J1402" s="4"/>
      <c r="K1402" s="4">
        <f t="shared" si="118"/>
        <v>0</v>
      </c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 spans="1:26" ht="15.75" customHeight="1" x14ac:dyDescent="0.2">
      <c r="A1403" s="1">
        <v>2003</v>
      </c>
      <c r="B1403" s="13" t="s">
        <v>701</v>
      </c>
      <c r="C1403" s="14" t="s">
        <v>1449</v>
      </c>
      <c r="D1403" s="14" t="s">
        <v>396</v>
      </c>
      <c r="E1403" s="14" t="s">
        <v>70</v>
      </c>
      <c r="F1403" s="14" t="s">
        <v>1542</v>
      </c>
      <c r="G1403" s="14" t="s">
        <v>1207</v>
      </c>
      <c r="H1403" s="4"/>
      <c r="I1403" s="4">
        <f t="shared" si="126"/>
        <v>0</v>
      </c>
      <c r="J1403" s="4"/>
      <c r="K1403" s="4">
        <f t="shared" si="118"/>
        <v>0</v>
      </c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 spans="1:26" ht="15.75" customHeight="1" x14ac:dyDescent="0.2">
      <c r="A1404" s="1">
        <v>2035</v>
      </c>
      <c r="B1404" s="13" t="s">
        <v>701</v>
      </c>
      <c r="C1404" s="14" t="s">
        <v>1576</v>
      </c>
      <c r="D1404" s="14" t="s">
        <v>21</v>
      </c>
      <c r="E1404" s="14" t="s">
        <v>40</v>
      </c>
      <c r="F1404" s="14" t="s">
        <v>1542</v>
      </c>
      <c r="G1404" s="14" t="s">
        <v>1207</v>
      </c>
      <c r="H1404" s="4"/>
      <c r="I1404" s="4">
        <f t="shared" si="126"/>
        <v>0</v>
      </c>
      <c r="J1404" s="4"/>
      <c r="K1404" s="4">
        <f t="shared" si="118"/>
        <v>0</v>
      </c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 spans="1:26" ht="15.75" customHeight="1" x14ac:dyDescent="0.2">
      <c r="A1405" s="1">
        <v>2093</v>
      </c>
      <c r="B1405" s="13" t="s">
        <v>280</v>
      </c>
      <c r="C1405" s="14" t="s">
        <v>1553</v>
      </c>
      <c r="D1405" s="14" t="s">
        <v>58</v>
      </c>
      <c r="E1405" s="14" t="s">
        <v>1058</v>
      </c>
      <c r="F1405" s="14" t="s">
        <v>1542</v>
      </c>
      <c r="G1405" s="14" t="s">
        <v>1207</v>
      </c>
      <c r="H1405" s="4"/>
      <c r="I1405" s="4">
        <f t="shared" si="126"/>
        <v>0</v>
      </c>
      <c r="J1405" s="4"/>
      <c r="K1405" s="4">
        <f t="shared" si="118"/>
        <v>0</v>
      </c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 spans="1:26" ht="15.75" customHeight="1" x14ac:dyDescent="0.2">
      <c r="A1406" s="1">
        <v>2097</v>
      </c>
      <c r="B1406" s="13" t="s">
        <v>280</v>
      </c>
      <c r="C1406" s="14" t="s">
        <v>1580</v>
      </c>
      <c r="D1406" s="14" t="s">
        <v>1581</v>
      </c>
      <c r="E1406" s="14" t="s">
        <v>1281</v>
      </c>
      <c r="F1406" s="14" t="s">
        <v>1542</v>
      </c>
      <c r="G1406" s="14" t="s">
        <v>1207</v>
      </c>
      <c r="H1406" s="4"/>
      <c r="I1406" s="4">
        <f t="shared" si="126"/>
        <v>0</v>
      </c>
      <c r="J1406" s="4"/>
      <c r="K1406" s="4">
        <f t="shared" si="118"/>
        <v>0</v>
      </c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 spans="1:26" ht="15.75" customHeight="1" x14ac:dyDescent="0.2">
      <c r="A1407" s="1">
        <v>2321</v>
      </c>
      <c r="B1407" s="13" t="s">
        <v>285</v>
      </c>
      <c r="C1407" s="14" t="s">
        <v>1564</v>
      </c>
      <c r="D1407" s="14" t="s">
        <v>529</v>
      </c>
      <c r="E1407" s="14" t="s">
        <v>639</v>
      </c>
      <c r="F1407" s="14" t="s">
        <v>1542</v>
      </c>
      <c r="G1407" s="14" t="s">
        <v>1207</v>
      </c>
      <c r="H1407" s="4"/>
      <c r="I1407" s="4">
        <f t="shared" si="126"/>
        <v>0</v>
      </c>
      <c r="J1407" s="4"/>
      <c r="K1407" s="4">
        <f t="shared" si="118"/>
        <v>0</v>
      </c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 spans="1:26" ht="15.75" customHeight="1" x14ac:dyDescent="0.2">
      <c r="A1408" s="1">
        <v>2483</v>
      </c>
      <c r="B1408" s="13" t="s">
        <v>444</v>
      </c>
      <c r="C1408" s="14" t="s">
        <v>927</v>
      </c>
      <c r="D1408" s="14" t="s">
        <v>75</v>
      </c>
      <c r="E1408" s="14" t="s">
        <v>334</v>
      </c>
      <c r="F1408" s="14" t="s">
        <v>1542</v>
      </c>
      <c r="G1408" s="14" t="s">
        <v>1207</v>
      </c>
      <c r="H1408" s="4"/>
      <c r="I1408" s="4">
        <f t="shared" si="126"/>
        <v>0</v>
      </c>
      <c r="J1408" s="4"/>
      <c r="K1408" s="4">
        <f t="shared" si="118"/>
        <v>0</v>
      </c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 spans="1:26" ht="15.75" customHeight="1" x14ac:dyDescent="0.2">
      <c r="A1409" s="1">
        <v>2487</v>
      </c>
      <c r="B1409" s="13" t="s">
        <v>444</v>
      </c>
      <c r="C1409" s="14" t="s">
        <v>1548</v>
      </c>
      <c r="D1409" s="14" t="s">
        <v>407</v>
      </c>
      <c r="E1409" s="14" t="s">
        <v>630</v>
      </c>
      <c r="F1409" s="14" t="s">
        <v>1542</v>
      </c>
      <c r="G1409" s="14" t="s">
        <v>1207</v>
      </c>
      <c r="H1409" s="4"/>
      <c r="I1409" s="4">
        <f t="shared" si="126"/>
        <v>0</v>
      </c>
      <c r="J1409" s="4"/>
      <c r="K1409" s="4">
        <f t="shared" si="118"/>
        <v>0</v>
      </c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 spans="1:26" ht="15.75" customHeight="1" x14ac:dyDescent="0.2">
      <c r="A1410" s="1">
        <v>2491</v>
      </c>
      <c r="B1410" s="13" t="s">
        <v>444</v>
      </c>
      <c r="C1410" s="14" t="s">
        <v>1557</v>
      </c>
      <c r="D1410" s="14" t="s">
        <v>643</v>
      </c>
      <c r="E1410" s="14" t="s">
        <v>424</v>
      </c>
      <c r="F1410" s="14" t="s">
        <v>1542</v>
      </c>
      <c r="G1410" s="14" t="s">
        <v>1207</v>
      </c>
      <c r="H1410" s="4"/>
      <c r="I1410" s="4">
        <f t="shared" si="126"/>
        <v>0</v>
      </c>
      <c r="J1410" s="4"/>
      <c r="K1410" s="4">
        <f t="shared" si="118"/>
        <v>0</v>
      </c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 spans="1:26" ht="15.75" customHeight="1" x14ac:dyDescent="0.2">
      <c r="A1411" s="1">
        <v>2501</v>
      </c>
      <c r="B1411" s="13" t="s">
        <v>434</v>
      </c>
      <c r="C1411" s="14" t="s">
        <v>1563</v>
      </c>
      <c r="D1411" s="14" t="s">
        <v>376</v>
      </c>
      <c r="E1411" s="14" t="s">
        <v>690</v>
      </c>
      <c r="F1411" s="14" t="s">
        <v>1542</v>
      </c>
      <c r="G1411" s="14" t="s">
        <v>1207</v>
      </c>
      <c r="H1411" s="4"/>
      <c r="I1411" s="4">
        <f t="shared" si="126"/>
        <v>0</v>
      </c>
      <c r="J1411" s="4"/>
      <c r="K1411" s="4">
        <f t="shared" si="118"/>
        <v>0</v>
      </c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 spans="1:26" ht="15.75" customHeight="1" x14ac:dyDescent="0.2">
      <c r="A1412" s="1">
        <v>2523</v>
      </c>
      <c r="B1412" s="13" t="s">
        <v>1587</v>
      </c>
      <c r="C1412" s="14" t="s">
        <v>1564</v>
      </c>
      <c r="D1412" s="14" t="s">
        <v>1565</v>
      </c>
      <c r="E1412" s="14" t="s">
        <v>1566</v>
      </c>
      <c r="F1412" s="14" t="s">
        <v>1542</v>
      </c>
      <c r="G1412" s="14" t="s">
        <v>1207</v>
      </c>
      <c r="H1412" s="4"/>
      <c r="I1412" s="4">
        <f t="shared" si="126"/>
        <v>0</v>
      </c>
      <c r="J1412" s="4"/>
      <c r="K1412" s="4">
        <f t="shared" si="118"/>
        <v>0</v>
      </c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 spans="1:26" ht="15.75" customHeight="1" x14ac:dyDescent="0.2">
      <c r="A1413" s="1">
        <v>2527</v>
      </c>
      <c r="B1413" s="13" t="s">
        <v>1587</v>
      </c>
      <c r="C1413" s="14" t="s">
        <v>1444</v>
      </c>
      <c r="D1413" s="14" t="s">
        <v>1068</v>
      </c>
      <c r="E1413" s="14" t="s">
        <v>348</v>
      </c>
      <c r="F1413" s="14" t="s">
        <v>1542</v>
      </c>
      <c r="G1413" s="14" t="s">
        <v>1207</v>
      </c>
      <c r="H1413" s="4"/>
      <c r="I1413" s="4">
        <f t="shared" si="126"/>
        <v>0</v>
      </c>
      <c r="J1413" s="4"/>
      <c r="K1413" s="4">
        <f t="shared" si="118"/>
        <v>0</v>
      </c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 spans="1:26" ht="15.75" customHeight="1" x14ac:dyDescent="0.2">
      <c r="A1414" s="1">
        <v>2529</v>
      </c>
      <c r="B1414" s="13" t="s">
        <v>1587</v>
      </c>
      <c r="C1414" s="14" t="s">
        <v>1588</v>
      </c>
      <c r="D1414" s="14" t="s">
        <v>481</v>
      </c>
      <c r="E1414" s="14" t="s">
        <v>251</v>
      </c>
      <c r="F1414" s="14" t="s">
        <v>1542</v>
      </c>
      <c r="G1414" s="14" t="s">
        <v>1207</v>
      </c>
      <c r="H1414" s="4"/>
      <c r="I1414" s="4">
        <f t="shared" si="126"/>
        <v>0</v>
      </c>
      <c r="J1414" s="4"/>
      <c r="K1414" s="4">
        <f t="shared" si="118"/>
        <v>0</v>
      </c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 spans="1:26" ht="15.75" customHeight="1" x14ac:dyDescent="0.2">
      <c r="A1415" s="1">
        <v>2537</v>
      </c>
      <c r="B1415" s="13" t="s">
        <v>1247</v>
      </c>
      <c r="C1415" s="14" t="s">
        <v>1559</v>
      </c>
      <c r="D1415" s="14" t="s">
        <v>554</v>
      </c>
      <c r="E1415" s="14" t="s">
        <v>1560</v>
      </c>
      <c r="F1415" s="14" t="s">
        <v>1542</v>
      </c>
      <c r="G1415" s="14" t="s">
        <v>1207</v>
      </c>
      <c r="H1415" s="4"/>
      <c r="I1415" s="4">
        <f t="shared" si="126"/>
        <v>0</v>
      </c>
      <c r="J1415" s="4"/>
      <c r="K1415" s="4">
        <f t="shared" si="118"/>
        <v>0</v>
      </c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 spans="1:26" ht="15.75" customHeight="1" x14ac:dyDescent="0.2">
      <c r="A1416" s="1">
        <v>2619</v>
      </c>
      <c r="B1416" s="13" t="s">
        <v>702</v>
      </c>
      <c r="C1416" s="14" t="s">
        <v>1547</v>
      </c>
      <c r="D1416" s="14" t="s">
        <v>116</v>
      </c>
      <c r="E1416" s="14" t="s">
        <v>1212</v>
      </c>
      <c r="F1416" s="14" t="s">
        <v>1542</v>
      </c>
      <c r="G1416" s="14" t="s">
        <v>1207</v>
      </c>
      <c r="H1416" s="4"/>
      <c r="I1416" s="4">
        <f t="shared" si="126"/>
        <v>0</v>
      </c>
      <c r="J1416" s="4"/>
      <c r="K1416" s="4">
        <f t="shared" si="118"/>
        <v>0</v>
      </c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 spans="1:26" ht="15.75" customHeight="1" x14ac:dyDescent="0.2">
      <c r="A1417" s="1">
        <v>2655</v>
      </c>
      <c r="B1417" s="13" t="s">
        <v>1055</v>
      </c>
      <c r="C1417" s="14" t="s">
        <v>1336</v>
      </c>
      <c r="D1417" s="14" t="s">
        <v>1551</v>
      </c>
      <c r="E1417" s="14" t="s">
        <v>302</v>
      </c>
      <c r="F1417" s="14" t="s">
        <v>1542</v>
      </c>
      <c r="G1417" s="14" t="s">
        <v>1207</v>
      </c>
      <c r="H1417" s="4"/>
      <c r="I1417" s="4">
        <f t="shared" si="126"/>
        <v>0</v>
      </c>
      <c r="J1417" s="4"/>
      <c r="K1417" s="4">
        <f t="shared" si="118"/>
        <v>0</v>
      </c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 spans="1:26" ht="15.75" customHeight="1" x14ac:dyDescent="0.2">
      <c r="A1418" s="1">
        <v>2669</v>
      </c>
      <c r="B1418" s="13" t="s">
        <v>1098</v>
      </c>
      <c r="C1418" s="14" t="s">
        <v>1589</v>
      </c>
      <c r="D1418" s="14" t="s">
        <v>272</v>
      </c>
      <c r="E1418" s="14" t="s">
        <v>125</v>
      </c>
      <c r="F1418" s="14" t="s">
        <v>1542</v>
      </c>
      <c r="G1418" s="14" t="s">
        <v>1207</v>
      </c>
      <c r="H1418" s="4"/>
      <c r="I1418" s="4">
        <f t="shared" si="126"/>
        <v>0</v>
      </c>
      <c r="J1418" s="4"/>
      <c r="K1418" s="4">
        <f t="shared" si="118"/>
        <v>0</v>
      </c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 spans="1:26" ht="15.75" customHeight="1" x14ac:dyDescent="0.2">
      <c r="A1419" s="1">
        <v>2671</v>
      </c>
      <c r="B1419" s="13" t="s">
        <v>1098</v>
      </c>
      <c r="C1419" s="14" t="s">
        <v>942</v>
      </c>
      <c r="D1419" s="14" t="s">
        <v>325</v>
      </c>
      <c r="E1419" s="14" t="s">
        <v>337</v>
      </c>
      <c r="F1419" s="14" t="s">
        <v>1542</v>
      </c>
      <c r="G1419" s="14" t="s">
        <v>1207</v>
      </c>
      <c r="H1419" s="4"/>
      <c r="I1419" s="4">
        <f t="shared" si="126"/>
        <v>0</v>
      </c>
      <c r="J1419" s="4"/>
      <c r="K1419" s="4">
        <f t="shared" si="118"/>
        <v>0</v>
      </c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 spans="1:26" ht="15.75" customHeight="1" x14ac:dyDescent="0.2">
      <c r="A1420" s="1">
        <v>2675</v>
      </c>
      <c r="B1420" s="13" t="s">
        <v>1098</v>
      </c>
      <c r="C1420" s="14" t="s">
        <v>1590</v>
      </c>
      <c r="D1420" s="14" t="s">
        <v>1385</v>
      </c>
      <c r="E1420" s="14" t="s">
        <v>52</v>
      </c>
      <c r="F1420" s="14" t="s">
        <v>1542</v>
      </c>
      <c r="G1420" s="14" t="s">
        <v>1207</v>
      </c>
      <c r="H1420" s="4"/>
      <c r="I1420" s="4">
        <f t="shared" si="126"/>
        <v>0</v>
      </c>
      <c r="J1420" s="4"/>
      <c r="K1420" s="4">
        <f t="shared" si="118"/>
        <v>0</v>
      </c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 spans="1:26" ht="15.75" customHeight="1" x14ac:dyDescent="0.2">
      <c r="A1421" s="1">
        <v>2677</v>
      </c>
      <c r="B1421" s="13" t="s">
        <v>1098</v>
      </c>
      <c r="C1421" s="14" t="s">
        <v>1585</v>
      </c>
      <c r="D1421" s="14" t="s">
        <v>124</v>
      </c>
      <c r="E1421" s="14" t="s">
        <v>1586</v>
      </c>
      <c r="F1421" s="14" t="s">
        <v>1542</v>
      </c>
      <c r="G1421" s="14" t="s">
        <v>1207</v>
      </c>
      <c r="H1421" s="4"/>
      <c r="I1421" s="4">
        <f t="shared" si="126"/>
        <v>0</v>
      </c>
      <c r="J1421" s="4"/>
      <c r="K1421" s="4">
        <f t="shared" si="118"/>
        <v>0</v>
      </c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 spans="1:26" ht="15.75" customHeight="1" x14ac:dyDescent="0.2">
      <c r="A1422" s="1">
        <v>2679</v>
      </c>
      <c r="B1422" s="13" t="s">
        <v>1098</v>
      </c>
      <c r="C1422" s="14" t="s">
        <v>1554</v>
      </c>
      <c r="D1422" s="14" t="s">
        <v>516</v>
      </c>
      <c r="E1422" s="14" t="s">
        <v>306</v>
      </c>
      <c r="F1422" s="14" t="s">
        <v>1542</v>
      </c>
      <c r="G1422" s="14" t="s">
        <v>1207</v>
      </c>
      <c r="H1422" s="4"/>
      <c r="I1422" s="4">
        <f t="shared" si="126"/>
        <v>0</v>
      </c>
      <c r="J1422" s="4"/>
      <c r="K1422" s="4">
        <f t="shared" si="118"/>
        <v>0</v>
      </c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 spans="1:26" ht="15.75" customHeight="1" x14ac:dyDescent="0.2">
      <c r="A1423" s="1">
        <v>2713</v>
      </c>
      <c r="B1423" s="13" t="s">
        <v>703</v>
      </c>
      <c r="C1423" s="14" t="s">
        <v>1574</v>
      </c>
      <c r="D1423" s="14" t="s">
        <v>1171</v>
      </c>
      <c r="E1423" s="14" t="s">
        <v>1575</v>
      </c>
      <c r="F1423" s="14" t="s">
        <v>1542</v>
      </c>
      <c r="G1423" s="14" t="s">
        <v>1207</v>
      </c>
      <c r="H1423" s="4"/>
      <c r="I1423" s="4">
        <f t="shared" si="126"/>
        <v>0</v>
      </c>
      <c r="J1423" s="4"/>
      <c r="K1423" s="4">
        <f t="shared" si="118"/>
        <v>0</v>
      </c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 spans="1:26" ht="15.75" customHeight="1" x14ac:dyDescent="0.2">
      <c r="A1424" s="1">
        <v>2737</v>
      </c>
      <c r="B1424" s="13" t="s">
        <v>944</v>
      </c>
      <c r="C1424" s="14" t="s">
        <v>584</v>
      </c>
      <c r="D1424" s="14" t="s">
        <v>116</v>
      </c>
      <c r="E1424" s="14" t="s">
        <v>384</v>
      </c>
      <c r="F1424" s="14" t="s">
        <v>1542</v>
      </c>
      <c r="G1424" s="14" t="s">
        <v>1207</v>
      </c>
      <c r="H1424" s="4"/>
      <c r="I1424" s="4">
        <f t="shared" si="126"/>
        <v>0</v>
      </c>
      <c r="J1424" s="4"/>
      <c r="K1424" s="4">
        <f t="shared" si="118"/>
        <v>0</v>
      </c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 spans="1:26" ht="15.75" customHeight="1" x14ac:dyDescent="0.2">
      <c r="A1425" s="1">
        <v>2805</v>
      </c>
      <c r="B1425" s="13" t="s">
        <v>1348</v>
      </c>
      <c r="C1425" s="14" t="s">
        <v>483</v>
      </c>
      <c r="D1425" s="14" t="s">
        <v>313</v>
      </c>
      <c r="E1425" s="14" t="s">
        <v>319</v>
      </c>
      <c r="F1425" s="14" t="s">
        <v>1542</v>
      </c>
      <c r="G1425" s="14" t="s">
        <v>1207</v>
      </c>
      <c r="H1425" s="4"/>
      <c r="I1425" s="4">
        <f t="shared" si="126"/>
        <v>0</v>
      </c>
      <c r="J1425" s="4"/>
      <c r="K1425" s="4">
        <f t="shared" si="118"/>
        <v>0</v>
      </c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 spans="1:26" ht="15.75" customHeight="1" x14ac:dyDescent="0.2">
      <c r="A1426" s="1">
        <v>2823</v>
      </c>
      <c r="B1426" s="13" t="s">
        <v>518</v>
      </c>
      <c r="C1426" s="14" t="s">
        <v>1563</v>
      </c>
      <c r="D1426" s="14" t="s">
        <v>376</v>
      </c>
      <c r="E1426" s="14" t="s">
        <v>690</v>
      </c>
      <c r="F1426" s="14" t="s">
        <v>1542</v>
      </c>
      <c r="G1426" s="14" t="s">
        <v>1207</v>
      </c>
      <c r="H1426" s="4"/>
      <c r="I1426" s="4">
        <f t="shared" si="126"/>
        <v>0</v>
      </c>
      <c r="J1426" s="4"/>
      <c r="K1426" s="4">
        <f t="shared" si="118"/>
        <v>0</v>
      </c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 spans="1:26" ht="15.75" customHeight="1" x14ac:dyDescent="0.2">
      <c r="A1427" s="1">
        <v>2893</v>
      </c>
      <c r="B1427" s="13" t="s">
        <v>1133</v>
      </c>
      <c r="C1427" s="14" t="s">
        <v>1584</v>
      </c>
      <c r="D1427" s="14" t="s">
        <v>78</v>
      </c>
      <c r="E1427" s="14" t="s">
        <v>273</v>
      </c>
      <c r="F1427" s="14" t="s">
        <v>1542</v>
      </c>
      <c r="G1427" s="14" t="s">
        <v>1207</v>
      </c>
      <c r="H1427" s="4"/>
      <c r="I1427" s="4">
        <f t="shared" si="126"/>
        <v>0</v>
      </c>
      <c r="J1427" s="4"/>
      <c r="K1427" s="4">
        <f t="shared" si="118"/>
        <v>0</v>
      </c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 spans="1:26" ht="15.75" customHeight="1" x14ac:dyDescent="0.2">
      <c r="A1428" s="1">
        <v>2927</v>
      </c>
      <c r="B1428" s="13" t="s">
        <v>722</v>
      </c>
      <c r="C1428" s="14" t="s">
        <v>1578</v>
      </c>
      <c r="D1428" s="14" t="s">
        <v>643</v>
      </c>
      <c r="E1428" s="14" t="s">
        <v>32</v>
      </c>
      <c r="F1428" s="14" t="s">
        <v>1542</v>
      </c>
      <c r="G1428" s="14" t="s">
        <v>1207</v>
      </c>
      <c r="H1428" s="4"/>
      <c r="I1428" s="4">
        <f t="shared" si="126"/>
        <v>0</v>
      </c>
      <c r="J1428" s="4"/>
      <c r="K1428" s="4">
        <f t="shared" si="118"/>
        <v>0</v>
      </c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 spans="1:26" ht="15.75" customHeight="1" x14ac:dyDescent="0.2">
      <c r="A1429" s="1">
        <v>2929</v>
      </c>
      <c r="B1429" s="13" t="s">
        <v>722</v>
      </c>
      <c r="C1429" s="14" t="s">
        <v>1579</v>
      </c>
      <c r="D1429" s="14" t="s">
        <v>128</v>
      </c>
      <c r="E1429" s="14" t="s">
        <v>70</v>
      </c>
      <c r="F1429" s="14" t="s">
        <v>1542</v>
      </c>
      <c r="G1429" s="14" t="s">
        <v>1207</v>
      </c>
      <c r="H1429" s="4"/>
      <c r="I1429" s="4">
        <f t="shared" si="126"/>
        <v>0</v>
      </c>
      <c r="J1429" s="4"/>
      <c r="K1429" s="4">
        <f t="shared" si="118"/>
        <v>0</v>
      </c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 spans="1:26" ht="15.75" customHeight="1" x14ac:dyDescent="0.2">
      <c r="A1430" s="1">
        <v>2943</v>
      </c>
      <c r="B1430" s="13" t="s">
        <v>1270</v>
      </c>
      <c r="C1430" s="14" t="s">
        <v>1549</v>
      </c>
      <c r="D1430" s="14" t="s">
        <v>275</v>
      </c>
      <c r="E1430" s="14" t="s">
        <v>40</v>
      </c>
      <c r="F1430" s="14" t="s">
        <v>1542</v>
      </c>
      <c r="G1430" s="14" t="s">
        <v>1207</v>
      </c>
      <c r="H1430" s="4"/>
      <c r="I1430" s="4">
        <f t="shared" si="126"/>
        <v>0</v>
      </c>
      <c r="J1430" s="4"/>
      <c r="K1430" s="4">
        <f t="shared" si="118"/>
        <v>0</v>
      </c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 spans="1:26" ht="15.75" customHeight="1" x14ac:dyDescent="0.2">
      <c r="A1431" s="1">
        <v>2945</v>
      </c>
      <c r="B1431" s="13" t="s">
        <v>1270</v>
      </c>
      <c r="C1431" s="14" t="s">
        <v>57</v>
      </c>
      <c r="D1431" s="14" t="s">
        <v>516</v>
      </c>
      <c r="E1431" s="14" t="s">
        <v>306</v>
      </c>
      <c r="F1431" s="14" t="s">
        <v>1542</v>
      </c>
      <c r="G1431" s="14" t="s">
        <v>1207</v>
      </c>
      <c r="H1431" s="4"/>
      <c r="I1431" s="4">
        <f t="shared" si="126"/>
        <v>0</v>
      </c>
      <c r="J1431" s="4"/>
      <c r="K1431" s="4">
        <f t="shared" si="118"/>
        <v>0</v>
      </c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 spans="1:26" ht="15.75" customHeight="1" x14ac:dyDescent="0.2">
      <c r="A1432" s="1">
        <v>2959</v>
      </c>
      <c r="B1432" s="13" t="s">
        <v>1138</v>
      </c>
      <c r="C1432" s="14" t="s">
        <v>885</v>
      </c>
      <c r="D1432" s="14" t="s">
        <v>139</v>
      </c>
      <c r="E1432" s="14" t="s">
        <v>87</v>
      </c>
      <c r="F1432" s="14" t="s">
        <v>1542</v>
      </c>
      <c r="G1432" s="14" t="s">
        <v>1207</v>
      </c>
      <c r="H1432" s="4"/>
      <c r="I1432" s="4">
        <f t="shared" si="126"/>
        <v>0</v>
      </c>
      <c r="J1432" s="4"/>
      <c r="K1432" s="4">
        <f t="shared" si="118"/>
        <v>0</v>
      </c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 spans="1:26" ht="15.75" customHeight="1" x14ac:dyDescent="0.2">
      <c r="A1433" s="1">
        <v>2965</v>
      </c>
      <c r="B1433" s="13" t="s">
        <v>1138</v>
      </c>
      <c r="C1433" s="14" t="s">
        <v>1550</v>
      </c>
      <c r="D1433" s="14" t="s">
        <v>86</v>
      </c>
      <c r="E1433" s="14" t="s">
        <v>87</v>
      </c>
      <c r="F1433" s="14" t="s">
        <v>1542</v>
      </c>
      <c r="G1433" s="14" t="s">
        <v>1207</v>
      </c>
      <c r="H1433" s="4"/>
      <c r="I1433" s="4">
        <f t="shared" si="126"/>
        <v>0</v>
      </c>
      <c r="J1433" s="4"/>
      <c r="K1433" s="4">
        <f t="shared" si="118"/>
        <v>0</v>
      </c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 spans="1:26" ht="15.75" customHeight="1" x14ac:dyDescent="0.2">
      <c r="A1434" s="20">
        <v>2991</v>
      </c>
      <c r="B1434" s="21" t="s">
        <v>290</v>
      </c>
      <c r="C1434" s="22" t="s">
        <v>1584</v>
      </c>
      <c r="D1434" s="22" t="s">
        <v>78</v>
      </c>
      <c r="E1434" s="22" t="s">
        <v>273</v>
      </c>
      <c r="F1434" s="14" t="s">
        <v>1542</v>
      </c>
      <c r="G1434" s="14" t="s">
        <v>1207</v>
      </c>
      <c r="H1434" s="4"/>
      <c r="I1434" s="4">
        <f t="shared" si="126"/>
        <v>0</v>
      </c>
      <c r="J1434" s="4"/>
      <c r="K1434" s="4">
        <f t="shared" si="118"/>
        <v>0</v>
      </c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 spans="1:26" ht="15.75" customHeight="1" x14ac:dyDescent="0.2">
      <c r="A1435" s="1">
        <v>119</v>
      </c>
      <c r="B1435" s="13" t="s">
        <v>360</v>
      </c>
      <c r="C1435" s="14" t="s">
        <v>1591</v>
      </c>
      <c r="D1435" s="14" t="s">
        <v>1592</v>
      </c>
      <c r="E1435" s="14" t="s">
        <v>1593</v>
      </c>
      <c r="F1435" s="14" t="s">
        <v>1542</v>
      </c>
      <c r="G1435" s="14" t="s">
        <v>1207</v>
      </c>
      <c r="H1435" s="4"/>
      <c r="I1435" s="4">
        <f t="shared" si="126"/>
        <v>0</v>
      </c>
      <c r="J1435" s="4"/>
      <c r="K1435" s="4">
        <f t="shared" si="118"/>
        <v>0</v>
      </c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 spans="1:26" ht="15.75" customHeight="1" x14ac:dyDescent="0.2">
      <c r="A1436" s="1">
        <v>341</v>
      </c>
      <c r="B1436" s="13" t="s">
        <v>100</v>
      </c>
      <c r="C1436" s="14" t="s">
        <v>1594</v>
      </c>
      <c r="D1436" s="14" t="s">
        <v>1595</v>
      </c>
      <c r="E1436" s="14" t="s">
        <v>1596</v>
      </c>
      <c r="F1436" s="14" t="s">
        <v>1542</v>
      </c>
      <c r="G1436" s="14" t="s">
        <v>1207</v>
      </c>
      <c r="H1436" s="4"/>
      <c r="I1436" s="4">
        <f t="shared" si="126"/>
        <v>0</v>
      </c>
      <c r="J1436" s="4"/>
      <c r="K1436" s="4">
        <f t="shared" si="118"/>
        <v>0</v>
      </c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 spans="1:26" ht="15.75" customHeight="1" x14ac:dyDescent="0.2">
      <c r="A1437" s="1"/>
      <c r="B1437" s="2" t="s">
        <v>94</v>
      </c>
      <c r="C1437" s="3" t="s">
        <v>1597</v>
      </c>
      <c r="D1437" s="3" t="s">
        <v>1598</v>
      </c>
      <c r="E1437" s="3" t="s">
        <v>112</v>
      </c>
      <c r="F1437" s="3" t="s">
        <v>1542</v>
      </c>
      <c r="G1437" s="3" t="s">
        <v>1207</v>
      </c>
      <c r="H1437" s="4"/>
      <c r="I1437" s="4">
        <f t="shared" ref="I1437:I1505" si="127">H1437*1800</f>
        <v>0</v>
      </c>
      <c r="J1437" s="4"/>
      <c r="K1437" s="4">
        <f t="shared" si="118"/>
        <v>0</v>
      </c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 spans="1:26" ht="15.75" customHeight="1" x14ac:dyDescent="0.2">
      <c r="A1438" s="1"/>
      <c r="B1438" s="2" t="s">
        <v>94</v>
      </c>
      <c r="C1438" s="3" t="s">
        <v>1597</v>
      </c>
      <c r="D1438" s="3" t="s">
        <v>75</v>
      </c>
      <c r="E1438" s="3" t="s">
        <v>112</v>
      </c>
      <c r="F1438" s="3" t="s">
        <v>1542</v>
      </c>
      <c r="G1438" s="3" t="s">
        <v>1207</v>
      </c>
      <c r="H1438" s="4"/>
      <c r="I1438" s="4">
        <f t="shared" si="127"/>
        <v>0</v>
      </c>
      <c r="J1438" s="4"/>
      <c r="K1438" s="4">
        <f t="shared" si="118"/>
        <v>0</v>
      </c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 spans="1:26" ht="15.75" customHeight="1" x14ac:dyDescent="0.2">
      <c r="A1439" s="1"/>
      <c r="B1439" s="2" t="s">
        <v>102</v>
      </c>
      <c r="C1439" s="3" t="s">
        <v>1591</v>
      </c>
      <c r="D1439" s="3" t="s">
        <v>1592</v>
      </c>
      <c r="E1439" s="3" t="s">
        <v>1593</v>
      </c>
      <c r="F1439" s="3" t="s">
        <v>1542</v>
      </c>
      <c r="G1439" s="3" t="s">
        <v>1207</v>
      </c>
      <c r="H1439" s="4"/>
      <c r="I1439" s="4">
        <f t="shared" si="127"/>
        <v>0</v>
      </c>
      <c r="J1439" s="4"/>
      <c r="K1439" s="4">
        <f t="shared" si="118"/>
        <v>0</v>
      </c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 spans="1:26" ht="15.75" customHeight="1" x14ac:dyDescent="0.2">
      <c r="A1440" s="1"/>
      <c r="B1440" s="2" t="s">
        <v>421</v>
      </c>
      <c r="C1440" s="3" t="s">
        <v>1599</v>
      </c>
      <c r="D1440" s="3" t="s">
        <v>295</v>
      </c>
      <c r="E1440" s="3" t="s">
        <v>319</v>
      </c>
      <c r="F1440" s="3" t="s">
        <v>1542</v>
      </c>
      <c r="G1440" s="3" t="s">
        <v>1207</v>
      </c>
      <c r="H1440" s="4"/>
      <c r="I1440" s="4">
        <f t="shared" si="127"/>
        <v>0</v>
      </c>
      <c r="J1440" s="4"/>
      <c r="K1440" s="4">
        <f t="shared" si="118"/>
        <v>0</v>
      </c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 spans="1:26" ht="15.75" customHeight="1" x14ac:dyDescent="0.2">
      <c r="A1441" s="1"/>
      <c r="B1441" s="2" t="s">
        <v>114</v>
      </c>
      <c r="C1441" s="3" t="s">
        <v>1599</v>
      </c>
      <c r="D1441" s="3" t="s">
        <v>295</v>
      </c>
      <c r="E1441" s="3" t="s">
        <v>319</v>
      </c>
      <c r="F1441" s="3" t="s">
        <v>1542</v>
      </c>
      <c r="G1441" s="3" t="s">
        <v>1207</v>
      </c>
      <c r="H1441" s="4"/>
      <c r="I1441" s="4">
        <f t="shared" si="127"/>
        <v>0</v>
      </c>
      <c r="J1441" s="4"/>
      <c r="K1441" s="4">
        <f t="shared" si="118"/>
        <v>0</v>
      </c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 spans="1:26" ht="15.75" customHeight="1" x14ac:dyDescent="0.2">
      <c r="A1442" s="1"/>
      <c r="B1442" s="2" t="s">
        <v>108</v>
      </c>
      <c r="C1442" s="3" t="s">
        <v>1599</v>
      </c>
      <c r="D1442" s="3" t="s">
        <v>295</v>
      </c>
      <c r="E1442" s="3" t="s">
        <v>319</v>
      </c>
      <c r="F1442" s="3" t="s">
        <v>1542</v>
      </c>
      <c r="G1442" s="3" t="s">
        <v>1207</v>
      </c>
      <c r="H1442" s="4"/>
      <c r="I1442" s="4">
        <f t="shared" si="127"/>
        <v>0</v>
      </c>
      <c r="J1442" s="4"/>
      <c r="K1442" s="4">
        <f t="shared" si="118"/>
        <v>0</v>
      </c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 spans="1:26" ht="15.75" customHeight="1" x14ac:dyDescent="0.2">
      <c r="A1443" s="1"/>
      <c r="B1443" s="2" t="s">
        <v>315</v>
      </c>
      <c r="C1443" s="3" t="s">
        <v>1336</v>
      </c>
      <c r="D1443" s="3" t="s">
        <v>1426</v>
      </c>
      <c r="E1443" s="3" t="s">
        <v>302</v>
      </c>
      <c r="F1443" s="3" t="s">
        <v>1542</v>
      </c>
      <c r="G1443" s="3" t="s">
        <v>1207</v>
      </c>
      <c r="H1443" s="4"/>
      <c r="I1443" s="4">
        <f t="shared" si="127"/>
        <v>0</v>
      </c>
      <c r="J1443" s="4"/>
      <c r="K1443" s="4">
        <f t="shared" si="118"/>
        <v>0</v>
      </c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 spans="1:26" ht="15.75" customHeight="1" x14ac:dyDescent="0.2">
      <c r="A1444" s="1"/>
      <c r="B1444" s="2" t="s">
        <v>323</v>
      </c>
      <c r="C1444" s="3" t="s">
        <v>1336</v>
      </c>
      <c r="D1444" s="3" t="s">
        <v>1426</v>
      </c>
      <c r="E1444" s="3" t="s">
        <v>302</v>
      </c>
      <c r="F1444" s="3" t="s">
        <v>1542</v>
      </c>
      <c r="G1444" s="3" t="s">
        <v>1207</v>
      </c>
      <c r="H1444" s="4"/>
      <c r="I1444" s="4">
        <f t="shared" si="127"/>
        <v>0</v>
      </c>
      <c r="J1444" s="4"/>
      <c r="K1444" s="4">
        <f t="shared" si="118"/>
        <v>0</v>
      </c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 spans="1:26" ht="15.75" customHeight="1" x14ac:dyDescent="0.2">
      <c r="A1445" s="1"/>
      <c r="B1445" s="2" t="s">
        <v>94</v>
      </c>
      <c r="C1445" s="3" t="s">
        <v>1336</v>
      </c>
      <c r="D1445" s="3" t="s">
        <v>1426</v>
      </c>
      <c r="E1445" s="3" t="s">
        <v>302</v>
      </c>
      <c r="F1445" s="3" t="s">
        <v>1542</v>
      </c>
      <c r="G1445" s="3" t="s">
        <v>1207</v>
      </c>
      <c r="H1445" s="4"/>
      <c r="I1445" s="4">
        <f t="shared" si="127"/>
        <v>0</v>
      </c>
      <c r="J1445" s="4"/>
      <c r="K1445" s="4">
        <f t="shared" si="118"/>
        <v>0</v>
      </c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 spans="1:26" ht="15.75" customHeight="1" x14ac:dyDescent="0.2">
      <c r="A1446" s="1"/>
      <c r="B1446" s="2" t="s">
        <v>94</v>
      </c>
      <c r="C1446" s="3" t="s">
        <v>1594</v>
      </c>
      <c r="D1446" s="3" t="s">
        <v>1595</v>
      </c>
      <c r="E1446" s="3" t="s">
        <v>1596</v>
      </c>
      <c r="F1446" s="3" t="s">
        <v>1542</v>
      </c>
      <c r="G1446" s="3" t="s">
        <v>1207</v>
      </c>
      <c r="H1446" s="4"/>
      <c r="I1446" s="4">
        <f t="shared" si="127"/>
        <v>0</v>
      </c>
      <c r="J1446" s="4"/>
      <c r="K1446" s="4">
        <f t="shared" si="118"/>
        <v>0</v>
      </c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 spans="1:26" ht="15.75" customHeight="1" x14ac:dyDescent="0.2">
      <c r="A1447" s="1"/>
      <c r="B1447" s="2" t="s">
        <v>126</v>
      </c>
      <c r="C1447" s="3" t="s">
        <v>1600</v>
      </c>
      <c r="D1447" s="3" t="s">
        <v>973</v>
      </c>
      <c r="E1447" s="3" t="s">
        <v>1601</v>
      </c>
      <c r="F1447" s="3" t="s">
        <v>1542</v>
      </c>
      <c r="G1447" s="3" t="s">
        <v>1207</v>
      </c>
      <c r="H1447" s="4"/>
      <c r="I1447" s="4">
        <f t="shared" si="127"/>
        <v>0</v>
      </c>
      <c r="J1447" s="4"/>
      <c r="K1447" s="4">
        <f t="shared" si="118"/>
        <v>0</v>
      </c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 spans="1:26" ht="15.75" customHeight="1" x14ac:dyDescent="0.2">
      <c r="A1448" s="1"/>
      <c r="B1448" s="2" t="s">
        <v>131</v>
      </c>
      <c r="C1448" s="3" t="s">
        <v>1600</v>
      </c>
      <c r="D1448" s="3" t="s">
        <v>973</v>
      </c>
      <c r="E1448" s="3" t="s">
        <v>1601</v>
      </c>
      <c r="F1448" s="3" t="s">
        <v>1542</v>
      </c>
      <c r="G1448" s="3" t="s">
        <v>1207</v>
      </c>
      <c r="H1448" s="4"/>
      <c r="I1448" s="4">
        <f t="shared" si="127"/>
        <v>0</v>
      </c>
      <c r="J1448" s="4"/>
      <c r="K1448" s="4">
        <f t="shared" si="118"/>
        <v>0</v>
      </c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 spans="1:26" ht="15.75" customHeight="1" x14ac:dyDescent="0.2">
      <c r="A1449" s="1"/>
      <c r="B1449" s="2" t="s">
        <v>117</v>
      </c>
      <c r="C1449" s="3" t="s">
        <v>1558</v>
      </c>
      <c r="D1449" s="3" t="s">
        <v>1461</v>
      </c>
      <c r="E1449" s="3" t="s">
        <v>1602</v>
      </c>
      <c r="F1449" s="3" t="s">
        <v>1542</v>
      </c>
      <c r="G1449" s="3" t="s">
        <v>1207</v>
      </c>
      <c r="H1449" s="4"/>
      <c r="I1449" s="4">
        <f t="shared" si="127"/>
        <v>0</v>
      </c>
      <c r="J1449" s="4"/>
      <c r="K1449" s="4">
        <f t="shared" si="118"/>
        <v>0</v>
      </c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 spans="1:26" ht="15.75" customHeight="1" x14ac:dyDescent="0.2">
      <c r="A1450" s="1"/>
      <c r="B1450" s="2" t="s">
        <v>296</v>
      </c>
      <c r="C1450" s="3" t="s">
        <v>1558</v>
      </c>
      <c r="D1450" s="3" t="s">
        <v>1461</v>
      </c>
      <c r="E1450" s="3" t="s">
        <v>1602</v>
      </c>
      <c r="F1450" s="3" t="s">
        <v>1542</v>
      </c>
      <c r="G1450" s="3" t="s">
        <v>1207</v>
      </c>
      <c r="H1450" s="4"/>
      <c r="I1450" s="4">
        <f t="shared" si="127"/>
        <v>0</v>
      </c>
      <c r="J1450" s="4"/>
      <c r="K1450" s="4">
        <f t="shared" si="118"/>
        <v>0</v>
      </c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 spans="1:26" ht="15.75" customHeight="1" x14ac:dyDescent="0.2">
      <c r="A1451" s="1"/>
      <c r="B1451" s="2" t="s">
        <v>315</v>
      </c>
      <c r="C1451" s="3" t="s">
        <v>1603</v>
      </c>
      <c r="D1451" s="3" t="s">
        <v>370</v>
      </c>
      <c r="E1451" s="3" t="s">
        <v>1604</v>
      </c>
      <c r="F1451" s="3" t="s">
        <v>1542</v>
      </c>
      <c r="G1451" s="3" t="s">
        <v>1207</v>
      </c>
      <c r="H1451" s="4"/>
      <c r="I1451" s="4">
        <f t="shared" si="127"/>
        <v>0</v>
      </c>
      <c r="J1451" s="4"/>
      <c r="K1451" s="4">
        <f t="shared" si="118"/>
        <v>0</v>
      </c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 spans="1:26" ht="15.75" customHeight="1" x14ac:dyDescent="0.2">
      <c r="A1452" s="1"/>
      <c r="B1452" s="2" t="s">
        <v>316</v>
      </c>
      <c r="C1452" s="3" t="s">
        <v>1603</v>
      </c>
      <c r="D1452" s="3" t="s">
        <v>370</v>
      </c>
      <c r="E1452" s="3" t="s">
        <v>1604</v>
      </c>
      <c r="F1452" s="3" t="s">
        <v>1542</v>
      </c>
      <c r="G1452" s="3" t="s">
        <v>1207</v>
      </c>
      <c r="H1452" s="4"/>
      <c r="I1452" s="4">
        <f t="shared" si="127"/>
        <v>0</v>
      </c>
      <c r="J1452" s="4"/>
      <c r="K1452" s="4">
        <f t="shared" si="118"/>
        <v>0</v>
      </c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 spans="1:26" ht="15.75" customHeight="1" x14ac:dyDescent="0.2">
      <c r="A1453" s="1"/>
      <c r="B1453" s="2" t="s">
        <v>108</v>
      </c>
      <c r="C1453" s="3" t="s">
        <v>1603</v>
      </c>
      <c r="D1453" s="3" t="s">
        <v>370</v>
      </c>
      <c r="E1453" s="3" t="s">
        <v>1604</v>
      </c>
      <c r="F1453" s="3" t="s">
        <v>1542</v>
      </c>
      <c r="G1453" s="3" t="s">
        <v>1207</v>
      </c>
      <c r="H1453" s="4"/>
      <c r="I1453" s="4">
        <f t="shared" si="127"/>
        <v>0</v>
      </c>
      <c r="J1453" s="4"/>
      <c r="K1453" s="4">
        <f t="shared" si="118"/>
        <v>0</v>
      </c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 spans="1:26" ht="15.75" customHeight="1" x14ac:dyDescent="0.2">
      <c r="A1454" s="1"/>
      <c r="B1454" s="2" t="s">
        <v>88</v>
      </c>
      <c r="C1454" s="3" t="s">
        <v>1605</v>
      </c>
      <c r="D1454" s="3" t="s">
        <v>1606</v>
      </c>
      <c r="E1454" s="3" t="s">
        <v>1441</v>
      </c>
      <c r="F1454" s="3" t="s">
        <v>1542</v>
      </c>
      <c r="G1454" s="3" t="s">
        <v>1207</v>
      </c>
      <c r="H1454" s="4"/>
      <c r="I1454" s="4">
        <f t="shared" si="127"/>
        <v>0</v>
      </c>
      <c r="J1454" s="4"/>
      <c r="K1454" s="4">
        <f t="shared" si="118"/>
        <v>0</v>
      </c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 spans="1:26" ht="15.75" customHeight="1" x14ac:dyDescent="0.2">
      <c r="A1455" s="1"/>
      <c r="B1455" s="2" t="s">
        <v>94</v>
      </c>
      <c r="C1455" s="3" t="s">
        <v>1605</v>
      </c>
      <c r="D1455" s="3" t="s">
        <v>1606</v>
      </c>
      <c r="E1455" s="3" t="s">
        <v>1441</v>
      </c>
      <c r="F1455" s="3" t="s">
        <v>1542</v>
      </c>
      <c r="G1455" s="3" t="s">
        <v>1207</v>
      </c>
      <c r="H1455" s="4"/>
      <c r="I1455" s="4">
        <f t="shared" si="127"/>
        <v>0</v>
      </c>
      <c r="J1455" s="4"/>
      <c r="K1455" s="4">
        <f t="shared" si="118"/>
        <v>0</v>
      </c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 spans="1:26" ht="15.75" customHeight="1" x14ac:dyDescent="0.2">
      <c r="A1456" s="1"/>
      <c r="B1456" s="2" t="s">
        <v>131</v>
      </c>
      <c r="C1456" s="3" t="s">
        <v>1607</v>
      </c>
      <c r="D1456" s="3" t="s">
        <v>388</v>
      </c>
      <c r="E1456" s="3" t="s">
        <v>83</v>
      </c>
      <c r="F1456" s="3" t="s">
        <v>1542</v>
      </c>
      <c r="G1456" s="3" t="s">
        <v>1207</v>
      </c>
      <c r="H1456" s="4"/>
      <c r="I1456" s="4">
        <f t="shared" si="127"/>
        <v>0</v>
      </c>
      <c r="J1456" s="4"/>
      <c r="K1456" s="4">
        <f t="shared" si="118"/>
        <v>0</v>
      </c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 spans="1:26" ht="15.75" customHeight="1" x14ac:dyDescent="0.2">
      <c r="A1457" s="1"/>
      <c r="B1457" s="2" t="s">
        <v>118</v>
      </c>
      <c r="C1457" s="3" t="s">
        <v>1607</v>
      </c>
      <c r="D1457" s="3" t="s">
        <v>388</v>
      </c>
      <c r="E1457" s="3" t="s">
        <v>83</v>
      </c>
      <c r="F1457" s="3" t="s">
        <v>1542</v>
      </c>
      <c r="G1457" s="3" t="s">
        <v>1207</v>
      </c>
      <c r="H1457" s="4"/>
      <c r="I1457" s="4">
        <f t="shared" si="127"/>
        <v>0</v>
      </c>
      <c r="J1457" s="4"/>
      <c r="K1457" s="4">
        <f t="shared" si="118"/>
        <v>0</v>
      </c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 spans="1:26" ht="15.75" customHeight="1" x14ac:dyDescent="0.2">
      <c r="A1458" s="1"/>
      <c r="B1458" s="2" t="s">
        <v>297</v>
      </c>
      <c r="C1458" s="3" t="s">
        <v>1608</v>
      </c>
      <c r="D1458" s="3" t="s">
        <v>1598</v>
      </c>
      <c r="E1458" s="3" t="s">
        <v>1609</v>
      </c>
      <c r="F1458" s="3" t="s">
        <v>1542</v>
      </c>
      <c r="G1458" s="3" t="s">
        <v>1207</v>
      </c>
      <c r="H1458" s="4"/>
      <c r="I1458" s="4">
        <f t="shared" si="127"/>
        <v>0</v>
      </c>
      <c r="J1458" s="4"/>
      <c r="K1458" s="4">
        <f t="shared" si="118"/>
        <v>0</v>
      </c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 spans="1:26" ht="15.75" customHeight="1" x14ac:dyDescent="0.2">
      <c r="A1459" s="1"/>
      <c r="B1459" s="2" t="s">
        <v>300</v>
      </c>
      <c r="C1459" s="3" t="s">
        <v>1608</v>
      </c>
      <c r="D1459" s="3" t="s">
        <v>1598</v>
      </c>
      <c r="E1459" s="3" t="s">
        <v>1609</v>
      </c>
      <c r="F1459" s="3" t="s">
        <v>1542</v>
      </c>
      <c r="G1459" s="3" t="s">
        <v>1207</v>
      </c>
      <c r="H1459" s="4"/>
      <c r="I1459" s="4">
        <f t="shared" si="127"/>
        <v>0</v>
      </c>
      <c r="J1459" s="4"/>
      <c r="K1459" s="4">
        <f t="shared" si="118"/>
        <v>0</v>
      </c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 spans="1:26" ht="15.75" customHeight="1" x14ac:dyDescent="0.2">
      <c r="A1460" s="1"/>
      <c r="B1460" s="2" t="s">
        <v>88</v>
      </c>
      <c r="C1460" s="3" t="s">
        <v>1610</v>
      </c>
      <c r="D1460" s="3" t="s">
        <v>1611</v>
      </c>
      <c r="E1460" s="3" t="s">
        <v>348</v>
      </c>
      <c r="F1460" s="3" t="s">
        <v>1542</v>
      </c>
      <c r="G1460" s="3" t="s">
        <v>1207</v>
      </c>
      <c r="H1460" s="4"/>
      <c r="I1460" s="4">
        <f t="shared" si="127"/>
        <v>0</v>
      </c>
      <c r="J1460" s="4"/>
      <c r="K1460" s="4">
        <f t="shared" si="118"/>
        <v>0</v>
      </c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 spans="1:26" ht="15.75" customHeight="1" x14ac:dyDescent="0.2">
      <c r="A1461" s="1"/>
      <c r="B1461" s="2" t="s">
        <v>94</v>
      </c>
      <c r="C1461" s="3" t="s">
        <v>1610</v>
      </c>
      <c r="D1461" s="3" t="s">
        <v>1611</v>
      </c>
      <c r="E1461" s="3" t="s">
        <v>348</v>
      </c>
      <c r="F1461" s="3" t="s">
        <v>1542</v>
      </c>
      <c r="G1461" s="3" t="s">
        <v>1207</v>
      </c>
      <c r="H1461" s="4"/>
      <c r="I1461" s="4">
        <f t="shared" si="127"/>
        <v>0</v>
      </c>
      <c r="J1461" s="4"/>
      <c r="K1461" s="4">
        <f t="shared" si="118"/>
        <v>0</v>
      </c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 spans="1:26" ht="15.75" customHeight="1" x14ac:dyDescent="0.2">
      <c r="A1462" s="1"/>
      <c r="B1462" s="19" t="s">
        <v>131</v>
      </c>
      <c r="C1462" s="23" t="s">
        <v>1612</v>
      </c>
      <c r="D1462" s="23" t="s">
        <v>1613</v>
      </c>
      <c r="E1462" s="23" t="s">
        <v>1212</v>
      </c>
      <c r="F1462" s="23" t="s">
        <v>1542</v>
      </c>
      <c r="G1462" s="23" t="s">
        <v>1207</v>
      </c>
      <c r="H1462" s="4"/>
      <c r="I1462" s="4">
        <f t="shared" si="127"/>
        <v>0</v>
      </c>
      <c r="J1462" s="4"/>
      <c r="K1462" s="4">
        <f t="shared" si="118"/>
        <v>0</v>
      </c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 spans="1:26" ht="15.75" customHeight="1" x14ac:dyDescent="0.2">
      <c r="A1463" s="1"/>
      <c r="B1463" s="2" t="s">
        <v>118</v>
      </c>
      <c r="C1463" s="3" t="s">
        <v>1612</v>
      </c>
      <c r="D1463" s="3" t="s">
        <v>1613</v>
      </c>
      <c r="E1463" s="3" t="s">
        <v>1212</v>
      </c>
      <c r="F1463" s="3" t="s">
        <v>1542</v>
      </c>
      <c r="G1463" s="3" t="s">
        <v>1207</v>
      </c>
      <c r="H1463" s="4"/>
      <c r="I1463" s="4">
        <f t="shared" si="127"/>
        <v>0</v>
      </c>
      <c r="J1463" s="4"/>
      <c r="K1463" s="4">
        <f t="shared" si="118"/>
        <v>0</v>
      </c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 spans="1:26" ht="15.75" customHeight="1" x14ac:dyDescent="0.2">
      <c r="A1464" s="1"/>
      <c r="B1464" s="2" t="s">
        <v>114</v>
      </c>
      <c r="C1464" s="3" t="s">
        <v>1614</v>
      </c>
      <c r="D1464" s="3" t="s">
        <v>399</v>
      </c>
      <c r="E1464" s="3" t="s">
        <v>530</v>
      </c>
      <c r="F1464" s="3" t="s">
        <v>1542</v>
      </c>
      <c r="G1464" s="3" t="s">
        <v>1207</v>
      </c>
      <c r="H1464" s="4"/>
      <c r="I1464" s="4">
        <f t="shared" si="127"/>
        <v>0</v>
      </c>
      <c r="J1464" s="4"/>
      <c r="K1464" s="4">
        <f t="shared" si="118"/>
        <v>0</v>
      </c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 spans="1:26" ht="15.75" customHeight="1" x14ac:dyDescent="0.2">
      <c r="A1465" s="1"/>
      <c r="B1465" s="2" t="s">
        <v>108</v>
      </c>
      <c r="C1465" s="3" t="s">
        <v>1614</v>
      </c>
      <c r="D1465" s="3" t="s">
        <v>399</v>
      </c>
      <c r="E1465" s="3" t="s">
        <v>530</v>
      </c>
      <c r="F1465" s="3" t="s">
        <v>1542</v>
      </c>
      <c r="G1465" s="3" t="s">
        <v>1207</v>
      </c>
      <c r="H1465" s="4"/>
      <c r="I1465" s="4">
        <f t="shared" si="127"/>
        <v>0</v>
      </c>
      <c r="J1465" s="4"/>
      <c r="K1465" s="4">
        <f t="shared" si="118"/>
        <v>0</v>
      </c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 spans="1:26" ht="15.75" customHeight="1" x14ac:dyDescent="0.2">
      <c r="A1466" s="1"/>
      <c r="B1466" s="2" t="s">
        <v>102</v>
      </c>
      <c r="C1466" s="3" t="s">
        <v>1614</v>
      </c>
      <c r="D1466" s="3" t="s">
        <v>1107</v>
      </c>
      <c r="E1466" s="3" t="s">
        <v>530</v>
      </c>
      <c r="F1466" s="3" t="s">
        <v>1542</v>
      </c>
      <c r="G1466" s="3" t="s">
        <v>1207</v>
      </c>
      <c r="H1466" s="4"/>
      <c r="I1466" s="4">
        <f t="shared" si="127"/>
        <v>0</v>
      </c>
      <c r="J1466" s="4"/>
      <c r="K1466" s="4">
        <f t="shared" si="118"/>
        <v>0</v>
      </c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 spans="1:26" ht="15.75" customHeight="1" x14ac:dyDescent="0.2">
      <c r="A1467" s="1"/>
      <c r="B1467" s="2" t="s">
        <v>232</v>
      </c>
      <c r="C1467" s="3" t="s">
        <v>1614</v>
      </c>
      <c r="D1467" s="3" t="s">
        <v>1107</v>
      </c>
      <c r="E1467" s="3" t="s">
        <v>530</v>
      </c>
      <c r="F1467" s="3" t="s">
        <v>1542</v>
      </c>
      <c r="G1467" s="3" t="s">
        <v>1207</v>
      </c>
      <c r="H1467" s="4"/>
      <c r="I1467" s="4">
        <f t="shared" si="127"/>
        <v>0</v>
      </c>
      <c r="J1467" s="4"/>
      <c r="K1467" s="4">
        <f t="shared" si="118"/>
        <v>0</v>
      </c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 spans="1:26" ht="15.75" customHeight="1" x14ac:dyDescent="0.2">
      <c r="A1468" s="1"/>
      <c r="B1468" s="2" t="s">
        <v>108</v>
      </c>
      <c r="C1468" s="3" t="s">
        <v>1614</v>
      </c>
      <c r="D1468" s="3" t="s">
        <v>1107</v>
      </c>
      <c r="E1468" s="3" t="s">
        <v>530</v>
      </c>
      <c r="F1468" s="3" t="s">
        <v>1542</v>
      </c>
      <c r="G1468" s="3" t="s">
        <v>1207</v>
      </c>
      <c r="H1468" s="4"/>
      <c r="I1468" s="4">
        <f t="shared" si="127"/>
        <v>0</v>
      </c>
      <c r="J1468" s="4"/>
      <c r="K1468" s="4">
        <f t="shared" si="118"/>
        <v>0</v>
      </c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 spans="1:26" ht="15.75" customHeight="1" x14ac:dyDescent="0.2">
      <c r="A1469" s="1"/>
      <c r="B1469" s="2" t="s">
        <v>316</v>
      </c>
      <c r="C1469" s="3" t="s">
        <v>1614</v>
      </c>
      <c r="D1469" s="3" t="s">
        <v>1615</v>
      </c>
      <c r="E1469" s="3" t="s">
        <v>1387</v>
      </c>
      <c r="F1469" s="3" t="s">
        <v>1542</v>
      </c>
      <c r="G1469" s="3" t="s">
        <v>1207</v>
      </c>
      <c r="H1469" s="4"/>
      <c r="I1469" s="4">
        <f t="shared" si="127"/>
        <v>0</v>
      </c>
      <c r="J1469" s="4"/>
      <c r="K1469" s="4">
        <f t="shared" si="118"/>
        <v>0</v>
      </c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 spans="1:26" ht="15.75" customHeight="1" x14ac:dyDescent="0.2">
      <c r="A1470" s="1"/>
      <c r="B1470" s="2" t="s">
        <v>102</v>
      </c>
      <c r="C1470" s="3" t="s">
        <v>1614</v>
      </c>
      <c r="D1470" s="3" t="s">
        <v>1615</v>
      </c>
      <c r="E1470" s="3" t="s">
        <v>1387</v>
      </c>
      <c r="F1470" s="3" t="s">
        <v>1542</v>
      </c>
      <c r="G1470" s="3" t="s">
        <v>1207</v>
      </c>
      <c r="H1470" s="4"/>
      <c r="I1470" s="4">
        <f t="shared" si="127"/>
        <v>0</v>
      </c>
      <c r="J1470" s="4"/>
      <c r="K1470" s="4">
        <f t="shared" si="118"/>
        <v>0</v>
      </c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 spans="1:26" ht="15.75" customHeight="1" x14ac:dyDescent="0.2">
      <c r="A1471" s="1"/>
      <c r="B1471" s="2" t="s">
        <v>102</v>
      </c>
      <c r="C1471" s="3" t="s">
        <v>1326</v>
      </c>
      <c r="D1471" s="3" t="s">
        <v>967</v>
      </c>
      <c r="E1471" s="3" t="s">
        <v>1330</v>
      </c>
      <c r="F1471" s="3" t="s">
        <v>1542</v>
      </c>
      <c r="G1471" s="3" t="s">
        <v>1207</v>
      </c>
      <c r="H1471" s="4"/>
      <c r="I1471" s="4">
        <f t="shared" si="127"/>
        <v>0</v>
      </c>
      <c r="J1471" s="4"/>
      <c r="K1471" s="4">
        <f t="shared" si="118"/>
        <v>0</v>
      </c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 spans="1:26" ht="15.75" customHeight="1" x14ac:dyDescent="0.2">
      <c r="A1472" s="1"/>
      <c r="B1472" s="2" t="s">
        <v>311</v>
      </c>
      <c r="C1472" s="3" t="s">
        <v>1326</v>
      </c>
      <c r="D1472" s="3" t="s">
        <v>967</v>
      </c>
      <c r="E1472" s="3" t="s">
        <v>1330</v>
      </c>
      <c r="F1472" s="3" t="s">
        <v>1542</v>
      </c>
      <c r="G1472" s="3" t="s">
        <v>1207</v>
      </c>
      <c r="H1472" s="4"/>
      <c r="I1472" s="4">
        <f t="shared" si="127"/>
        <v>0</v>
      </c>
      <c r="J1472" s="4"/>
      <c r="K1472" s="4">
        <f t="shared" si="118"/>
        <v>0</v>
      </c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 spans="1:26" ht="15.75" customHeight="1" x14ac:dyDescent="0.2">
      <c r="A1473" s="1"/>
      <c r="B1473" s="2" t="s">
        <v>108</v>
      </c>
      <c r="C1473" s="3" t="s">
        <v>1326</v>
      </c>
      <c r="D1473" s="3" t="s">
        <v>967</v>
      </c>
      <c r="E1473" s="3" t="s">
        <v>1330</v>
      </c>
      <c r="F1473" s="3" t="s">
        <v>1542</v>
      </c>
      <c r="G1473" s="3" t="s">
        <v>1207</v>
      </c>
      <c r="H1473" s="4"/>
      <c r="I1473" s="4">
        <f t="shared" si="127"/>
        <v>0</v>
      </c>
      <c r="J1473" s="4"/>
      <c r="K1473" s="4">
        <f t="shared" si="118"/>
        <v>0</v>
      </c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 spans="1:26" ht="15.75" customHeight="1" x14ac:dyDescent="0.2">
      <c r="A1474" s="1"/>
      <c r="B1474" s="2" t="s">
        <v>88</v>
      </c>
      <c r="C1474" s="3" t="s">
        <v>1616</v>
      </c>
      <c r="D1474" s="3" t="s">
        <v>484</v>
      </c>
      <c r="E1474" s="3" t="s">
        <v>676</v>
      </c>
      <c r="F1474" s="3" t="s">
        <v>1542</v>
      </c>
      <c r="G1474" s="3" t="s">
        <v>1207</v>
      </c>
      <c r="H1474" s="4"/>
      <c r="I1474" s="4">
        <f t="shared" si="127"/>
        <v>0</v>
      </c>
      <c r="J1474" s="4"/>
      <c r="K1474" s="4">
        <f t="shared" si="118"/>
        <v>0</v>
      </c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 spans="1:26" ht="15.75" customHeight="1" x14ac:dyDescent="0.2">
      <c r="A1475" s="1"/>
      <c r="B1475" s="2" t="s">
        <v>548</v>
      </c>
      <c r="C1475" s="3" t="s">
        <v>1616</v>
      </c>
      <c r="D1475" s="3" t="s">
        <v>484</v>
      </c>
      <c r="E1475" s="3" t="s">
        <v>676</v>
      </c>
      <c r="F1475" s="3" t="s">
        <v>1542</v>
      </c>
      <c r="G1475" s="3" t="s">
        <v>1207</v>
      </c>
      <c r="H1475" s="4"/>
      <c r="I1475" s="4">
        <f t="shared" si="127"/>
        <v>0</v>
      </c>
      <c r="J1475" s="4"/>
      <c r="K1475" s="4">
        <f t="shared" si="118"/>
        <v>0</v>
      </c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 spans="1:26" ht="15.75" customHeight="1" x14ac:dyDescent="0.2">
      <c r="A1476" s="1"/>
      <c r="B1476" s="2" t="s">
        <v>102</v>
      </c>
      <c r="C1476" s="3" t="s">
        <v>1421</v>
      </c>
      <c r="D1476" s="3" t="s">
        <v>901</v>
      </c>
      <c r="E1476" s="3" t="s">
        <v>876</v>
      </c>
      <c r="F1476" s="3" t="s">
        <v>1542</v>
      </c>
      <c r="G1476" s="3" t="s">
        <v>1207</v>
      </c>
      <c r="H1476" s="4"/>
      <c r="I1476" s="4">
        <f t="shared" si="127"/>
        <v>0</v>
      </c>
      <c r="J1476" s="4"/>
      <c r="K1476" s="4">
        <f t="shared" si="118"/>
        <v>0</v>
      </c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 spans="1:26" ht="15.75" customHeight="1" x14ac:dyDescent="0.2">
      <c r="A1477" s="1"/>
      <c r="B1477" s="2" t="s">
        <v>311</v>
      </c>
      <c r="C1477" s="3" t="s">
        <v>1421</v>
      </c>
      <c r="D1477" s="3" t="s">
        <v>901</v>
      </c>
      <c r="E1477" s="3" t="s">
        <v>876</v>
      </c>
      <c r="F1477" s="3" t="s">
        <v>1542</v>
      </c>
      <c r="G1477" s="3" t="s">
        <v>1207</v>
      </c>
      <c r="H1477" s="4"/>
      <c r="I1477" s="4">
        <f t="shared" si="127"/>
        <v>0</v>
      </c>
      <c r="J1477" s="4"/>
      <c r="K1477" s="4">
        <f t="shared" si="118"/>
        <v>0</v>
      </c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 spans="1:26" ht="15.75" customHeight="1" x14ac:dyDescent="0.2">
      <c r="A1478" s="1"/>
      <c r="B1478" s="2" t="s">
        <v>94</v>
      </c>
      <c r="C1478" s="3" t="s">
        <v>1617</v>
      </c>
      <c r="D1478" s="3" t="s">
        <v>1453</v>
      </c>
      <c r="E1478" s="3" t="s">
        <v>1235</v>
      </c>
      <c r="F1478" s="3" t="s">
        <v>1542</v>
      </c>
      <c r="G1478" s="3" t="s">
        <v>1207</v>
      </c>
      <c r="H1478" s="4"/>
      <c r="I1478" s="4">
        <f t="shared" si="127"/>
        <v>0</v>
      </c>
      <c r="J1478" s="4"/>
      <c r="K1478" s="4">
        <f t="shared" si="118"/>
        <v>0</v>
      </c>
      <c r="L1478" s="16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</row>
    <row r="1479" spans="1:26" ht="15.75" customHeight="1" x14ac:dyDescent="0.2">
      <c r="A1479" s="1"/>
      <c r="B1479" s="2" t="s">
        <v>303</v>
      </c>
      <c r="C1479" s="3" t="s">
        <v>1618</v>
      </c>
      <c r="D1479" s="3" t="s">
        <v>852</v>
      </c>
      <c r="E1479" s="3" t="s">
        <v>1619</v>
      </c>
      <c r="F1479" s="3" t="s">
        <v>1542</v>
      </c>
      <c r="G1479" s="3" t="s">
        <v>1207</v>
      </c>
      <c r="H1479" s="4"/>
      <c r="I1479" s="4">
        <f t="shared" si="127"/>
        <v>0</v>
      </c>
      <c r="J1479" s="4"/>
      <c r="K1479" s="4">
        <f t="shared" si="118"/>
        <v>0</v>
      </c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 spans="1:26" ht="15.75" customHeight="1" x14ac:dyDescent="0.2">
      <c r="A1480" s="1"/>
      <c r="B1480" s="2" t="s">
        <v>88</v>
      </c>
      <c r="C1480" s="3" t="s">
        <v>1618</v>
      </c>
      <c r="D1480" s="3" t="s">
        <v>852</v>
      </c>
      <c r="E1480" s="3" t="s">
        <v>1619</v>
      </c>
      <c r="F1480" s="3" t="s">
        <v>1542</v>
      </c>
      <c r="G1480" s="3" t="s">
        <v>1207</v>
      </c>
      <c r="H1480" s="4"/>
      <c r="I1480" s="4">
        <f t="shared" si="127"/>
        <v>0</v>
      </c>
      <c r="J1480" s="4"/>
      <c r="K1480" s="4">
        <f t="shared" si="118"/>
        <v>0</v>
      </c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 spans="1:26" ht="15.75" customHeight="1" x14ac:dyDescent="0.2">
      <c r="A1481" s="1"/>
      <c r="B1481" s="2" t="s">
        <v>94</v>
      </c>
      <c r="C1481" s="3" t="s">
        <v>1618</v>
      </c>
      <c r="D1481" s="3" t="s">
        <v>852</v>
      </c>
      <c r="E1481" s="3" t="s">
        <v>1619</v>
      </c>
      <c r="F1481" s="3" t="s">
        <v>1542</v>
      </c>
      <c r="G1481" s="3" t="s">
        <v>1207</v>
      </c>
      <c r="H1481" s="4"/>
      <c r="I1481" s="4">
        <f t="shared" si="127"/>
        <v>0</v>
      </c>
      <c r="J1481" s="4"/>
      <c r="K1481" s="4">
        <f t="shared" si="118"/>
        <v>0</v>
      </c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 spans="1:26" ht="15.75" customHeight="1" x14ac:dyDescent="0.2">
      <c r="A1482" s="1"/>
      <c r="B1482" s="2" t="s">
        <v>88</v>
      </c>
      <c r="C1482" s="3" t="s">
        <v>1620</v>
      </c>
      <c r="D1482" s="3" t="s">
        <v>124</v>
      </c>
      <c r="E1482" s="3" t="s">
        <v>40</v>
      </c>
      <c r="F1482" s="3" t="s">
        <v>1542</v>
      </c>
      <c r="G1482" s="3" t="s">
        <v>1207</v>
      </c>
      <c r="H1482" s="4"/>
      <c r="I1482" s="4">
        <f t="shared" si="127"/>
        <v>0</v>
      </c>
      <c r="J1482" s="4"/>
      <c r="K1482" s="4">
        <f t="shared" si="118"/>
        <v>0</v>
      </c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 spans="1:26" ht="15.75" customHeight="1" x14ac:dyDescent="0.2">
      <c r="A1483" s="1"/>
      <c r="B1483" s="2" t="s">
        <v>323</v>
      </c>
      <c r="C1483" s="3" t="s">
        <v>1621</v>
      </c>
      <c r="D1483" s="3" t="s">
        <v>186</v>
      </c>
      <c r="E1483" s="3" t="s">
        <v>306</v>
      </c>
      <c r="F1483" s="3" t="s">
        <v>1542</v>
      </c>
      <c r="G1483" s="3" t="s">
        <v>1207</v>
      </c>
      <c r="H1483" s="4"/>
      <c r="I1483" s="4">
        <f t="shared" si="127"/>
        <v>0</v>
      </c>
      <c r="J1483" s="4"/>
      <c r="K1483" s="4">
        <f t="shared" si="118"/>
        <v>0</v>
      </c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 spans="1:26" ht="15.75" customHeight="1" x14ac:dyDescent="0.2">
      <c r="A1484" s="1"/>
      <c r="B1484" s="2" t="s">
        <v>297</v>
      </c>
      <c r="C1484" s="3" t="s">
        <v>1621</v>
      </c>
      <c r="D1484" s="3" t="s">
        <v>186</v>
      </c>
      <c r="E1484" s="3" t="s">
        <v>306</v>
      </c>
      <c r="F1484" s="3" t="s">
        <v>1542</v>
      </c>
      <c r="G1484" s="3" t="s">
        <v>1207</v>
      </c>
      <c r="H1484" s="4"/>
      <c r="I1484" s="4">
        <f t="shared" si="127"/>
        <v>0</v>
      </c>
      <c r="J1484" s="4"/>
      <c r="K1484" s="4">
        <f t="shared" si="118"/>
        <v>0</v>
      </c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 spans="1:26" ht="15.75" customHeight="1" x14ac:dyDescent="0.2">
      <c r="A1485" s="1"/>
      <c r="B1485" s="2" t="s">
        <v>88</v>
      </c>
      <c r="C1485" s="3" t="s">
        <v>1622</v>
      </c>
      <c r="D1485" s="3" t="s">
        <v>1595</v>
      </c>
      <c r="E1485" s="3" t="s">
        <v>626</v>
      </c>
      <c r="F1485" s="3" t="s">
        <v>1542</v>
      </c>
      <c r="G1485" s="3" t="s">
        <v>1207</v>
      </c>
      <c r="H1485" s="4"/>
      <c r="I1485" s="4">
        <f t="shared" si="127"/>
        <v>0</v>
      </c>
      <c r="J1485" s="4"/>
      <c r="K1485" s="4">
        <f t="shared" si="118"/>
        <v>0</v>
      </c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 spans="1:26" ht="15.75" customHeight="1" x14ac:dyDescent="0.2">
      <c r="A1486" s="1"/>
      <c r="B1486" s="2" t="s">
        <v>88</v>
      </c>
      <c r="C1486" s="3" t="s">
        <v>1544</v>
      </c>
      <c r="D1486" s="3" t="s">
        <v>186</v>
      </c>
      <c r="E1486" s="3" t="s">
        <v>112</v>
      </c>
      <c r="F1486" s="3" t="s">
        <v>1542</v>
      </c>
      <c r="G1486" s="3" t="s">
        <v>1207</v>
      </c>
      <c r="H1486" s="4"/>
      <c r="I1486" s="4">
        <f t="shared" si="127"/>
        <v>0</v>
      </c>
      <c r="J1486" s="4"/>
      <c r="K1486" s="4">
        <f t="shared" si="118"/>
        <v>0</v>
      </c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 spans="1:26" ht="15.75" customHeight="1" x14ac:dyDescent="0.2">
      <c r="A1487" s="1"/>
      <c r="B1487" s="2" t="s">
        <v>94</v>
      </c>
      <c r="C1487" s="3" t="s">
        <v>1544</v>
      </c>
      <c r="D1487" s="3" t="s">
        <v>186</v>
      </c>
      <c r="E1487" s="3" t="s">
        <v>112</v>
      </c>
      <c r="F1487" s="3" t="s">
        <v>1542</v>
      </c>
      <c r="G1487" s="3" t="s">
        <v>1207</v>
      </c>
      <c r="H1487" s="4"/>
      <c r="I1487" s="4">
        <f t="shared" si="127"/>
        <v>0</v>
      </c>
      <c r="J1487" s="4"/>
      <c r="K1487" s="4">
        <f t="shared" si="118"/>
        <v>0</v>
      </c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 spans="1:26" ht="15.75" customHeight="1" x14ac:dyDescent="0.2">
      <c r="A1488" s="1"/>
      <c r="B1488" s="2" t="s">
        <v>102</v>
      </c>
      <c r="C1488" s="3" t="s">
        <v>1564</v>
      </c>
      <c r="D1488" s="3" t="s">
        <v>1068</v>
      </c>
      <c r="E1488" s="3" t="s">
        <v>319</v>
      </c>
      <c r="F1488" s="3" t="s">
        <v>1542</v>
      </c>
      <c r="G1488" s="3" t="s">
        <v>1207</v>
      </c>
      <c r="H1488" s="4"/>
      <c r="I1488" s="4">
        <f t="shared" si="127"/>
        <v>0</v>
      </c>
      <c r="J1488" s="4"/>
      <c r="K1488" s="4">
        <f t="shared" si="118"/>
        <v>0</v>
      </c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 spans="1:26" ht="15.75" customHeight="1" x14ac:dyDescent="0.2">
      <c r="A1489" s="1"/>
      <c r="B1489" s="2" t="s">
        <v>303</v>
      </c>
      <c r="C1489" s="3" t="s">
        <v>1564</v>
      </c>
      <c r="D1489" s="3" t="s">
        <v>1068</v>
      </c>
      <c r="E1489" s="3" t="s">
        <v>319</v>
      </c>
      <c r="F1489" s="3" t="s">
        <v>1542</v>
      </c>
      <c r="G1489" s="3" t="s">
        <v>1207</v>
      </c>
      <c r="H1489" s="4"/>
      <c r="I1489" s="4">
        <f t="shared" si="127"/>
        <v>0</v>
      </c>
      <c r="J1489" s="4"/>
      <c r="K1489" s="4">
        <f t="shared" si="118"/>
        <v>0</v>
      </c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 spans="1:26" ht="15.75" customHeight="1" x14ac:dyDescent="0.2">
      <c r="A1490" s="1"/>
      <c r="B1490" s="2" t="s">
        <v>421</v>
      </c>
      <c r="C1490" s="3" t="s">
        <v>1623</v>
      </c>
      <c r="D1490" s="3" t="s">
        <v>557</v>
      </c>
      <c r="E1490" s="3" t="s">
        <v>302</v>
      </c>
      <c r="F1490" s="3" t="s">
        <v>1542</v>
      </c>
      <c r="G1490" s="3" t="s">
        <v>1207</v>
      </c>
      <c r="H1490" s="4"/>
      <c r="I1490" s="4">
        <f t="shared" si="127"/>
        <v>0</v>
      </c>
      <c r="J1490" s="4"/>
      <c r="K1490" s="4">
        <f t="shared" si="118"/>
        <v>0</v>
      </c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 spans="1:26" ht="15.75" customHeight="1" x14ac:dyDescent="0.2">
      <c r="A1491" s="1"/>
      <c r="B1491" s="2" t="s">
        <v>307</v>
      </c>
      <c r="C1491" s="3" t="s">
        <v>1623</v>
      </c>
      <c r="D1491" s="3" t="s">
        <v>557</v>
      </c>
      <c r="E1491" s="3" t="s">
        <v>302</v>
      </c>
      <c r="F1491" s="3" t="s">
        <v>1542</v>
      </c>
      <c r="G1491" s="3" t="s">
        <v>1207</v>
      </c>
      <c r="H1491" s="4"/>
      <c r="I1491" s="4">
        <f t="shared" si="127"/>
        <v>0</v>
      </c>
      <c r="J1491" s="4"/>
      <c r="K1491" s="4">
        <f t="shared" si="118"/>
        <v>0</v>
      </c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 spans="1:26" ht="15.75" customHeight="1" x14ac:dyDescent="0.2">
      <c r="A1492" s="1"/>
      <c r="B1492" s="2" t="s">
        <v>108</v>
      </c>
      <c r="C1492" s="3" t="s">
        <v>1623</v>
      </c>
      <c r="D1492" s="3" t="s">
        <v>557</v>
      </c>
      <c r="E1492" s="3" t="s">
        <v>302</v>
      </c>
      <c r="F1492" s="3" t="s">
        <v>1542</v>
      </c>
      <c r="G1492" s="3" t="s">
        <v>1207</v>
      </c>
      <c r="H1492" s="4"/>
      <c r="I1492" s="4">
        <f t="shared" si="127"/>
        <v>0</v>
      </c>
      <c r="J1492" s="4"/>
      <c r="K1492" s="4">
        <f t="shared" si="118"/>
        <v>0</v>
      </c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 spans="1:26" ht="15.75" customHeight="1" x14ac:dyDescent="0.2">
      <c r="A1493" s="1"/>
      <c r="B1493" s="2" t="s">
        <v>307</v>
      </c>
      <c r="C1493" s="3" t="s">
        <v>1623</v>
      </c>
      <c r="D1493" s="3" t="s">
        <v>1041</v>
      </c>
      <c r="E1493" s="3" t="s">
        <v>302</v>
      </c>
      <c r="F1493" s="3" t="s">
        <v>1542</v>
      </c>
      <c r="G1493" s="3" t="s">
        <v>1207</v>
      </c>
      <c r="H1493" s="4"/>
      <c r="I1493" s="4">
        <f t="shared" si="127"/>
        <v>0</v>
      </c>
      <c r="J1493" s="4"/>
      <c r="K1493" s="4">
        <f t="shared" si="118"/>
        <v>0</v>
      </c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 spans="1:26" ht="15.75" customHeight="1" x14ac:dyDescent="0.2">
      <c r="A1494" s="1"/>
      <c r="B1494" s="2" t="s">
        <v>311</v>
      </c>
      <c r="C1494" s="3" t="s">
        <v>1623</v>
      </c>
      <c r="D1494" s="3" t="s">
        <v>1041</v>
      </c>
      <c r="E1494" s="3" t="s">
        <v>302</v>
      </c>
      <c r="F1494" s="3" t="s">
        <v>1542</v>
      </c>
      <c r="G1494" s="3" t="s">
        <v>1207</v>
      </c>
      <c r="H1494" s="4"/>
      <c r="I1494" s="4">
        <f t="shared" si="127"/>
        <v>0</v>
      </c>
      <c r="J1494" s="4"/>
      <c r="K1494" s="4">
        <f t="shared" si="118"/>
        <v>0</v>
      </c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 spans="1:26" ht="15.75" customHeight="1" x14ac:dyDescent="0.2">
      <c r="A1495" s="1"/>
      <c r="B1495" s="2" t="s">
        <v>108</v>
      </c>
      <c r="C1495" s="3" t="s">
        <v>1623</v>
      </c>
      <c r="D1495" s="3" t="s">
        <v>1041</v>
      </c>
      <c r="E1495" s="3" t="s">
        <v>302</v>
      </c>
      <c r="F1495" s="3" t="s">
        <v>1542</v>
      </c>
      <c r="G1495" s="3" t="s">
        <v>1207</v>
      </c>
      <c r="H1495" s="4"/>
      <c r="I1495" s="4">
        <f t="shared" si="127"/>
        <v>0</v>
      </c>
      <c r="J1495" s="4"/>
      <c r="K1495" s="4">
        <f t="shared" si="118"/>
        <v>0</v>
      </c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 spans="1:26" ht="15.75" customHeight="1" x14ac:dyDescent="0.2">
      <c r="A1496" s="1"/>
      <c r="B1496" s="2" t="s">
        <v>88</v>
      </c>
      <c r="C1496" s="3" t="s">
        <v>1554</v>
      </c>
      <c r="D1496" s="3" t="s">
        <v>58</v>
      </c>
      <c r="E1496" s="3" t="s">
        <v>306</v>
      </c>
      <c r="F1496" s="3" t="s">
        <v>1542</v>
      </c>
      <c r="G1496" s="3" t="s">
        <v>1207</v>
      </c>
      <c r="H1496" s="4"/>
      <c r="I1496" s="4">
        <f t="shared" si="127"/>
        <v>0</v>
      </c>
      <c r="J1496" s="4"/>
      <c r="K1496" s="4">
        <f t="shared" ref="K1496:K1750" si="128">J1496*4000</f>
        <v>0</v>
      </c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 spans="1:26" ht="15.75" customHeight="1" x14ac:dyDescent="0.2">
      <c r="A1497" s="1"/>
      <c r="B1497" s="2" t="s">
        <v>94</v>
      </c>
      <c r="C1497" s="3" t="s">
        <v>1554</v>
      </c>
      <c r="D1497" s="3" t="s">
        <v>58</v>
      </c>
      <c r="E1497" s="3" t="s">
        <v>306</v>
      </c>
      <c r="F1497" s="3" t="s">
        <v>1542</v>
      </c>
      <c r="G1497" s="3" t="s">
        <v>1207</v>
      </c>
      <c r="H1497" s="4"/>
      <c r="I1497" s="4">
        <f t="shared" si="127"/>
        <v>0</v>
      </c>
      <c r="J1497" s="4"/>
      <c r="K1497" s="4">
        <f t="shared" si="128"/>
        <v>0</v>
      </c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 spans="1:26" ht="15.75" customHeight="1" x14ac:dyDescent="0.2">
      <c r="A1498" s="1"/>
      <c r="B1498" s="2" t="s">
        <v>88</v>
      </c>
      <c r="C1498" s="3" t="s">
        <v>1624</v>
      </c>
      <c r="D1498" s="3" t="s">
        <v>1497</v>
      </c>
      <c r="E1498" s="3" t="s">
        <v>18</v>
      </c>
      <c r="F1498" s="3" t="s">
        <v>1542</v>
      </c>
      <c r="G1498" s="3" t="s">
        <v>1207</v>
      </c>
      <c r="H1498" s="4"/>
      <c r="I1498" s="4">
        <f t="shared" si="127"/>
        <v>0</v>
      </c>
      <c r="J1498" s="4"/>
      <c r="K1498" s="4">
        <f t="shared" si="128"/>
        <v>0</v>
      </c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 spans="1:26" ht="15.75" customHeight="1" x14ac:dyDescent="0.2">
      <c r="A1499" s="1"/>
      <c r="B1499" s="2" t="s">
        <v>296</v>
      </c>
      <c r="C1499" s="3" t="s">
        <v>635</v>
      </c>
      <c r="D1499" s="3" t="s">
        <v>139</v>
      </c>
      <c r="E1499" s="3" t="s">
        <v>306</v>
      </c>
      <c r="F1499" s="3" t="s">
        <v>1542</v>
      </c>
      <c r="G1499" s="3" t="s">
        <v>1207</v>
      </c>
      <c r="H1499" s="4"/>
      <c r="I1499" s="4">
        <f t="shared" si="127"/>
        <v>0</v>
      </c>
      <c r="J1499" s="4"/>
      <c r="K1499" s="4">
        <f t="shared" si="128"/>
        <v>0</v>
      </c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 spans="1:26" ht="15.75" customHeight="1" x14ac:dyDescent="0.2">
      <c r="A1500" s="1"/>
      <c r="B1500" s="2" t="s">
        <v>238</v>
      </c>
      <c r="C1500" s="3" t="s">
        <v>635</v>
      </c>
      <c r="D1500" s="3" t="s">
        <v>139</v>
      </c>
      <c r="E1500" s="3" t="s">
        <v>306</v>
      </c>
      <c r="F1500" s="3" t="s">
        <v>1542</v>
      </c>
      <c r="G1500" s="3" t="s">
        <v>1207</v>
      </c>
      <c r="H1500" s="4"/>
      <c r="I1500" s="4">
        <f t="shared" si="127"/>
        <v>0</v>
      </c>
      <c r="J1500" s="4"/>
      <c r="K1500" s="4">
        <f t="shared" si="128"/>
        <v>0</v>
      </c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 spans="1:26" ht="15.75" customHeight="1" x14ac:dyDescent="0.2">
      <c r="A1501" s="1"/>
      <c r="B1501" s="2" t="s">
        <v>88</v>
      </c>
      <c r="C1501" s="3" t="s">
        <v>1625</v>
      </c>
      <c r="D1501" s="3" t="s">
        <v>353</v>
      </c>
      <c r="E1501" s="3" t="s">
        <v>319</v>
      </c>
      <c r="F1501" s="3" t="s">
        <v>1542</v>
      </c>
      <c r="G1501" s="3" t="s">
        <v>1207</v>
      </c>
      <c r="H1501" s="4"/>
      <c r="I1501" s="4">
        <f t="shared" si="127"/>
        <v>0</v>
      </c>
      <c r="J1501" s="4"/>
      <c r="K1501" s="4">
        <f t="shared" si="128"/>
        <v>0</v>
      </c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 spans="1:26" ht="15.75" customHeight="1" x14ac:dyDescent="0.2">
      <c r="A1502" s="1"/>
      <c r="B1502" s="2" t="s">
        <v>297</v>
      </c>
      <c r="C1502" s="3" t="s">
        <v>1626</v>
      </c>
      <c r="D1502" s="3" t="s">
        <v>1627</v>
      </c>
      <c r="E1502" s="3" t="s">
        <v>1367</v>
      </c>
      <c r="F1502" s="3" t="s">
        <v>1542</v>
      </c>
      <c r="G1502" s="3" t="s">
        <v>1207</v>
      </c>
      <c r="H1502" s="4"/>
      <c r="I1502" s="4">
        <f t="shared" si="127"/>
        <v>0</v>
      </c>
      <c r="J1502" s="4"/>
      <c r="K1502" s="4">
        <f t="shared" si="128"/>
        <v>0</v>
      </c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 spans="1:26" ht="15.75" customHeight="1" x14ac:dyDescent="0.2">
      <c r="A1503" s="1"/>
      <c r="B1503" s="2" t="s">
        <v>300</v>
      </c>
      <c r="C1503" s="3" t="s">
        <v>1626</v>
      </c>
      <c r="D1503" s="3" t="s">
        <v>1627</v>
      </c>
      <c r="E1503" s="3" t="s">
        <v>1367</v>
      </c>
      <c r="F1503" s="3" t="s">
        <v>1542</v>
      </c>
      <c r="G1503" s="3" t="s">
        <v>1207</v>
      </c>
      <c r="H1503" s="4"/>
      <c r="I1503" s="4">
        <f t="shared" si="127"/>
        <v>0</v>
      </c>
      <c r="J1503" s="4"/>
      <c r="K1503" s="4">
        <f t="shared" si="128"/>
        <v>0</v>
      </c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 spans="1:26" ht="15.75" customHeight="1" x14ac:dyDescent="0.2">
      <c r="A1504" s="1"/>
      <c r="B1504" s="2" t="s">
        <v>121</v>
      </c>
      <c r="C1504" s="3" t="s">
        <v>1628</v>
      </c>
      <c r="D1504" s="3" t="s">
        <v>1629</v>
      </c>
      <c r="E1504" s="3" t="s">
        <v>1630</v>
      </c>
      <c r="F1504" s="3" t="s">
        <v>1542</v>
      </c>
      <c r="G1504" s="3" t="s">
        <v>1207</v>
      </c>
      <c r="H1504" s="4"/>
      <c r="I1504" s="4">
        <f t="shared" si="127"/>
        <v>0</v>
      </c>
      <c r="J1504" s="4"/>
      <c r="K1504" s="4">
        <f t="shared" si="128"/>
        <v>0</v>
      </c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 spans="1:26" ht="15.75" customHeight="1" x14ac:dyDescent="0.2">
      <c r="A1505" s="1"/>
      <c r="B1505" s="2" t="s">
        <v>315</v>
      </c>
      <c r="C1505" s="3" t="s">
        <v>1628</v>
      </c>
      <c r="D1505" s="3" t="s">
        <v>1629</v>
      </c>
      <c r="E1505" s="3" t="s">
        <v>1630</v>
      </c>
      <c r="F1505" s="3" t="s">
        <v>1542</v>
      </c>
      <c r="G1505" s="3" t="s">
        <v>1207</v>
      </c>
      <c r="H1505" s="4"/>
      <c r="I1505" s="4">
        <f t="shared" si="127"/>
        <v>0</v>
      </c>
      <c r="J1505" s="4"/>
      <c r="K1505" s="4">
        <f t="shared" si="128"/>
        <v>0</v>
      </c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 spans="1:26" ht="15.75" customHeight="1" x14ac:dyDescent="0.2">
      <c r="A1506" s="1">
        <v>199</v>
      </c>
      <c r="B1506" s="13" t="s">
        <v>1631</v>
      </c>
      <c r="C1506" s="14" t="s">
        <v>1632</v>
      </c>
      <c r="D1506" s="14" t="s">
        <v>1633</v>
      </c>
      <c r="E1506" s="14" t="s">
        <v>1634</v>
      </c>
      <c r="F1506" s="14" t="s">
        <v>1635</v>
      </c>
      <c r="G1506" s="14" t="s">
        <v>1207</v>
      </c>
      <c r="H1506" s="4"/>
      <c r="I1506" s="4">
        <f t="shared" ref="I1506:I1515" si="129">H1506*2300</f>
        <v>0</v>
      </c>
      <c r="J1506" s="4"/>
      <c r="K1506" s="4">
        <f t="shared" si="128"/>
        <v>0</v>
      </c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 spans="1:26" ht="15.75" customHeight="1" x14ac:dyDescent="0.2">
      <c r="A1507" s="1">
        <v>217</v>
      </c>
      <c r="B1507" s="13" t="s">
        <v>1636</v>
      </c>
      <c r="C1507" s="14" t="s">
        <v>1632</v>
      </c>
      <c r="D1507" s="14" t="s">
        <v>1633</v>
      </c>
      <c r="E1507" s="14" t="s">
        <v>1634</v>
      </c>
      <c r="F1507" s="14" t="s">
        <v>1635</v>
      </c>
      <c r="G1507" s="14" t="s">
        <v>1207</v>
      </c>
      <c r="H1507" s="4"/>
      <c r="I1507" s="4">
        <f t="shared" si="129"/>
        <v>0</v>
      </c>
      <c r="J1507" s="4"/>
      <c r="K1507" s="4">
        <f t="shared" si="128"/>
        <v>0</v>
      </c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 spans="1:26" ht="15.75" customHeight="1" x14ac:dyDescent="0.2">
      <c r="A1508" s="1"/>
      <c r="B1508" s="19" t="s">
        <v>296</v>
      </c>
      <c r="C1508" s="3" t="s">
        <v>1637</v>
      </c>
      <c r="D1508" s="3" t="s">
        <v>104</v>
      </c>
      <c r="E1508" s="3" t="s">
        <v>1372</v>
      </c>
      <c r="F1508" s="3" t="s">
        <v>1638</v>
      </c>
      <c r="G1508" s="3" t="s">
        <v>1207</v>
      </c>
      <c r="H1508" s="4"/>
      <c r="I1508" s="4">
        <f t="shared" si="129"/>
        <v>0</v>
      </c>
      <c r="J1508" s="4"/>
      <c r="K1508" s="4">
        <f t="shared" si="128"/>
        <v>0</v>
      </c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 spans="1:26" ht="15.75" customHeight="1" x14ac:dyDescent="0.2">
      <c r="A1509" s="1"/>
      <c r="B1509" s="2" t="s">
        <v>108</v>
      </c>
      <c r="C1509" s="3" t="s">
        <v>1637</v>
      </c>
      <c r="D1509" s="3" t="s">
        <v>104</v>
      </c>
      <c r="E1509" s="3" t="s">
        <v>1372</v>
      </c>
      <c r="F1509" s="3" t="s">
        <v>1638</v>
      </c>
      <c r="G1509" s="3" t="s">
        <v>1207</v>
      </c>
      <c r="H1509" s="4"/>
      <c r="I1509" s="4">
        <f t="shared" si="129"/>
        <v>0</v>
      </c>
      <c r="J1509" s="4"/>
      <c r="K1509" s="4">
        <f t="shared" si="128"/>
        <v>0</v>
      </c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 spans="1:26" ht="15.75" customHeight="1" x14ac:dyDescent="0.2">
      <c r="A1510" s="1"/>
      <c r="B1510" s="2" t="s">
        <v>303</v>
      </c>
      <c r="C1510" s="3" t="s">
        <v>1637</v>
      </c>
      <c r="D1510" s="3" t="s">
        <v>104</v>
      </c>
      <c r="E1510" s="3" t="s">
        <v>1372</v>
      </c>
      <c r="F1510" s="3" t="s">
        <v>1638</v>
      </c>
      <c r="G1510" s="3" t="s">
        <v>1207</v>
      </c>
      <c r="H1510" s="4"/>
      <c r="I1510" s="4">
        <f t="shared" si="129"/>
        <v>0</v>
      </c>
      <c r="J1510" s="4"/>
      <c r="K1510" s="4">
        <f t="shared" si="128"/>
        <v>0</v>
      </c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 spans="1:26" ht="15.75" customHeight="1" x14ac:dyDescent="0.2">
      <c r="A1511" s="1"/>
      <c r="B1511" s="2" t="s">
        <v>94</v>
      </c>
      <c r="C1511" s="3" t="s">
        <v>1637</v>
      </c>
      <c r="D1511" s="3" t="s">
        <v>104</v>
      </c>
      <c r="E1511" s="3" t="s">
        <v>1372</v>
      </c>
      <c r="F1511" s="3" t="s">
        <v>1638</v>
      </c>
      <c r="G1511" s="3" t="s">
        <v>1207</v>
      </c>
      <c r="H1511" s="4"/>
      <c r="I1511" s="4">
        <f t="shared" si="129"/>
        <v>0</v>
      </c>
      <c r="J1511" s="4"/>
      <c r="K1511" s="4">
        <f t="shared" si="128"/>
        <v>0</v>
      </c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 spans="1:26" ht="15.75" customHeight="1" x14ac:dyDescent="0.2">
      <c r="A1512" s="1"/>
      <c r="B1512" s="2" t="s">
        <v>94</v>
      </c>
      <c r="C1512" s="3" t="s">
        <v>1639</v>
      </c>
      <c r="D1512" s="3" t="s">
        <v>28</v>
      </c>
      <c r="E1512" s="3" t="s">
        <v>1212</v>
      </c>
      <c r="F1512" s="3" t="s">
        <v>1638</v>
      </c>
      <c r="G1512" s="3" t="s">
        <v>1207</v>
      </c>
      <c r="H1512" s="4"/>
      <c r="I1512" s="4">
        <f t="shared" si="129"/>
        <v>0</v>
      </c>
      <c r="J1512" s="4"/>
      <c r="K1512" s="4">
        <f t="shared" si="128"/>
        <v>0</v>
      </c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 spans="1:26" ht="15.75" customHeight="1" x14ac:dyDescent="0.2">
      <c r="A1513" s="1"/>
      <c r="B1513" s="2" t="s">
        <v>121</v>
      </c>
      <c r="C1513" s="3" t="s">
        <v>1639</v>
      </c>
      <c r="D1513" s="3" t="s">
        <v>1640</v>
      </c>
      <c r="E1513" s="3" t="s">
        <v>1212</v>
      </c>
      <c r="F1513" s="3" t="s">
        <v>1638</v>
      </c>
      <c r="G1513" s="3" t="s">
        <v>1207</v>
      </c>
      <c r="H1513" s="4"/>
      <c r="I1513" s="4">
        <f t="shared" si="129"/>
        <v>0</v>
      </c>
      <c r="J1513" s="4"/>
      <c r="K1513" s="4">
        <f t="shared" si="128"/>
        <v>0</v>
      </c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 spans="1:26" ht="15.75" customHeight="1" x14ac:dyDescent="0.2">
      <c r="A1514" s="1"/>
      <c r="B1514" s="2" t="s">
        <v>315</v>
      </c>
      <c r="C1514" s="3" t="s">
        <v>1639</v>
      </c>
      <c r="D1514" s="3" t="s">
        <v>1640</v>
      </c>
      <c r="E1514" s="3" t="s">
        <v>1212</v>
      </c>
      <c r="F1514" s="23" t="s">
        <v>1638</v>
      </c>
      <c r="G1514" s="3" t="s">
        <v>1207</v>
      </c>
      <c r="H1514" s="4"/>
      <c r="I1514" s="4">
        <f t="shared" si="129"/>
        <v>0</v>
      </c>
      <c r="J1514" s="4"/>
      <c r="K1514" s="4">
        <f t="shared" si="128"/>
        <v>0</v>
      </c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 spans="1:26" ht="15.75" customHeight="1" x14ac:dyDescent="0.2">
      <c r="A1515" s="1">
        <v>283</v>
      </c>
      <c r="B1515" s="13" t="s">
        <v>628</v>
      </c>
      <c r="C1515" s="14" t="s">
        <v>1641</v>
      </c>
      <c r="D1515" s="14" t="s">
        <v>441</v>
      </c>
      <c r="E1515" s="14" t="s">
        <v>393</v>
      </c>
      <c r="F1515" s="14" t="s">
        <v>1638</v>
      </c>
      <c r="G1515" s="14" t="s">
        <v>1207</v>
      </c>
      <c r="H1515" s="4"/>
      <c r="I1515" s="4">
        <f t="shared" si="129"/>
        <v>0</v>
      </c>
      <c r="J1515" s="4"/>
      <c r="K1515" s="4">
        <f t="shared" si="128"/>
        <v>0</v>
      </c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 spans="1:26" ht="15.75" customHeight="1" x14ac:dyDescent="0.2">
      <c r="A1516" s="1">
        <v>1295</v>
      </c>
      <c r="B1516" s="13" t="s">
        <v>453</v>
      </c>
      <c r="C1516" s="14" t="s">
        <v>1641</v>
      </c>
      <c r="D1516" s="14" t="s">
        <v>441</v>
      </c>
      <c r="E1516" s="14" t="s">
        <v>393</v>
      </c>
      <c r="F1516" s="14" t="s">
        <v>1638</v>
      </c>
      <c r="G1516" s="14" t="s">
        <v>1207</v>
      </c>
      <c r="H1516" s="4"/>
      <c r="I1516" s="4">
        <f t="shared" ref="I1516:I1531" si="130">H1516*1800</f>
        <v>0</v>
      </c>
      <c r="J1516" s="4"/>
      <c r="K1516" s="4">
        <f t="shared" si="128"/>
        <v>0</v>
      </c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 spans="1:26" ht="15.75" customHeight="1" x14ac:dyDescent="0.2">
      <c r="A1517" s="1">
        <v>1793</v>
      </c>
      <c r="B1517" s="13" t="s">
        <v>442</v>
      </c>
      <c r="C1517" s="14" t="s">
        <v>1641</v>
      </c>
      <c r="D1517" s="14" t="s">
        <v>441</v>
      </c>
      <c r="E1517" s="14" t="s">
        <v>393</v>
      </c>
      <c r="F1517" s="14" t="s">
        <v>1638</v>
      </c>
      <c r="G1517" s="14" t="s">
        <v>1207</v>
      </c>
      <c r="H1517" s="4"/>
      <c r="I1517" s="4">
        <f t="shared" si="130"/>
        <v>0</v>
      </c>
      <c r="J1517" s="4"/>
      <c r="K1517" s="4">
        <f t="shared" si="128"/>
        <v>0</v>
      </c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 spans="1:26" ht="15.75" customHeight="1" x14ac:dyDescent="0.2">
      <c r="A1518" s="1">
        <v>2131</v>
      </c>
      <c r="B1518" s="13" t="s">
        <v>280</v>
      </c>
      <c r="C1518" s="14" t="s">
        <v>1641</v>
      </c>
      <c r="D1518" s="14" t="s">
        <v>441</v>
      </c>
      <c r="E1518" s="14" t="s">
        <v>393</v>
      </c>
      <c r="F1518" s="14" t="s">
        <v>1638</v>
      </c>
      <c r="G1518" s="14" t="s">
        <v>1207</v>
      </c>
      <c r="H1518" s="4"/>
      <c r="I1518" s="4">
        <f t="shared" si="130"/>
        <v>0</v>
      </c>
      <c r="J1518" s="4"/>
      <c r="K1518" s="4">
        <f t="shared" si="128"/>
        <v>0</v>
      </c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 spans="1:26" ht="15.75" customHeight="1" x14ac:dyDescent="0.2">
      <c r="A1519" s="1"/>
      <c r="B1519" s="2" t="s">
        <v>102</v>
      </c>
      <c r="C1519" s="3" t="s">
        <v>1444</v>
      </c>
      <c r="D1519" s="3" t="s">
        <v>600</v>
      </c>
      <c r="E1519" s="3" t="s">
        <v>1081</v>
      </c>
      <c r="F1519" s="3" t="s">
        <v>1638</v>
      </c>
      <c r="G1519" s="3" t="s">
        <v>1207</v>
      </c>
      <c r="H1519" s="4"/>
      <c r="I1519" s="4">
        <f t="shared" si="130"/>
        <v>0</v>
      </c>
      <c r="J1519" s="4"/>
      <c r="K1519" s="4">
        <f t="shared" si="128"/>
        <v>0</v>
      </c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 spans="1:26" ht="15.75" customHeight="1" x14ac:dyDescent="0.2">
      <c r="A1520" s="1"/>
      <c r="B1520" s="2" t="s">
        <v>232</v>
      </c>
      <c r="C1520" s="3" t="s">
        <v>1444</v>
      </c>
      <c r="D1520" s="3" t="s">
        <v>600</v>
      </c>
      <c r="E1520" s="3" t="s">
        <v>1081</v>
      </c>
      <c r="F1520" s="3" t="s">
        <v>1638</v>
      </c>
      <c r="G1520" s="3" t="s">
        <v>1207</v>
      </c>
      <c r="H1520" s="4"/>
      <c r="I1520" s="4">
        <f t="shared" si="130"/>
        <v>0</v>
      </c>
      <c r="J1520" s="4"/>
      <c r="K1520" s="4">
        <f t="shared" si="128"/>
        <v>0</v>
      </c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 spans="1:26" ht="15.75" customHeight="1" x14ac:dyDescent="0.2">
      <c r="A1521" s="1"/>
      <c r="B1521" s="2" t="s">
        <v>94</v>
      </c>
      <c r="C1521" s="3" t="s">
        <v>1444</v>
      </c>
      <c r="D1521" s="3" t="s">
        <v>600</v>
      </c>
      <c r="E1521" s="3" t="s">
        <v>1081</v>
      </c>
      <c r="F1521" s="3" t="s">
        <v>1638</v>
      </c>
      <c r="G1521" s="3" t="s">
        <v>1207</v>
      </c>
      <c r="H1521" s="4"/>
      <c r="I1521" s="4">
        <f t="shared" si="130"/>
        <v>0</v>
      </c>
      <c r="J1521" s="4"/>
      <c r="K1521" s="4">
        <f t="shared" si="128"/>
        <v>0</v>
      </c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 spans="1:26" ht="15.75" customHeight="1" x14ac:dyDescent="0.2">
      <c r="A1522" s="1">
        <v>1501</v>
      </c>
      <c r="B1522" s="13" t="s">
        <v>262</v>
      </c>
      <c r="C1522" s="14" t="s">
        <v>1642</v>
      </c>
      <c r="D1522" s="14" t="s">
        <v>1643</v>
      </c>
      <c r="E1522" s="14" t="s">
        <v>1387</v>
      </c>
      <c r="F1522" s="14" t="s">
        <v>1638</v>
      </c>
      <c r="G1522" s="14" t="s">
        <v>1207</v>
      </c>
      <c r="H1522" s="4"/>
      <c r="I1522" s="4">
        <f t="shared" si="130"/>
        <v>0</v>
      </c>
      <c r="J1522" s="4"/>
      <c r="K1522" s="4">
        <f t="shared" si="128"/>
        <v>0</v>
      </c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 spans="1:26" ht="15.75" customHeight="1" x14ac:dyDescent="0.2">
      <c r="A1523" s="1">
        <v>2525</v>
      </c>
      <c r="B1523" s="13" t="s">
        <v>1587</v>
      </c>
      <c r="C1523" s="14" t="s">
        <v>1642</v>
      </c>
      <c r="D1523" s="14" t="s">
        <v>1643</v>
      </c>
      <c r="E1523" s="14" t="s">
        <v>1387</v>
      </c>
      <c r="F1523" s="14" t="s">
        <v>1638</v>
      </c>
      <c r="G1523" s="14" t="s">
        <v>1207</v>
      </c>
      <c r="H1523" s="4"/>
      <c r="I1523" s="4">
        <f t="shared" si="130"/>
        <v>0</v>
      </c>
      <c r="J1523" s="4"/>
      <c r="K1523" s="4">
        <f t="shared" si="128"/>
        <v>0</v>
      </c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 spans="1:26" ht="15.75" customHeight="1" x14ac:dyDescent="0.2">
      <c r="A1524" s="1">
        <v>2717</v>
      </c>
      <c r="B1524" s="13" t="s">
        <v>703</v>
      </c>
      <c r="C1524" s="14" t="s">
        <v>1642</v>
      </c>
      <c r="D1524" s="14" t="s">
        <v>1643</v>
      </c>
      <c r="E1524" s="14" t="s">
        <v>1387</v>
      </c>
      <c r="F1524" s="14" t="s">
        <v>1638</v>
      </c>
      <c r="G1524" s="14" t="s">
        <v>1207</v>
      </c>
      <c r="H1524" s="4"/>
      <c r="I1524" s="4">
        <f t="shared" si="130"/>
        <v>0</v>
      </c>
      <c r="J1524" s="4"/>
      <c r="K1524" s="4">
        <f t="shared" si="128"/>
        <v>0</v>
      </c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 spans="1:26" ht="15.75" customHeight="1" x14ac:dyDescent="0.2">
      <c r="A1525" s="1"/>
      <c r="B1525" s="2" t="s">
        <v>316</v>
      </c>
      <c r="C1525" s="3" t="s">
        <v>1644</v>
      </c>
      <c r="D1525" s="3" t="s">
        <v>1645</v>
      </c>
      <c r="E1525" s="3" t="s">
        <v>1646</v>
      </c>
      <c r="F1525" s="3" t="s">
        <v>1638</v>
      </c>
      <c r="G1525" s="3" t="s">
        <v>1207</v>
      </c>
      <c r="H1525" s="4"/>
      <c r="I1525" s="4">
        <f t="shared" si="130"/>
        <v>0</v>
      </c>
      <c r="J1525" s="4"/>
      <c r="K1525" s="4">
        <f t="shared" si="128"/>
        <v>0</v>
      </c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 spans="1:26" ht="15.75" customHeight="1" x14ac:dyDescent="0.2">
      <c r="A1526" s="1"/>
      <c r="B1526" s="2" t="s">
        <v>102</v>
      </c>
      <c r="C1526" s="3" t="s">
        <v>1644</v>
      </c>
      <c r="D1526" s="3" t="s">
        <v>1645</v>
      </c>
      <c r="E1526" s="3" t="s">
        <v>1646</v>
      </c>
      <c r="F1526" s="3" t="s">
        <v>1638</v>
      </c>
      <c r="G1526" s="3" t="s">
        <v>1207</v>
      </c>
      <c r="H1526" s="4"/>
      <c r="I1526" s="4">
        <f t="shared" si="130"/>
        <v>0</v>
      </c>
      <c r="J1526" s="4"/>
      <c r="K1526" s="4">
        <f t="shared" si="128"/>
        <v>0</v>
      </c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 spans="1:26" ht="15.75" customHeight="1" x14ac:dyDescent="0.2">
      <c r="A1527" s="1"/>
      <c r="B1527" s="2" t="s">
        <v>108</v>
      </c>
      <c r="C1527" s="3" t="s">
        <v>1644</v>
      </c>
      <c r="D1527" s="3" t="s">
        <v>1645</v>
      </c>
      <c r="E1527" s="3" t="s">
        <v>1646</v>
      </c>
      <c r="F1527" s="3" t="s">
        <v>1638</v>
      </c>
      <c r="G1527" s="3" t="s">
        <v>1207</v>
      </c>
      <c r="H1527" s="4"/>
      <c r="I1527" s="4">
        <f t="shared" si="130"/>
        <v>0</v>
      </c>
      <c r="J1527" s="4"/>
      <c r="K1527" s="4">
        <f t="shared" si="128"/>
        <v>0</v>
      </c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 spans="1:26" ht="15.75" customHeight="1" x14ac:dyDescent="0.2">
      <c r="A1528" s="1"/>
      <c r="B1528" s="2" t="s">
        <v>94</v>
      </c>
      <c r="C1528" s="3" t="s">
        <v>1644</v>
      </c>
      <c r="D1528" s="3" t="s">
        <v>1645</v>
      </c>
      <c r="E1528" s="3" t="s">
        <v>1646</v>
      </c>
      <c r="F1528" s="3" t="s">
        <v>1638</v>
      </c>
      <c r="G1528" s="3" t="s">
        <v>1207</v>
      </c>
      <c r="H1528" s="4"/>
      <c r="I1528" s="4">
        <f t="shared" si="130"/>
        <v>0</v>
      </c>
      <c r="J1528" s="4"/>
      <c r="K1528" s="4">
        <f t="shared" si="128"/>
        <v>0</v>
      </c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 spans="1:26" ht="15.75" customHeight="1" x14ac:dyDescent="0.2">
      <c r="A1529" s="1"/>
      <c r="B1529" s="2" t="s">
        <v>297</v>
      </c>
      <c r="C1529" s="3" t="s">
        <v>1647</v>
      </c>
      <c r="D1529" s="3" t="s">
        <v>647</v>
      </c>
      <c r="E1529" s="3" t="s">
        <v>539</v>
      </c>
      <c r="F1529" s="3" t="s">
        <v>1638</v>
      </c>
      <c r="G1529" s="3" t="s">
        <v>1207</v>
      </c>
      <c r="H1529" s="4"/>
      <c r="I1529" s="4">
        <f t="shared" si="130"/>
        <v>0</v>
      </c>
      <c r="J1529" s="4"/>
      <c r="K1529" s="4">
        <f t="shared" si="128"/>
        <v>0</v>
      </c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 spans="1:26" ht="15.75" customHeight="1" x14ac:dyDescent="0.2">
      <c r="A1530" s="1"/>
      <c r="B1530" s="2" t="s">
        <v>94</v>
      </c>
      <c r="C1530" s="3" t="s">
        <v>1647</v>
      </c>
      <c r="D1530" s="3" t="s">
        <v>647</v>
      </c>
      <c r="E1530" s="3" t="s">
        <v>539</v>
      </c>
      <c r="F1530" s="3" t="s">
        <v>1638</v>
      </c>
      <c r="G1530" s="3" t="s">
        <v>1207</v>
      </c>
      <c r="H1530" s="4"/>
      <c r="I1530" s="4">
        <f t="shared" si="130"/>
        <v>0</v>
      </c>
      <c r="J1530" s="4"/>
      <c r="K1530" s="4">
        <f t="shared" si="128"/>
        <v>0</v>
      </c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 spans="1:26" ht="15.75" customHeight="1" x14ac:dyDescent="0.2">
      <c r="A1531" s="1">
        <v>73</v>
      </c>
      <c r="B1531" s="13" t="s">
        <v>226</v>
      </c>
      <c r="C1531" s="14" t="s">
        <v>1648</v>
      </c>
      <c r="D1531" s="14" t="s">
        <v>1649</v>
      </c>
      <c r="E1531" s="14" t="s">
        <v>1650</v>
      </c>
      <c r="F1531" s="14" t="s">
        <v>1638</v>
      </c>
      <c r="G1531" s="14" t="s">
        <v>1207</v>
      </c>
      <c r="H1531" s="4"/>
      <c r="I1531" s="4">
        <f t="shared" si="130"/>
        <v>0</v>
      </c>
      <c r="J1531" s="4"/>
      <c r="K1531" s="4">
        <f t="shared" si="128"/>
        <v>0</v>
      </c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 spans="1:26" ht="15.75" customHeight="1" x14ac:dyDescent="0.2">
      <c r="A1532" s="1">
        <v>1437</v>
      </c>
      <c r="B1532" s="13" t="s">
        <v>261</v>
      </c>
      <c r="C1532" s="14" t="s">
        <v>1651</v>
      </c>
      <c r="D1532" s="14" t="s">
        <v>1237</v>
      </c>
      <c r="E1532" s="14" t="s">
        <v>302</v>
      </c>
      <c r="F1532" s="14" t="s">
        <v>1652</v>
      </c>
      <c r="G1532" s="14" t="s">
        <v>1207</v>
      </c>
      <c r="H1532" s="4"/>
      <c r="I1532" s="4">
        <f t="shared" ref="I1532:I1608" si="131">H1532*2300</f>
        <v>0</v>
      </c>
      <c r="J1532" s="4"/>
      <c r="K1532" s="4">
        <f t="shared" si="128"/>
        <v>0</v>
      </c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 spans="1:26" ht="15.75" customHeight="1" x14ac:dyDescent="0.2">
      <c r="A1533" s="1">
        <v>2515</v>
      </c>
      <c r="B1533" s="13" t="s">
        <v>434</v>
      </c>
      <c r="C1533" s="14" t="s">
        <v>1574</v>
      </c>
      <c r="D1533" s="14" t="s">
        <v>399</v>
      </c>
      <c r="E1533" s="14" t="s">
        <v>639</v>
      </c>
      <c r="F1533" s="14" t="s">
        <v>1652</v>
      </c>
      <c r="G1533" s="14" t="s">
        <v>1207</v>
      </c>
      <c r="H1533" s="4"/>
      <c r="I1533" s="4">
        <f t="shared" si="131"/>
        <v>0</v>
      </c>
      <c r="J1533" s="4"/>
      <c r="K1533" s="4">
        <f t="shared" si="128"/>
        <v>0</v>
      </c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 spans="1:26" ht="15.75" customHeight="1" x14ac:dyDescent="0.2">
      <c r="A1534" s="1">
        <v>2851</v>
      </c>
      <c r="B1534" s="13" t="s">
        <v>519</v>
      </c>
      <c r="C1534" s="14" t="s">
        <v>1653</v>
      </c>
      <c r="D1534" s="14" t="s">
        <v>1654</v>
      </c>
      <c r="E1534" s="14" t="s">
        <v>836</v>
      </c>
      <c r="F1534" s="14" t="s">
        <v>1652</v>
      </c>
      <c r="G1534" s="14" t="s">
        <v>1207</v>
      </c>
      <c r="H1534" s="4"/>
      <c r="I1534" s="4">
        <f t="shared" si="131"/>
        <v>0</v>
      </c>
      <c r="J1534" s="4"/>
      <c r="K1534" s="4">
        <f t="shared" si="128"/>
        <v>0</v>
      </c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 spans="1:26" ht="15.75" customHeight="1" x14ac:dyDescent="0.2">
      <c r="A1535" s="1">
        <v>2869</v>
      </c>
      <c r="B1535" s="13" t="s">
        <v>519</v>
      </c>
      <c r="C1535" s="14" t="s">
        <v>1574</v>
      </c>
      <c r="D1535" s="14" t="s">
        <v>254</v>
      </c>
      <c r="E1535" s="14" t="s">
        <v>575</v>
      </c>
      <c r="F1535" s="14" t="s">
        <v>1652</v>
      </c>
      <c r="G1535" s="14" t="s">
        <v>1207</v>
      </c>
      <c r="H1535" s="4"/>
      <c r="I1535" s="4">
        <f t="shared" si="131"/>
        <v>0</v>
      </c>
      <c r="J1535" s="4"/>
      <c r="K1535" s="4">
        <f t="shared" si="128"/>
        <v>0</v>
      </c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 spans="1:26" ht="15.75" customHeight="1" x14ac:dyDescent="0.2">
      <c r="A1536" s="1">
        <v>433</v>
      </c>
      <c r="B1536" s="13" t="s">
        <v>672</v>
      </c>
      <c r="C1536" s="14" t="s">
        <v>1655</v>
      </c>
      <c r="D1536" s="14" t="s">
        <v>529</v>
      </c>
      <c r="E1536" s="14" t="s">
        <v>690</v>
      </c>
      <c r="F1536" s="14" t="s">
        <v>1656</v>
      </c>
      <c r="G1536" s="14" t="s">
        <v>1207</v>
      </c>
      <c r="H1536" s="4">
        <v>3</v>
      </c>
      <c r="I1536" s="4">
        <f t="shared" si="131"/>
        <v>6900</v>
      </c>
      <c r="J1536" s="4"/>
      <c r="K1536" s="4">
        <f t="shared" si="128"/>
        <v>0</v>
      </c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 spans="1:26" ht="15.75" customHeight="1" x14ac:dyDescent="0.2">
      <c r="A1537" s="1">
        <v>973</v>
      </c>
      <c r="B1537" s="13" t="s">
        <v>698</v>
      </c>
      <c r="C1537" s="14" t="s">
        <v>1655</v>
      </c>
      <c r="D1537" s="14" t="s">
        <v>529</v>
      </c>
      <c r="E1537" s="14" t="s">
        <v>690</v>
      </c>
      <c r="F1537" s="14" t="s">
        <v>1656</v>
      </c>
      <c r="G1537" s="14" t="s">
        <v>1207</v>
      </c>
      <c r="H1537" s="4"/>
      <c r="I1537" s="4">
        <f t="shared" si="131"/>
        <v>0</v>
      </c>
      <c r="J1537" s="4"/>
      <c r="K1537" s="4">
        <f t="shared" si="128"/>
        <v>0</v>
      </c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 spans="1:26" ht="15.75" customHeight="1" x14ac:dyDescent="0.2">
      <c r="A1538" s="1">
        <v>2821</v>
      </c>
      <c r="B1538" s="13" t="s">
        <v>1348</v>
      </c>
      <c r="C1538" s="14" t="s">
        <v>1655</v>
      </c>
      <c r="D1538" s="14" t="s">
        <v>529</v>
      </c>
      <c r="E1538" s="14" t="s">
        <v>690</v>
      </c>
      <c r="F1538" s="14" t="s">
        <v>1656</v>
      </c>
      <c r="G1538" s="14" t="s">
        <v>1207</v>
      </c>
      <c r="H1538" s="4"/>
      <c r="I1538" s="4">
        <f t="shared" si="131"/>
        <v>0</v>
      </c>
      <c r="J1538" s="4"/>
      <c r="K1538" s="4">
        <f t="shared" si="128"/>
        <v>0</v>
      </c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 spans="1:26" ht="15.75" customHeight="1" x14ac:dyDescent="0.2">
      <c r="A1539" s="1">
        <v>765</v>
      </c>
      <c r="B1539" s="13" t="s">
        <v>1112</v>
      </c>
      <c r="C1539" s="14" t="s">
        <v>1353</v>
      </c>
      <c r="D1539" s="14" t="s">
        <v>86</v>
      </c>
      <c r="E1539" s="14" t="s">
        <v>22</v>
      </c>
      <c r="F1539" s="14" t="s">
        <v>1657</v>
      </c>
      <c r="G1539" s="14" t="s">
        <v>1207</v>
      </c>
      <c r="H1539" s="4"/>
      <c r="I1539" s="4">
        <f t="shared" si="131"/>
        <v>0</v>
      </c>
      <c r="J1539" s="4"/>
      <c r="K1539" s="4">
        <f t="shared" si="128"/>
        <v>0</v>
      </c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 spans="1:26" ht="15.75" customHeight="1" x14ac:dyDescent="0.2">
      <c r="A1540" s="1">
        <v>775</v>
      </c>
      <c r="B1540" s="13" t="s">
        <v>405</v>
      </c>
      <c r="C1540" s="14" t="s">
        <v>1658</v>
      </c>
      <c r="D1540" s="14" t="s">
        <v>1659</v>
      </c>
      <c r="E1540" s="14" t="s">
        <v>846</v>
      </c>
      <c r="F1540" s="14" t="s">
        <v>1657</v>
      </c>
      <c r="G1540" s="14" t="s">
        <v>1207</v>
      </c>
      <c r="H1540" s="4"/>
      <c r="I1540" s="4">
        <f t="shared" si="131"/>
        <v>0</v>
      </c>
      <c r="J1540" s="4"/>
      <c r="K1540" s="4">
        <f t="shared" si="128"/>
        <v>0</v>
      </c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 spans="1:26" ht="15.75" customHeight="1" x14ac:dyDescent="0.2">
      <c r="A1541" s="1">
        <v>801</v>
      </c>
      <c r="B1541" s="13" t="s">
        <v>610</v>
      </c>
      <c r="C1541" s="14" t="s">
        <v>1660</v>
      </c>
      <c r="D1541" s="14" t="s">
        <v>1661</v>
      </c>
      <c r="E1541" s="14" t="s">
        <v>1662</v>
      </c>
      <c r="F1541" s="14" t="s">
        <v>1657</v>
      </c>
      <c r="G1541" s="14" t="s">
        <v>1207</v>
      </c>
      <c r="H1541" s="4"/>
      <c r="I1541" s="4">
        <f t="shared" si="131"/>
        <v>0</v>
      </c>
      <c r="J1541" s="4"/>
      <c r="K1541" s="4">
        <f t="shared" si="128"/>
        <v>0</v>
      </c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 spans="1:26" ht="15.75" customHeight="1" x14ac:dyDescent="0.2">
      <c r="A1542" s="1">
        <v>861</v>
      </c>
      <c r="B1542" s="13" t="s">
        <v>454</v>
      </c>
      <c r="C1542" s="14" t="s">
        <v>1325</v>
      </c>
      <c r="D1542" s="14" t="s">
        <v>1551</v>
      </c>
      <c r="E1542" s="14" t="s">
        <v>302</v>
      </c>
      <c r="F1542" s="14" t="s">
        <v>1657</v>
      </c>
      <c r="G1542" s="14" t="s">
        <v>1207</v>
      </c>
      <c r="H1542" s="4"/>
      <c r="I1542" s="4">
        <f t="shared" si="131"/>
        <v>0</v>
      </c>
      <c r="J1542" s="4"/>
      <c r="K1542" s="4">
        <f t="shared" si="128"/>
        <v>0</v>
      </c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 spans="1:26" ht="15.75" customHeight="1" x14ac:dyDescent="0.2">
      <c r="A1543" s="1">
        <v>867</v>
      </c>
      <c r="B1543" s="13" t="s">
        <v>454</v>
      </c>
      <c r="C1543" s="14" t="s">
        <v>1663</v>
      </c>
      <c r="D1543" s="14" t="s">
        <v>75</v>
      </c>
      <c r="E1543" s="14" t="s">
        <v>273</v>
      </c>
      <c r="F1543" s="14" t="s">
        <v>1657</v>
      </c>
      <c r="G1543" s="14" t="s">
        <v>1207</v>
      </c>
      <c r="H1543" s="4"/>
      <c r="I1543" s="4">
        <f t="shared" si="131"/>
        <v>0</v>
      </c>
      <c r="J1543" s="4"/>
      <c r="K1543" s="4">
        <f t="shared" si="128"/>
        <v>0</v>
      </c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 spans="1:26" ht="15.75" customHeight="1" x14ac:dyDescent="0.2">
      <c r="A1544" s="1">
        <v>875</v>
      </c>
      <c r="B1544" s="13" t="s">
        <v>634</v>
      </c>
      <c r="C1544" s="14" t="s">
        <v>1664</v>
      </c>
      <c r="D1544" s="14" t="s">
        <v>697</v>
      </c>
      <c r="E1544" s="14" t="s">
        <v>571</v>
      </c>
      <c r="F1544" s="14" t="s">
        <v>1657</v>
      </c>
      <c r="G1544" s="14" t="s">
        <v>1207</v>
      </c>
      <c r="H1544" s="4"/>
      <c r="I1544" s="4">
        <f t="shared" si="131"/>
        <v>0</v>
      </c>
      <c r="J1544" s="4"/>
      <c r="K1544" s="4">
        <f t="shared" si="128"/>
        <v>0</v>
      </c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 spans="1:26" ht="15.75" customHeight="1" x14ac:dyDescent="0.2">
      <c r="A1545" s="1">
        <v>883</v>
      </c>
      <c r="B1545" s="13" t="s">
        <v>634</v>
      </c>
      <c r="C1545" s="14" t="s">
        <v>1665</v>
      </c>
      <c r="D1545" s="14" t="s">
        <v>992</v>
      </c>
      <c r="E1545" s="14" t="s">
        <v>87</v>
      </c>
      <c r="F1545" s="14" t="s">
        <v>1657</v>
      </c>
      <c r="G1545" s="14" t="s">
        <v>1207</v>
      </c>
      <c r="H1545" s="4"/>
      <c r="I1545" s="4">
        <f t="shared" si="131"/>
        <v>0</v>
      </c>
      <c r="J1545" s="4"/>
      <c r="K1545" s="4">
        <f t="shared" si="128"/>
        <v>0</v>
      </c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 spans="1:26" ht="15.75" customHeight="1" x14ac:dyDescent="0.2">
      <c r="A1546" s="1">
        <v>899</v>
      </c>
      <c r="B1546" s="13" t="s">
        <v>694</v>
      </c>
      <c r="C1546" s="14" t="s">
        <v>1666</v>
      </c>
      <c r="D1546" s="14" t="s">
        <v>75</v>
      </c>
      <c r="E1546" s="14" t="s">
        <v>65</v>
      </c>
      <c r="F1546" s="14" t="s">
        <v>1657</v>
      </c>
      <c r="G1546" s="14" t="s">
        <v>1207</v>
      </c>
      <c r="H1546" s="4"/>
      <c r="I1546" s="4">
        <f t="shared" si="131"/>
        <v>0</v>
      </c>
      <c r="J1546" s="4"/>
      <c r="K1546" s="4">
        <f t="shared" si="128"/>
        <v>0</v>
      </c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 spans="1:26" ht="15.75" customHeight="1" x14ac:dyDescent="0.2">
      <c r="A1547" s="1">
        <v>901</v>
      </c>
      <c r="B1547" s="13" t="s">
        <v>694</v>
      </c>
      <c r="C1547" s="14" t="s">
        <v>1667</v>
      </c>
      <c r="D1547" s="14" t="s">
        <v>325</v>
      </c>
      <c r="E1547" s="14" t="s">
        <v>306</v>
      </c>
      <c r="F1547" s="14" t="s">
        <v>1657</v>
      </c>
      <c r="G1547" s="14" t="s">
        <v>1207</v>
      </c>
      <c r="H1547" s="4"/>
      <c r="I1547" s="4">
        <f t="shared" si="131"/>
        <v>0</v>
      </c>
      <c r="J1547" s="4"/>
      <c r="K1547" s="4">
        <f t="shared" si="128"/>
        <v>0</v>
      </c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 spans="1:26" ht="15.75" customHeight="1" x14ac:dyDescent="0.2">
      <c r="A1548" s="1">
        <v>931</v>
      </c>
      <c r="B1548" s="13" t="s">
        <v>709</v>
      </c>
      <c r="C1548" s="14" t="s">
        <v>1668</v>
      </c>
      <c r="D1548" s="14" t="s">
        <v>1418</v>
      </c>
      <c r="E1548" s="14" t="s">
        <v>918</v>
      </c>
      <c r="F1548" s="14" t="s">
        <v>1657</v>
      </c>
      <c r="G1548" s="14" t="s">
        <v>1207</v>
      </c>
      <c r="H1548" s="4"/>
      <c r="I1548" s="4">
        <f t="shared" si="131"/>
        <v>0</v>
      </c>
      <c r="J1548" s="4"/>
      <c r="K1548" s="4">
        <f t="shared" si="128"/>
        <v>0</v>
      </c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 spans="1:26" ht="15.75" customHeight="1" x14ac:dyDescent="0.2">
      <c r="A1549" s="1">
        <v>933</v>
      </c>
      <c r="B1549" s="13" t="s">
        <v>709</v>
      </c>
      <c r="C1549" s="14" t="s">
        <v>1544</v>
      </c>
      <c r="D1549" s="14" t="s">
        <v>51</v>
      </c>
      <c r="E1549" s="14" t="s">
        <v>393</v>
      </c>
      <c r="F1549" s="14" t="s">
        <v>1657</v>
      </c>
      <c r="G1549" s="14" t="s">
        <v>1207</v>
      </c>
      <c r="H1549" s="4"/>
      <c r="I1549" s="4">
        <f t="shared" si="131"/>
        <v>0</v>
      </c>
      <c r="J1549" s="4"/>
      <c r="K1549" s="4">
        <f t="shared" si="128"/>
        <v>0</v>
      </c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 spans="1:26" ht="15.75" customHeight="1" x14ac:dyDescent="0.2">
      <c r="A1550" s="1">
        <v>957</v>
      </c>
      <c r="B1550" s="13" t="s">
        <v>698</v>
      </c>
      <c r="C1550" s="14" t="s">
        <v>1669</v>
      </c>
      <c r="D1550" s="14" t="s">
        <v>1615</v>
      </c>
      <c r="E1550" s="14" t="s">
        <v>1670</v>
      </c>
      <c r="F1550" s="14" t="s">
        <v>1657</v>
      </c>
      <c r="G1550" s="14" t="s">
        <v>1207</v>
      </c>
      <c r="H1550" s="4"/>
      <c r="I1550" s="4">
        <f t="shared" si="131"/>
        <v>0</v>
      </c>
      <c r="J1550" s="4"/>
      <c r="K1550" s="4">
        <f t="shared" si="128"/>
        <v>0</v>
      </c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 spans="1:26" ht="15.75" customHeight="1" x14ac:dyDescent="0.2">
      <c r="A1551" s="1">
        <v>965</v>
      </c>
      <c r="B1551" s="13" t="s">
        <v>698</v>
      </c>
      <c r="C1551" s="14" t="s">
        <v>1671</v>
      </c>
      <c r="D1551" s="14" t="s">
        <v>984</v>
      </c>
      <c r="E1551" s="14" t="s">
        <v>251</v>
      </c>
      <c r="F1551" s="14" t="s">
        <v>1657</v>
      </c>
      <c r="G1551" s="14" t="s">
        <v>1207</v>
      </c>
      <c r="H1551" s="4"/>
      <c r="I1551" s="4">
        <f t="shared" si="131"/>
        <v>0</v>
      </c>
      <c r="J1551" s="4"/>
      <c r="K1551" s="4">
        <f t="shared" si="128"/>
        <v>0</v>
      </c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 spans="1:26" ht="15.75" customHeight="1" x14ac:dyDescent="0.2">
      <c r="A1552" s="1">
        <v>981</v>
      </c>
      <c r="B1552" s="13" t="s">
        <v>624</v>
      </c>
      <c r="C1552" s="14" t="s">
        <v>1672</v>
      </c>
      <c r="D1552" s="14" t="s">
        <v>605</v>
      </c>
      <c r="E1552" s="14" t="s">
        <v>690</v>
      </c>
      <c r="F1552" s="14" t="s">
        <v>1657</v>
      </c>
      <c r="G1552" s="14" t="s">
        <v>1207</v>
      </c>
      <c r="H1552" s="4"/>
      <c r="I1552" s="4">
        <f t="shared" si="131"/>
        <v>0</v>
      </c>
      <c r="J1552" s="4"/>
      <c r="K1552" s="4">
        <f t="shared" si="128"/>
        <v>0</v>
      </c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 spans="1:26" ht="15.75" customHeight="1" x14ac:dyDescent="0.2">
      <c r="A1553" s="1">
        <v>1005</v>
      </c>
      <c r="B1553" s="13" t="s">
        <v>1076</v>
      </c>
      <c r="C1553" s="14" t="s">
        <v>1673</v>
      </c>
      <c r="D1553" s="14" t="s">
        <v>124</v>
      </c>
      <c r="E1553" s="14" t="s">
        <v>310</v>
      </c>
      <c r="F1553" s="14" t="s">
        <v>1657</v>
      </c>
      <c r="G1553" s="14" t="s">
        <v>1207</v>
      </c>
      <c r="H1553" s="4"/>
      <c r="I1553" s="4">
        <f t="shared" si="131"/>
        <v>0</v>
      </c>
      <c r="J1553" s="4"/>
      <c r="K1553" s="4">
        <f t="shared" si="128"/>
        <v>0</v>
      </c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 spans="1:26" ht="15.75" customHeight="1" x14ac:dyDescent="0.2">
      <c r="A1554" s="1">
        <v>1033</v>
      </c>
      <c r="B1554" s="13" t="s">
        <v>464</v>
      </c>
      <c r="C1554" s="14" t="s">
        <v>1674</v>
      </c>
      <c r="D1554" s="14" t="s">
        <v>1675</v>
      </c>
      <c r="E1554" s="14" t="s">
        <v>918</v>
      </c>
      <c r="F1554" s="14" t="s">
        <v>1657</v>
      </c>
      <c r="G1554" s="14" t="s">
        <v>1207</v>
      </c>
      <c r="H1554" s="4"/>
      <c r="I1554" s="4">
        <f t="shared" si="131"/>
        <v>0</v>
      </c>
      <c r="J1554" s="4"/>
      <c r="K1554" s="4">
        <f t="shared" si="128"/>
        <v>0</v>
      </c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 spans="1:26" ht="15.75" customHeight="1" x14ac:dyDescent="0.2">
      <c r="A1555" s="1">
        <v>1039</v>
      </c>
      <c r="B1555" s="13" t="s">
        <v>464</v>
      </c>
      <c r="C1555" s="14" t="s">
        <v>1676</v>
      </c>
      <c r="D1555" s="14" t="s">
        <v>949</v>
      </c>
      <c r="E1555" s="14" t="s">
        <v>1677</v>
      </c>
      <c r="F1555" s="14" t="s">
        <v>1657</v>
      </c>
      <c r="G1555" s="14" t="s">
        <v>1207</v>
      </c>
      <c r="H1555" s="4"/>
      <c r="I1555" s="4">
        <f t="shared" si="131"/>
        <v>0</v>
      </c>
      <c r="J1555" s="4"/>
      <c r="K1555" s="4">
        <f t="shared" si="128"/>
        <v>0</v>
      </c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 spans="1:26" ht="15.75" customHeight="1" x14ac:dyDescent="0.2">
      <c r="A1556" s="1">
        <v>1041</v>
      </c>
      <c r="B1556" s="13" t="s">
        <v>464</v>
      </c>
      <c r="C1556" s="14" t="s">
        <v>1471</v>
      </c>
      <c r="D1556" s="14" t="s">
        <v>186</v>
      </c>
      <c r="E1556" s="14" t="s">
        <v>70</v>
      </c>
      <c r="F1556" s="14" t="s">
        <v>1657</v>
      </c>
      <c r="G1556" s="14" t="s">
        <v>1207</v>
      </c>
      <c r="H1556" s="4"/>
      <c r="I1556" s="4">
        <f t="shared" si="131"/>
        <v>0</v>
      </c>
      <c r="J1556" s="4"/>
      <c r="K1556" s="4">
        <f t="shared" si="128"/>
        <v>0</v>
      </c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 spans="1:26" ht="15.75" customHeight="1" x14ac:dyDescent="0.2">
      <c r="A1557" s="1">
        <v>1059</v>
      </c>
      <c r="B1557" s="13" t="s">
        <v>458</v>
      </c>
      <c r="C1557" s="14" t="s">
        <v>1678</v>
      </c>
      <c r="D1557" s="14" t="s">
        <v>272</v>
      </c>
      <c r="E1557" s="14" t="s">
        <v>112</v>
      </c>
      <c r="F1557" s="14" t="s">
        <v>1657</v>
      </c>
      <c r="G1557" s="14" t="s">
        <v>1207</v>
      </c>
      <c r="H1557" s="4"/>
      <c r="I1557" s="4">
        <f t="shared" si="131"/>
        <v>0</v>
      </c>
      <c r="J1557" s="4"/>
      <c r="K1557" s="4">
        <f t="shared" si="128"/>
        <v>0</v>
      </c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 spans="1:26" ht="15.75" customHeight="1" x14ac:dyDescent="0.2">
      <c r="A1558" s="1">
        <v>1083</v>
      </c>
      <c r="B1558" s="13" t="s">
        <v>710</v>
      </c>
      <c r="C1558" s="14" t="s">
        <v>1679</v>
      </c>
      <c r="D1558" s="14" t="s">
        <v>884</v>
      </c>
      <c r="E1558" s="14" t="s">
        <v>129</v>
      </c>
      <c r="F1558" s="14" t="s">
        <v>1657</v>
      </c>
      <c r="G1558" s="14" t="s">
        <v>1207</v>
      </c>
      <c r="H1558" s="4"/>
      <c r="I1558" s="4">
        <f t="shared" si="131"/>
        <v>0</v>
      </c>
      <c r="J1558" s="4"/>
      <c r="K1558" s="4">
        <f t="shared" si="128"/>
        <v>0</v>
      </c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 spans="1:26" ht="15.75" customHeight="1" x14ac:dyDescent="0.2">
      <c r="A1559" s="1">
        <v>1111</v>
      </c>
      <c r="B1559" s="13" t="s">
        <v>1344</v>
      </c>
      <c r="C1559" s="14" t="s">
        <v>257</v>
      </c>
      <c r="D1559" s="14" t="s">
        <v>104</v>
      </c>
      <c r="E1559" s="14" t="s">
        <v>18</v>
      </c>
      <c r="F1559" s="14" t="s">
        <v>1657</v>
      </c>
      <c r="G1559" s="14" t="s">
        <v>1207</v>
      </c>
      <c r="H1559" s="4"/>
      <c r="I1559" s="4">
        <f t="shared" si="131"/>
        <v>0</v>
      </c>
      <c r="J1559" s="4"/>
      <c r="K1559" s="4">
        <f t="shared" si="128"/>
        <v>0</v>
      </c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 spans="1:26" ht="15.75" customHeight="1" x14ac:dyDescent="0.2">
      <c r="A1560" s="1">
        <v>1145</v>
      </c>
      <c r="B1560" s="13" t="s">
        <v>433</v>
      </c>
      <c r="C1560" s="14" t="s">
        <v>1680</v>
      </c>
      <c r="D1560" s="14" t="s">
        <v>1681</v>
      </c>
      <c r="E1560" s="14" t="s">
        <v>1682</v>
      </c>
      <c r="F1560" s="14" t="s">
        <v>1657</v>
      </c>
      <c r="G1560" s="14" t="s">
        <v>1207</v>
      </c>
      <c r="H1560" s="4"/>
      <c r="I1560" s="4">
        <f t="shared" si="131"/>
        <v>0</v>
      </c>
      <c r="J1560" s="4"/>
      <c r="K1560" s="4">
        <f t="shared" si="128"/>
        <v>0</v>
      </c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 spans="1:26" ht="15.75" customHeight="1" x14ac:dyDescent="0.2">
      <c r="A1561" s="1">
        <v>1235</v>
      </c>
      <c r="B1561" s="13" t="s">
        <v>699</v>
      </c>
      <c r="C1561" s="14" t="s">
        <v>1683</v>
      </c>
      <c r="D1561" s="14" t="s">
        <v>1465</v>
      </c>
      <c r="E1561" s="14" t="s">
        <v>1684</v>
      </c>
      <c r="F1561" s="14" t="s">
        <v>1657</v>
      </c>
      <c r="G1561" s="14" t="s">
        <v>1207</v>
      </c>
      <c r="H1561" s="4"/>
      <c r="I1561" s="4">
        <f t="shared" si="131"/>
        <v>0</v>
      </c>
      <c r="J1561" s="4"/>
      <c r="K1561" s="4">
        <f t="shared" si="128"/>
        <v>0</v>
      </c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 spans="1:26" ht="15.75" customHeight="1" x14ac:dyDescent="0.2">
      <c r="A1562" s="1">
        <v>1311</v>
      </c>
      <c r="B1562" s="13" t="s">
        <v>936</v>
      </c>
      <c r="C1562" s="14" t="s">
        <v>1325</v>
      </c>
      <c r="D1562" s="14" t="s">
        <v>266</v>
      </c>
      <c r="E1562" s="14" t="s">
        <v>302</v>
      </c>
      <c r="F1562" s="14" t="s">
        <v>1657</v>
      </c>
      <c r="G1562" s="14" t="s">
        <v>1207</v>
      </c>
      <c r="H1562" s="4"/>
      <c r="I1562" s="4">
        <f t="shared" si="131"/>
        <v>0</v>
      </c>
      <c r="J1562" s="4"/>
      <c r="K1562" s="4">
        <f t="shared" si="128"/>
        <v>0</v>
      </c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 spans="1:26" ht="15.75" customHeight="1" x14ac:dyDescent="0.2">
      <c r="A1563" s="1">
        <v>1363</v>
      </c>
      <c r="B1563" s="13" t="s">
        <v>601</v>
      </c>
      <c r="C1563" s="14" t="s">
        <v>545</v>
      </c>
      <c r="D1563" s="14" t="s">
        <v>1685</v>
      </c>
      <c r="E1563" s="14" t="s">
        <v>32</v>
      </c>
      <c r="F1563" s="14" t="s">
        <v>1657</v>
      </c>
      <c r="G1563" s="14" t="s">
        <v>1207</v>
      </c>
      <c r="H1563" s="4"/>
      <c r="I1563" s="4">
        <f t="shared" si="131"/>
        <v>0</v>
      </c>
      <c r="J1563" s="4"/>
      <c r="K1563" s="4">
        <f t="shared" si="128"/>
        <v>0</v>
      </c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 spans="1:26" ht="15.75" customHeight="1" x14ac:dyDescent="0.2">
      <c r="A1564" s="1">
        <v>1445</v>
      </c>
      <c r="B1564" s="13" t="s">
        <v>261</v>
      </c>
      <c r="C1564" s="14" t="s">
        <v>1686</v>
      </c>
      <c r="D1564" s="14" t="s">
        <v>1687</v>
      </c>
      <c r="E1564" s="14" t="s">
        <v>1688</v>
      </c>
      <c r="F1564" s="14" t="s">
        <v>1657</v>
      </c>
      <c r="G1564" s="14" t="s">
        <v>1207</v>
      </c>
      <c r="H1564" s="4"/>
      <c r="I1564" s="4">
        <f t="shared" si="131"/>
        <v>0</v>
      </c>
      <c r="J1564" s="4"/>
      <c r="K1564" s="4">
        <f t="shared" si="128"/>
        <v>0</v>
      </c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 spans="1:26" ht="15.75" customHeight="1" x14ac:dyDescent="0.2">
      <c r="A1565" s="1">
        <v>1449</v>
      </c>
      <c r="B1565" s="13" t="s">
        <v>261</v>
      </c>
      <c r="C1565" s="14" t="s">
        <v>1689</v>
      </c>
      <c r="D1565" s="14" t="s">
        <v>491</v>
      </c>
      <c r="E1565" s="14" t="s">
        <v>32</v>
      </c>
      <c r="F1565" s="14" t="s">
        <v>1657</v>
      </c>
      <c r="G1565" s="14" t="s">
        <v>1207</v>
      </c>
      <c r="H1565" s="4"/>
      <c r="I1565" s="4">
        <f t="shared" si="131"/>
        <v>0</v>
      </c>
      <c r="J1565" s="4"/>
      <c r="K1565" s="4">
        <f t="shared" si="128"/>
        <v>0</v>
      </c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 spans="1:26" ht="15.75" customHeight="1" x14ac:dyDescent="0.2">
      <c r="A1566" s="1">
        <v>1451</v>
      </c>
      <c r="B1566" s="13" t="s">
        <v>261</v>
      </c>
      <c r="C1566" s="14" t="s">
        <v>1690</v>
      </c>
      <c r="D1566" s="14" t="s">
        <v>989</v>
      </c>
      <c r="E1566" s="14" t="s">
        <v>457</v>
      </c>
      <c r="F1566" s="14" t="s">
        <v>1657</v>
      </c>
      <c r="G1566" s="14" t="s">
        <v>1207</v>
      </c>
      <c r="H1566" s="4"/>
      <c r="I1566" s="4">
        <f t="shared" si="131"/>
        <v>0</v>
      </c>
      <c r="J1566" s="4"/>
      <c r="K1566" s="4">
        <f t="shared" si="128"/>
        <v>0</v>
      </c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 spans="1:26" ht="15.75" customHeight="1" x14ac:dyDescent="0.2">
      <c r="A1567" s="1">
        <v>1477</v>
      </c>
      <c r="B1567" s="13" t="s">
        <v>957</v>
      </c>
      <c r="C1567" s="14" t="s">
        <v>1679</v>
      </c>
      <c r="D1567" s="14" t="s">
        <v>437</v>
      </c>
      <c r="E1567" s="14" t="s">
        <v>129</v>
      </c>
      <c r="F1567" s="14" t="s">
        <v>1657</v>
      </c>
      <c r="G1567" s="14" t="s">
        <v>1207</v>
      </c>
      <c r="H1567" s="4"/>
      <c r="I1567" s="4">
        <f t="shared" si="131"/>
        <v>0</v>
      </c>
      <c r="J1567" s="4"/>
      <c r="K1567" s="4">
        <f t="shared" si="128"/>
        <v>0</v>
      </c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 spans="1:26" ht="15.75" customHeight="1" x14ac:dyDescent="0.2">
      <c r="A1568" s="1">
        <v>1483</v>
      </c>
      <c r="B1568" s="13" t="s">
        <v>957</v>
      </c>
      <c r="C1568" s="14" t="s">
        <v>1691</v>
      </c>
      <c r="D1568" s="14" t="s">
        <v>1692</v>
      </c>
      <c r="E1568" s="14" t="s">
        <v>1433</v>
      </c>
      <c r="F1568" s="14" t="s">
        <v>1657</v>
      </c>
      <c r="G1568" s="14" t="s">
        <v>1207</v>
      </c>
      <c r="H1568" s="4"/>
      <c r="I1568" s="4">
        <f t="shared" si="131"/>
        <v>0</v>
      </c>
      <c r="J1568" s="4"/>
      <c r="K1568" s="4">
        <f t="shared" si="128"/>
        <v>0</v>
      </c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 spans="1:26" ht="15.75" customHeight="1" x14ac:dyDescent="0.2">
      <c r="A1569" s="1">
        <v>1485</v>
      </c>
      <c r="B1569" s="13" t="s">
        <v>957</v>
      </c>
      <c r="C1569" s="14" t="s">
        <v>1693</v>
      </c>
      <c r="D1569" s="14" t="s">
        <v>1329</v>
      </c>
      <c r="E1569" s="14" t="s">
        <v>876</v>
      </c>
      <c r="F1569" s="14" t="s">
        <v>1657</v>
      </c>
      <c r="G1569" s="14" t="s">
        <v>1207</v>
      </c>
      <c r="H1569" s="4"/>
      <c r="I1569" s="4">
        <f t="shared" si="131"/>
        <v>0</v>
      </c>
      <c r="J1569" s="4"/>
      <c r="K1569" s="4">
        <f t="shared" si="128"/>
        <v>0</v>
      </c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 spans="1:26" ht="15.75" customHeight="1" x14ac:dyDescent="0.2">
      <c r="A1570" s="1">
        <v>1591</v>
      </c>
      <c r="B1570" s="13" t="s">
        <v>264</v>
      </c>
      <c r="C1570" s="14" t="s">
        <v>1694</v>
      </c>
      <c r="D1570" s="14" t="s">
        <v>75</v>
      </c>
      <c r="E1570" s="14" t="s">
        <v>65</v>
      </c>
      <c r="F1570" s="14" t="s">
        <v>1657</v>
      </c>
      <c r="G1570" s="14" t="s">
        <v>1207</v>
      </c>
      <c r="H1570" s="4"/>
      <c r="I1570" s="4">
        <f t="shared" si="131"/>
        <v>0</v>
      </c>
      <c r="J1570" s="4"/>
      <c r="K1570" s="4">
        <f t="shared" si="128"/>
        <v>0</v>
      </c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 spans="1:26" ht="15.75" customHeight="1" x14ac:dyDescent="0.2">
      <c r="A1571" s="1">
        <v>1623</v>
      </c>
      <c r="B1571" s="13" t="s">
        <v>267</v>
      </c>
      <c r="C1571" s="14" t="s">
        <v>1695</v>
      </c>
      <c r="D1571" s="14" t="s">
        <v>1696</v>
      </c>
      <c r="E1571" s="14" t="s">
        <v>1697</v>
      </c>
      <c r="F1571" s="14" t="s">
        <v>1657</v>
      </c>
      <c r="G1571" s="14" t="s">
        <v>1207</v>
      </c>
      <c r="H1571" s="4"/>
      <c r="I1571" s="4">
        <f t="shared" si="131"/>
        <v>0</v>
      </c>
      <c r="J1571" s="4"/>
      <c r="K1571" s="4">
        <f t="shared" si="128"/>
        <v>0</v>
      </c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 spans="1:26" ht="15.75" customHeight="1" x14ac:dyDescent="0.2">
      <c r="A1572" s="1">
        <v>1627</v>
      </c>
      <c r="B1572" s="13" t="s">
        <v>267</v>
      </c>
      <c r="C1572" s="14" t="s">
        <v>635</v>
      </c>
      <c r="D1572" s="14" t="s">
        <v>339</v>
      </c>
      <c r="E1572" s="14" t="s">
        <v>397</v>
      </c>
      <c r="F1572" s="14" t="s">
        <v>1657</v>
      </c>
      <c r="G1572" s="14" t="s">
        <v>1207</v>
      </c>
      <c r="H1572" s="4"/>
      <c r="I1572" s="4">
        <f t="shared" si="131"/>
        <v>0</v>
      </c>
      <c r="J1572" s="4"/>
      <c r="K1572" s="4">
        <f t="shared" si="128"/>
        <v>0</v>
      </c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 spans="1:26" ht="15.75" customHeight="1" x14ac:dyDescent="0.2">
      <c r="A1573" s="1">
        <v>1667</v>
      </c>
      <c r="B1573" s="13" t="s">
        <v>435</v>
      </c>
      <c r="C1573" s="14" t="s">
        <v>1698</v>
      </c>
      <c r="D1573" s="14" t="s">
        <v>383</v>
      </c>
      <c r="E1573" s="14" t="s">
        <v>1699</v>
      </c>
      <c r="F1573" s="14" t="s">
        <v>1657</v>
      </c>
      <c r="G1573" s="14" t="s">
        <v>1207</v>
      </c>
      <c r="H1573" s="4"/>
      <c r="I1573" s="4">
        <f t="shared" si="131"/>
        <v>0</v>
      </c>
      <c r="J1573" s="4"/>
      <c r="K1573" s="4">
        <f t="shared" si="128"/>
        <v>0</v>
      </c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 spans="1:26" ht="15.75" customHeight="1" x14ac:dyDescent="0.2">
      <c r="A1574" s="1">
        <v>1703</v>
      </c>
      <c r="B1574" s="13" t="s">
        <v>1345</v>
      </c>
      <c r="C1574" s="14" t="s">
        <v>1673</v>
      </c>
      <c r="D1574" s="14" t="s">
        <v>124</v>
      </c>
      <c r="E1574" s="14" t="s">
        <v>310</v>
      </c>
      <c r="F1574" s="14" t="s">
        <v>1657</v>
      </c>
      <c r="G1574" s="14" t="s">
        <v>1207</v>
      </c>
      <c r="H1574" s="4"/>
      <c r="I1574" s="4">
        <f t="shared" si="131"/>
        <v>0</v>
      </c>
      <c r="J1574" s="4"/>
      <c r="K1574" s="4">
        <f t="shared" si="128"/>
        <v>0</v>
      </c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 spans="1:26" ht="15.75" customHeight="1" x14ac:dyDescent="0.2">
      <c r="A1575" s="1">
        <v>1727</v>
      </c>
      <c r="B1575" s="13" t="s">
        <v>465</v>
      </c>
      <c r="C1575" s="14" t="s">
        <v>1674</v>
      </c>
      <c r="D1575" s="14" t="s">
        <v>1675</v>
      </c>
      <c r="E1575" s="14" t="s">
        <v>918</v>
      </c>
      <c r="F1575" s="14" t="s">
        <v>1657</v>
      </c>
      <c r="G1575" s="14" t="s">
        <v>1207</v>
      </c>
      <c r="H1575" s="4"/>
      <c r="I1575" s="4">
        <f t="shared" si="131"/>
        <v>0</v>
      </c>
      <c r="J1575" s="4"/>
      <c r="K1575" s="4">
        <f t="shared" si="128"/>
        <v>0</v>
      </c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 spans="1:26" ht="15.75" customHeight="1" x14ac:dyDescent="0.2">
      <c r="A1576" s="1">
        <v>1751</v>
      </c>
      <c r="B1576" s="13" t="s">
        <v>459</v>
      </c>
      <c r="C1576" s="14" t="s">
        <v>1678</v>
      </c>
      <c r="D1576" s="14" t="s">
        <v>272</v>
      </c>
      <c r="E1576" s="14" t="s">
        <v>112</v>
      </c>
      <c r="F1576" s="14" t="s">
        <v>1657</v>
      </c>
      <c r="G1576" s="14" t="s">
        <v>1207</v>
      </c>
      <c r="H1576" s="4"/>
      <c r="I1576" s="4">
        <f t="shared" si="131"/>
        <v>0</v>
      </c>
      <c r="J1576" s="4"/>
      <c r="K1576" s="4">
        <f t="shared" si="128"/>
        <v>0</v>
      </c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 spans="1:26" ht="15.75" customHeight="1" x14ac:dyDescent="0.2">
      <c r="A1577" s="1">
        <v>1759</v>
      </c>
      <c r="B1577" s="13" t="s">
        <v>459</v>
      </c>
      <c r="C1577" s="14" t="s">
        <v>1471</v>
      </c>
      <c r="D1577" s="14" t="s">
        <v>186</v>
      </c>
      <c r="E1577" s="14" t="s">
        <v>70</v>
      </c>
      <c r="F1577" s="14" t="s">
        <v>1657</v>
      </c>
      <c r="G1577" s="14" t="s">
        <v>1207</v>
      </c>
      <c r="H1577" s="4"/>
      <c r="I1577" s="4">
        <f t="shared" si="131"/>
        <v>0</v>
      </c>
      <c r="J1577" s="4"/>
      <c r="K1577" s="4">
        <f t="shared" si="128"/>
        <v>0</v>
      </c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 spans="1:26" ht="15.75" customHeight="1" x14ac:dyDescent="0.2">
      <c r="A1578" s="1">
        <v>1767</v>
      </c>
      <c r="B1578" s="13" t="s">
        <v>442</v>
      </c>
      <c r="C1578" s="14" t="s">
        <v>1679</v>
      </c>
      <c r="D1578" s="14" t="s">
        <v>884</v>
      </c>
      <c r="E1578" s="14" t="s">
        <v>129</v>
      </c>
      <c r="F1578" s="14" t="s">
        <v>1657</v>
      </c>
      <c r="G1578" s="14" t="s">
        <v>1207</v>
      </c>
      <c r="H1578" s="4"/>
      <c r="I1578" s="4">
        <f t="shared" si="131"/>
        <v>0</v>
      </c>
      <c r="J1578" s="4"/>
      <c r="K1578" s="4">
        <f t="shared" si="128"/>
        <v>0</v>
      </c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 spans="1:26" ht="15.75" customHeight="1" x14ac:dyDescent="0.2">
      <c r="A1579" s="1">
        <v>1895</v>
      </c>
      <c r="B1579" s="13" t="s">
        <v>277</v>
      </c>
      <c r="C1579" s="14" t="s">
        <v>1686</v>
      </c>
      <c r="D1579" s="14" t="s">
        <v>1687</v>
      </c>
      <c r="E1579" s="14" t="s">
        <v>1688</v>
      </c>
      <c r="F1579" s="14" t="s">
        <v>1657</v>
      </c>
      <c r="G1579" s="14" t="s">
        <v>1207</v>
      </c>
      <c r="H1579" s="4"/>
      <c r="I1579" s="4">
        <f t="shared" si="131"/>
        <v>0</v>
      </c>
      <c r="J1579" s="4"/>
      <c r="K1579" s="4">
        <f t="shared" si="128"/>
        <v>0</v>
      </c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 spans="1:26" ht="15.75" customHeight="1" x14ac:dyDescent="0.2">
      <c r="A1580" s="1">
        <v>1899</v>
      </c>
      <c r="B1580" s="13" t="s">
        <v>277</v>
      </c>
      <c r="C1580" s="14" t="s">
        <v>1690</v>
      </c>
      <c r="D1580" s="14" t="s">
        <v>989</v>
      </c>
      <c r="E1580" s="14" t="s">
        <v>457</v>
      </c>
      <c r="F1580" s="14" t="s">
        <v>1657</v>
      </c>
      <c r="G1580" s="14" t="s">
        <v>1207</v>
      </c>
      <c r="H1580" s="4"/>
      <c r="I1580" s="4">
        <f t="shared" si="131"/>
        <v>0</v>
      </c>
      <c r="J1580" s="4"/>
      <c r="K1580" s="4">
        <f t="shared" si="128"/>
        <v>0</v>
      </c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 spans="1:26" ht="15.75" customHeight="1" x14ac:dyDescent="0.2">
      <c r="A1581" s="1">
        <v>1919</v>
      </c>
      <c r="B1581" s="13" t="s">
        <v>278</v>
      </c>
      <c r="C1581" s="14" t="s">
        <v>1679</v>
      </c>
      <c r="D1581" s="14" t="s">
        <v>437</v>
      </c>
      <c r="E1581" s="14" t="s">
        <v>129</v>
      </c>
      <c r="F1581" s="14" t="s">
        <v>1657</v>
      </c>
      <c r="G1581" s="14" t="s">
        <v>1207</v>
      </c>
      <c r="H1581" s="4"/>
      <c r="I1581" s="4">
        <f t="shared" si="131"/>
        <v>0</v>
      </c>
      <c r="J1581" s="4"/>
      <c r="K1581" s="4">
        <f t="shared" si="128"/>
        <v>0</v>
      </c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 spans="1:26" ht="15.75" customHeight="1" x14ac:dyDescent="0.2">
      <c r="A1582" s="1">
        <v>1923</v>
      </c>
      <c r="B1582" s="13" t="s">
        <v>278</v>
      </c>
      <c r="C1582" s="14" t="s">
        <v>1695</v>
      </c>
      <c r="D1582" s="14" t="s">
        <v>1696</v>
      </c>
      <c r="E1582" s="14" t="s">
        <v>1697</v>
      </c>
      <c r="F1582" s="14" t="s">
        <v>1657</v>
      </c>
      <c r="G1582" s="14" t="s">
        <v>1207</v>
      </c>
      <c r="H1582" s="4"/>
      <c r="I1582" s="4">
        <f t="shared" si="131"/>
        <v>0</v>
      </c>
      <c r="J1582" s="4"/>
      <c r="K1582" s="4">
        <f t="shared" si="128"/>
        <v>0</v>
      </c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 spans="1:26" ht="15.75" customHeight="1" x14ac:dyDescent="0.2">
      <c r="A1583" s="1">
        <v>1945</v>
      </c>
      <c r="B1583" s="13" t="s">
        <v>278</v>
      </c>
      <c r="C1583" s="14" t="s">
        <v>1698</v>
      </c>
      <c r="D1583" s="14" t="s">
        <v>383</v>
      </c>
      <c r="E1583" s="14" t="s">
        <v>1699</v>
      </c>
      <c r="F1583" s="14" t="s">
        <v>1657</v>
      </c>
      <c r="G1583" s="14" t="s">
        <v>1207</v>
      </c>
      <c r="H1583" s="4"/>
      <c r="I1583" s="4">
        <f t="shared" si="131"/>
        <v>0</v>
      </c>
      <c r="J1583" s="4"/>
      <c r="K1583" s="4">
        <f t="shared" si="128"/>
        <v>0</v>
      </c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 spans="1:26" ht="15.75" customHeight="1" x14ac:dyDescent="0.2">
      <c r="A1584" s="1">
        <v>1985</v>
      </c>
      <c r="B1584" s="13" t="s">
        <v>652</v>
      </c>
      <c r="C1584" s="14" t="s">
        <v>1666</v>
      </c>
      <c r="D1584" s="14" t="s">
        <v>75</v>
      </c>
      <c r="E1584" s="14" t="s">
        <v>65</v>
      </c>
      <c r="F1584" s="14" t="s">
        <v>1657</v>
      </c>
      <c r="G1584" s="14" t="s">
        <v>1207</v>
      </c>
      <c r="H1584" s="4"/>
      <c r="I1584" s="4">
        <f t="shared" si="131"/>
        <v>0</v>
      </c>
      <c r="J1584" s="4"/>
      <c r="K1584" s="4">
        <f t="shared" si="128"/>
        <v>0</v>
      </c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 spans="1:26" ht="15.75" customHeight="1" x14ac:dyDescent="0.2">
      <c r="A1585" s="1">
        <v>1987</v>
      </c>
      <c r="B1585" s="13" t="s">
        <v>652</v>
      </c>
      <c r="C1585" s="14" t="s">
        <v>1667</v>
      </c>
      <c r="D1585" s="14" t="s">
        <v>325</v>
      </c>
      <c r="E1585" s="14" t="s">
        <v>306</v>
      </c>
      <c r="F1585" s="14" t="s">
        <v>1657</v>
      </c>
      <c r="G1585" s="14" t="s">
        <v>1207</v>
      </c>
      <c r="H1585" s="4"/>
      <c r="I1585" s="4">
        <f t="shared" si="131"/>
        <v>0</v>
      </c>
      <c r="J1585" s="4"/>
      <c r="K1585" s="4">
        <f t="shared" si="128"/>
        <v>0</v>
      </c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 spans="1:26" ht="15.75" customHeight="1" x14ac:dyDescent="0.2">
      <c r="A1586" s="1">
        <v>1989</v>
      </c>
      <c r="B1586" s="13" t="s">
        <v>652</v>
      </c>
      <c r="C1586" s="14" t="s">
        <v>1664</v>
      </c>
      <c r="D1586" s="14" t="s">
        <v>697</v>
      </c>
      <c r="E1586" s="14" t="s">
        <v>571</v>
      </c>
      <c r="F1586" s="14" t="s">
        <v>1657</v>
      </c>
      <c r="G1586" s="14" t="s">
        <v>1207</v>
      </c>
      <c r="H1586" s="4"/>
      <c r="I1586" s="4">
        <f t="shared" si="131"/>
        <v>0</v>
      </c>
      <c r="J1586" s="4"/>
      <c r="K1586" s="4">
        <f t="shared" si="128"/>
        <v>0</v>
      </c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 spans="1:26" ht="15.75" customHeight="1" x14ac:dyDescent="0.2">
      <c r="A1587" s="1">
        <v>1997</v>
      </c>
      <c r="B1587" s="13" t="s">
        <v>652</v>
      </c>
      <c r="C1587" s="14" t="s">
        <v>1663</v>
      </c>
      <c r="D1587" s="14" t="s">
        <v>75</v>
      </c>
      <c r="E1587" s="14" t="s">
        <v>273</v>
      </c>
      <c r="F1587" s="14" t="s">
        <v>1657</v>
      </c>
      <c r="G1587" s="14" t="s">
        <v>1207</v>
      </c>
      <c r="H1587" s="4"/>
      <c r="I1587" s="4">
        <f t="shared" si="131"/>
        <v>0</v>
      </c>
      <c r="J1587" s="4"/>
      <c r="K1587" s="4">
        <f t="shared" si="128"/>
        <v>0</v>
      </c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 spans="1:26" ht="15.75" customHeight="1" x14ac:dyDescent="0.2">
      <c r="A1588" s="1">
        <v>2013</v>
      </c>
      <c r="B1588" s="13" t="s">
        <v>701</v>
      </c>
      <c r="C1588" s="14" t="s">
        <v>1544</v>
      </c>
      <c r="D1588" s="14" t="s">
        <v>51</v>
      </c>
      <c r="E1588" s="14" t="s">
        <v>393</v>
      </c>
      <c r="F1588" s="14" t="s">
        <v>1657</v>
      </c>
      <c r="G1588" s="14" t="s">
        <v>1207</v>
      </c>
      <c r="H1588" s="4"/>
      <c r="I1588" s="4">
        <f t="shared" si="131"/>
        <v>0</v>
      </c>
      <c r="J1588" s="4"/>
      <c r="K1588" s="4">
        <f t="shared" si="128"/>
        <v>0</v>
      </c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 spans="1:26" ht="15.75" customHeight="1" x14ac:dyDescent="0.2">
      <c r="A1589" s="1">
        <v>2015</v>
      </c>
      <c r="B1589" s="13" t="s">
        <v>701</v>
      </c>
      <c r="C1589" s="14" t="s">
        <v>1325</v>
      </c>
      <c r="D1589" s="14" t="s">
        <v>1551</v>
      </c>
      <c r="E1589" s="14" t="s">
        <v>302</v>
      </c>
      <c r="F1589" s="14" t="s">
        <v>1657</v>
      </c>
      <c r="G1589" s="14" t="s">
        <v>1207</v>
      </c>
      <c r="H1589" s="4"/>
      <c r="I1589" s="4">
        <f t="shared" si="131"/>
        <v>0</v>
      </c>
      <c r="J1589" s="4"/>
      <c r="K1589" s="4">
        <f t="shared" si="128"/>
        <v>0</v>
      </c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 spans="1:26" ht="15.75" customHeight="1" x14ac:dyDescent="0.2">
      <c r="A1590" s="1">
        <v>2237</v>
      </c>
      <c r="B1590" s="13" t="s">
        <v>627</v>
      </c>
      <c r="C1590" s="14" t="s">
        <v>1669</v>
      </c>
      <c r="D1590" s="14" t="s">
        <v>1615</v>
      </c>
      <c r="E1590" s="14" t="s">
        <v>1670</v>
      </c>
      <c r="F1590" s="14" t="s">
        <v>1657</v>
      </c>
      <c r="G1590" s="14" t="s">
        <v>1207</v>
      </c>
      <c r="H1590" s="4"/>
      <c r="I1590" s="4">
        <f t="shared" si="131"/>
        <v>0</v>
      </c>
      <c r="J1590" s="4"/>
      <c r="K1590" s="4">
        <f t="shared" si="128"/>
        <v>0</v>
      </c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 spans="1:26" ht="15.75" customHeight="1" x14ac:dyDescent="0.2">
      <c r="A1591" s="1">
        <v>2239</v>
      </c>
      <c r="B1591" s="13" t="s">
        <v>627</v>
      </c>
      <c r="C1591" s="14" t="s">
        <v>1672</v>
      </c>
      <c r="D1591" s="14" t="s">
        <v>605</v>
      </c>
      <c r="E1591" s="14" t="s">
        <v>690</v>
      </c>
      <c r="F1591" s="14" t="s">
        <v>1657</v>
      </c>
      <c r="G1591" s="14" t="s">
        <v>1207</v>
      </c>
      <c r="H1591" s="4"/>
      <c r="I1591" s="4">
        <f t="shared" si="131"/>
        <v>0</v>
      </c>
      <c r="J1591" s="4"/>
      <c r="K1591" s="4">
        <f t="shared" si="128"/>
        <v>0</v>
      </c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 spans="1:26" ht="15.75" customHeight="1" x14ac:dyDescent="0.2">
      <c r="A1592" s="1">
        <v>2241</v>
      </c>
      <c r="B1592" s="13" t="s">
        <v>627</v>
      </c>
      <c r="C1592" s="14" t="s">
        <v>1671</v>
      </c>
      <c r="D1592" s="14" t="s">
        <v>984</v>
      </c>
      <c r="E1592" s="14" t="s">
        <v>251</v>
      </c>
      <c r="F1592" s="14" t="s">
        <v>1657</v>
      </c>
      <c r="G1592" s="14" t="s">
        <v>1207</v>
      </c>
      <c r="H1592" s="4"/>
      <c r="I1592" s="4">
        <f t="shared" si="131"/>
        <v>0</v>
      </c>
      <c r="J1592" s="4"/>
      <c r="K1592" s="4">
        <f t="shared" si="128"/>
        <v>0</v>
      </c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 spans="1:26" ht="15.75" customHeight="1" x14ac:dyDescent="0.2">
      <c r="A1593" s="1">
        <v>2353</v>
      </c>
      <c r="B1593" s="13" t="s">
        <v>1700</v>
      </c>
      <c r="C1593" s="14" t="s">
        <v>1353</v>
      </c>
      <c r="D1593" s="14" t="s">
        <v>86</v>
      </c>
      <c r="E1593" s="14" t="s">
        <v>22</v>
      </c>
      <c r="F1593" s="14" t="s">
        <v>1657</v>
      </c>
      <c r="G1593" s="14" t="s">
        <v>1207</v>
      </c>
      <c r="H1593" s="4"/>
      <c r="I1593" s="4">
        <f t="shared" si="131"/>
        <v>0</v>
      </c>
      <c r="J1593" s="4"/>
      <c r="K1593" s="4">
        <f t="shared" si="128"/>
        <v>0</v>
      </c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 spans="1:26" ht="15.75" customHeight="1" x14ac:dyDescent="0.2">
      <c r="A1594" s="1">
        <v>2355</v>
      </c>
      <c r="B1594" s="13" t="s">
        <v>1700</v>
      </c>
      <c r="C1594" s="14" t="s">
        <v>1347</v>
      </c>
      <c r="D1594" s="14" t="s">
        <v>58</v>
      </c>
      <c r="E1594" s="14" t="s">
        <v>306</v>
      </c>
      <c r="F1594" s="14" t="s">
        <v>1657</v>
      </c>
      <c r="G1594" s="14" t="s">
        <v>1207</v>
      </c>
      <c r="H1594" s="4"/>
      <c r="I1594" s="4">
        <f t="shared" si="131"/>
        <v>0</v>
      </c>
      <c r="J1594" s="4"/>
      <c r="K1594" s="4">
        <f t="shared" si="128"/>
        <v>0</v>
      </c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 spans="1:26" ht="15.75" customHeight="1" x14ac:dyDescent="0.2">
      <c r="A1595" s="1">
        <v>2489</v>
      </c>
      <c r="B1595" s="13" t="s">
        <v>444</v>
      </c>
      <c r="C1595" s="14" t="s">
        <v>1701</v>
      </c>
      <c r="D1595" s="14" t="s">
        <v>1702</v>
      </c>
      <c r="E1595" s="14" t="s">
        <v>1431</v>
      </c>
      <c r="F1595" s="14" t="s">
        <v>1657</v>
      </c>
      <c r="G1595" s="14" t="s">
        <v>1207</v>
      </c>
      <c r="H1595" s="4"/>
      <c r="I1595" s="4">
        <f t="shared" si="131"/>
        <v>0</v>
      </c>
      <c r="J1595" s="4"/>
      <c r="K1595" s="4">
        <f t="shared" si="128"/>
        <v>0</v>
      </c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 spans="1:26" ht="15.75" customHeight="1" x14ac:dyDescent="0.2">
      <c r="A1596" s="1">
        <v>2531</v>
      </c>
      <c r="B1596" s="13" t="s">
        <v>1587</v>
      </c>
      <c r="C1596" s="14" t="s">
        <v>1703</v>
      </c>
      <c r="D1596" s="14" t="s">
        <v>1704</v>
      </c>
      <c r="E1596" s="14" t="s">
        <v>1705</v>
      </c>
      <c r="F1596" s="14" t="s">
        <v>1657</v>
      </c>
      <c r="G1596" s="14" t="s">
        <v>1207</v>
      </c>
      <c r="H1596" s="4"/>
      <c r="I1596" s="4">
        <f t="shared" si="131"/>
        <v>0</v>
      </c>
      <c r="J1596" s="4"/>
      <c r="K1596" s="4">
        <f t="shared" si="128"/>
        <v>0</v>
      </c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 spans="1:26" ht="15.75" customHeight="1" x14ac:dyDescent="0.2">
      <c r="A1597" s="1">
        <v>2533</v>
      </c>
      <c r="B1597" s="13" t="s">
        <v>1587</v>
      </c>
      <c r="C1597" s="14" t="s">
        <v>1706</v>
      </c>
      <c r="D1597" s="14" t="s">
        <v>471</v>
      </c>
      <c r="E1597" s="14" t="s">
        <v>1707</v>
      </c>
      <c r="F1597" s="14" t="s">
        <v>1657</v>
      </c>
      <c r="G1597" s="14" t="s">
        <v>1207</v>
      </c>
      <c r="H1597" s="4"/>
      <c r="I1597" s="4">
        <f t="shared" si="131"/>
        <v>0</v>
      </c>
      <c r="J1597" s="4"/>
      <c r="K1597" s="4">
        <f t="shared" si="128"/>
        <v>0</v>
      </c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 spans="1:26" ht="15.75" customHeight="1" x14ac:dyDescent="0.2">
      <c r="A1598" s="1">
        <v>2543</v>
      </c>
      <c r="B1598" s="13" t="s">
        <v>1247</v>
      </c>
      <c r="C1598" s="14" t="s">
        <v>57</v>
      </c>
      <c r="D1598" s="14" t="s">
        <v>437</v>
      </c>
      <c r="E1598" s="14" t="s">
        <v>650</v>
      </c>
      <c r="F1598" s="14" t="s">
        <v>1657</v>
      </c>
      <c r="G1598" s="14" t="s">
        <v>1207</v>
      </c>
      <c r="H1598" s="4"/>
      <c r="I1598" s="4">
        <f t="shared" si="131"/>
        <v>0</v>
      </c>
      <c r="J1598" s="4"/>
      <c r="K1598" s="4">
        <f t="shared" si="128"/>
        <v>0</v>
      </c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 spans="1:26" ht="15.75" customHeight="1" x14ac:dyDescent="0.2">
      <c r="A1599" s="1">
        <v>2555</v>
      </c>
      <c r="B1599" s="13" t="s">
        <v>1247</v>
      </c>
      <c r="C1599" s="14" t="s">
        <v>1708</v>
      </c>
      <c r="D1599" s="14" t="s">
        <v>124</v>
      </c>
      <c r="E1599" s="14" t="s">
        <v>1259</v>
      </c>
      <c r="F1599" s="14" t="s">
        <v>1657</v>
      </c>
      <c r="G1599" s="14" t="s">
        <v>1207</v>
      </c>
      <c r="H1599" s="4"/>
      <c r="I1599" s="4">
        <f t="shared" si="131"/>
        <v>0</v>
      </c>
      <c r="J1599" s="4"/>
      <c r="K1599" s="4">
        <f t="shared" si="128"/>
        <v>0</v>
      </c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 spans="1:26" ht="15.75" customHeight="1" x14ac:dyDescent="0.2">
      <c r="A1600" s="1">
        <v>2743</v>
      </c>
      <c r="B1600" s="13" t="s">
        <v>944</v>
      </c>
      <c r="C1600" s="14" t="s">
        <v>1709</v>
      </c>
      <c r="D1600" s="14" t="s">
        <v>1439</v>
      </c>
      <c r="E1600" s="14" t="s">
        <v>1710</v>
      </c>
      <c r="F1600" s="14" t="s">
        <v>1657</v>
      </c>
      <c r="G1600" s="14" t="s">
        <v>1207</v>
      </c>
      <c r="H1600" s="4"/>
      <c r="I1600" s="4">
        <f t="shared" si="131"/>
        <v>0</v>
      </c>
      <c r="J1600" s="4"/>
      <c r="K1600" s="4">
        <f t="shared" si="128"/>
        <v>0</v>
      </c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 spans="1:26" ht="15.75" customHeight="1" x14ac:dyDescent="0.2">
      <c r="A1601" s="1">
        <v>2779</v>
      </c>
      <c r="B1601" s="13" t="s">
        <v>288</v>
      </c>
      <c r="C1601" s="14" t="s">
        <v>1694</v>
      </c>
      <c r="D1601" s="14" t="s">
        <v>75</v>
      </c>
      <c r="E1601" s="14" t="s">
        <v>65</v>
      </c>
      <c r="F1601" s="14" t="s">
        <v>1657</v>
      </c>
      <c r="G1601" s="14" t="s">
        <v>1207</v>
      </c>
      <c r="H1601" s="4"/>
      <c r="I1601" s="4">
        <f t="shared" si="131"/>
        <v>0</v>
      </c>
      <c r="J1601" s="4"/>
      <c r="K1601" s="4">
        <f t="shared" si="128"/>
        <v>0</v>
      </c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 spans="1:26" ht="15.75" customHeight="1" x14ac:dyDescent="0.2">
      <c r="A1602" s="1">
        <v>2781</v>
      </c>
      <c r="B1602" s="13" t="s">
        <v>288</v>
      </c>
      <c r="C1602" s="14" t="s">
        <v>635</v>
      </c>
      <c r="D1602" s="14" t="s">
        <v>339</v>
      </c>
      <c r="E1602" s="14" t="s">
        <v>397</v>
      </c>
      <c r="F1602" s="14" t="s">
        <v>1657</v>
      </c>
      <c r="G1602" s="14" t="s">
        <v>1207</v>
      </c>
      <c r="H1602" s="4"/>
      <c r="I1602" s="4">
        <f t="shared" si="131"/>
        <v>0</v>
      </c>
      <c r="J1602" s="4"/>
      <c r="K1602" s="4">
        <f t="shared" si="128"/>
        <v>0</v>
      </c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 spans="1:26" ht="15.75" customHeight="1" x14ac:dyDescent="0.2">
      <c r="A1603" s="1">
        <v>2901</v>
      </c>
      <c r="B1603" s="13" t="s">
        <v>1133</v>
      </c>
      <c r="C1603" s="14" t="s">
        <v>870</v>
      </c>
      <c r="D1603" s="14" t="s">
        <v>441</v>
      </c>
      <c r="E1603" s="14" t="s">
        <v>87</v>
      </c>
      <c r="F1603" s="14" t="s">
        <v>1657</v>
      </c>
      <c r="G1603" s="14" t="s">
        <v>1207</v>
      </c>
      <c r="H1603" s="4"/>
      <c r="I1603" s="4">
        <f t="shared" si="131"/>
        <v>0</v>
      </c>
      <c r="J1603" s="4"/>
      <c r="K1603" s="4">
        <f t="shared" si="128"/>
        <v>0</v>
      </c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 spans="1:26" ht="15.75" customHeight="1" x14ac:dyDescent="0.2">
      <c r="A1604" s="1">
        <v>2947</v>
      </c>
      <c r="B1604" s="13" t="s">
        <v>1270</v>
      </c>
      <c r="C1604" s="14" t="s">
        <v>1711</v>
      </c>
      <c r="D1604" s="14" t="s">
        <v>1366</v>
      </c>
      <c r="E1604" s="14" t="s">
        <v>1712</v>
      </c>
      <c r="F1604" s="14" t="s">
        <v>1657</v>
      </c>
      <c r="G1604" s="14" t="s">
        <v>1207</v>
      </c>
      <c r="H1604" s="4"/>
      <c r="I1604" s="4">
        <f t="shared" si="131"/>
        <v>0</v>
      </c>
      <c r="J1604" s="4"/>
      <c r="K1604" s="4">
        <f t="shared" si="128"/>
        <v>0</v>
      </c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 spans="1:26" ht="15.75" customHeight="1" x14ac:dyDescent="0.2">
      <c r="A1605" s="1">
        <v>2951</v>
      </c>
      <c r="B1605" s="13" t="s">
        <v>1270</v>
      </c>
      <c r="C1605" s="14" t="s">
        <v>1713</v>
      </c>
      <c r="D1605" s="14" t="s">
        <v>272</v>
      </c>
      <c r="E1605" s="14" t="s">
        <v>457</v>
      </c>
      <c r="F1605" s="14" t="s">
        <v>1657</v>
      </c>
      <c r="G1605" s="14" t="s">
        <v>1207</v>
      </c>
      <c r="H1605" s="4"/>
      <c r="I1605" s="4">
        <f t="shared" si="131"/>
        <v>0</v>
      </c>
      <c r="J1605" s="4"/>
      <c r="K1605" s="4">
        <f t="shared" si="128"/>
        <v>0</v>
      </c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 spans="1:26" ht="15.75" customHeight="1" x14ac:dyDescent="0.2">
      <c r="A1606" s="1">
        <v>2961</v>
      </c>
      <c r="B1606" s="13" t="s">
        <v>1138</v>
      </c>
      <c r="C1606" s="14" t="s">
        <v>1714</v>
      </c>
      <c r="D1606" s="14" t="s">
        <v>1261</v>
      </c>
      <c r="E1606" s="14" t="s">
        <v>1715</v>
      </c>
      <c r="F1606" s="14" t="s">
        <v>1657</v>
      </c>
      <c r="G1606" s="14" t="s">
        <v>1207</v>
      </c>
      <c r="H1606" s="4"/>
      <c r="I1606" s="4">
        <f t="shared" si="131"/>
        <v>0</v>
      </c>
      <c r="J1606" s="4"/>
      <c r="K1606" s="4">
        <f t="shared" si="128"/>
        <v>0</v>
      </c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 spans="1:26" ht="15.75" customHeight="1" x14ac:dyDescent="0.2">
      <c r="A1607" s="1">
        <v>2969</v>
      </c>
      <c r="B1607" s="13" t="s">
        <v>1138</v>
      </c>
      <c r="C1607" s="14" t="s">
        <v>1665</v>
      </c>
      <c r="D1607" s="14" t="s">
        <v>183</v>
      </c>
      <c r="E1607" s="14" t="s">
        <v>87</v>
      </c>
      <c r="F1607" s="14" t="s">
        <v>1657</v>
      </c>
      <c r="G1607" s="14" t="s">
        <v>1207</v>
      </c>
      <c r="H1607" s="4"/>
      <c r="I1607" s="4">
        <f t="shared" si="131"/>
        <v>0</v>
      </c>
      <c r="J1607" s="4"/>
      <c r="K1607" s="4">
        <f t="shared" si="128"/>
        <v>0</v>
      </c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 spans="1:26" ht="15.75" customHeight="1" x14ac:dyDescent="0.2">
      <c r="A1608" s="1">
        <v>2971</v>
      </c>
      <c r="B1608" s="13" t="s">
        <v>1138</v>
      </c>
      <c r="C1608" s="14" t="s">
        <v>1432</v>
      </c>
      <c r="D1608" s="14" t="s">
        <v>128</v>
      </c>
      <c r="E1608" s="14" t="s">
        <v>1431</v>
      </c>
      <c r="F1608" s="14" t="s">
        <v>1657</v>
      </c>
      <c r="G1608" s="14" t="s">
        <v>1207</v>
      </c>
      <c r="H1608" s="4"/>
      <c r="I1608" s="4">
        <f t="shared" si="131"/>
        <v>0</v>
      </c>
      <c r="J1608" s="4"/>
      <c r="K1608" s="4">
        <f t="shared" si="128"/>
        <v>0</v>
      </c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 spans="1:26" ht="15.75" customHeight="1" x14ac:dyDescent="0.2">
      <c r="A1609" s="1"/>
      <c r="B1609" s="2" t="s">
        <v>118</v>
      </c>
      <c r="C1609" s="3" t="s">
        <v>1658</v>
      </c>
      <c r="D1609" s="3" t="s">
        <v>1716</v>
      </c>
      <c r="E1609" s="3" t="s">
        <v>1717</v>
      </c>
      <c r="F1609" s="3" t="s">
        <v>1657</v>
      </c>
      <c r="G1609" s="3" t="s">
        <v>1207</v>
      </c>
      <c r="H1609" s="4"/>
      <c r="I1609" s="4">
        <f t="shared" ref="I1609:I1626" si="132">H1609*1800</f>
        <v>0</v>
      </c>
      <c r="J1609" s="4"/>
      <c r="K1609" s="4">
        <f t="shared" si="128"/>
        <v>0</v>
      </c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 spans="1:26" ht="15.75" customHeight="1" x14ac:dyDescent="0.2">
      <c r="A1610" s="1"/>
      <c r="B1610" s="2" t="s">
        <v>300</v>
      </c>
      <c r="C1610" s="3" t="s">
        <v>1718</v>
      </c>
      <c r="D1610" s="3" t="s">
        <v>1222</v>
      </c>
      <c r="E1610" s="3" t="s">
        <v>302</v>
      </c>
      <c r="F1610" s="3" t="s">
        <v>1657</v>
      </c>
      <c r="G1610" s="3" t="s">
        <v>1207</v>
      </c>
      <c r="H1610" s="4"/>
      <c r="I1610" s="4">
        <f t="shared" si="132"/>
        <v>0</v>
      </c>
      <c r="J1610" s="4"/>
      <c r="K1610" s="4">
        <f t="shared" si="128"/>
        <v>0</v>
      </c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 spans="1:26" ht="15.75" customHeight="1" x14ac:dyDescent="0.2">
      <c r="A1611" s="1"/>
      <c r="B1611" s="2" t="s">
        <v>102</v>
      </c>
      <c r="C1611" s="3" t="s">
        <v>1718</v>
      </c>
      <c r="D1611" s="3" t="s">
        <v>1222</v>
      </c>
      <c r="E1611" s="3" t="s">
        <v>302</v>
      </c>
      <c r="F1611" s="3" t="s">
        <v>1657</v>
      </c>
      <c r="G1611" s="3" t="s">
        <v>1207</v>
      </c>
      <c r="H1611" s="4"/>
      <c r="I1611" s="4">
        <f t="shared" si="132"/>
        <v>0</v>
      </c>
      <c r="J1611" s="4"/>
      <c r="K1611" s="4">
        <f t="shared" si="128"/>
        <v>0</v>
      </c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 spans="1:26" ht="15.75" customHeight="1" x14ac:dyDescent="0.2">
      <c r="A1612" s="1"/>
      <c r="B1612" s="2" t="s">
        <v>102</v>
      </c>
      <c r="C1612" s="3" t="s">
        <v>1719</v>
      </c>
      <c r="D1612" s="3" t="s">
        <v>353</v>
      </c>
      <c r="E1612" s="3" t="s">
        <v>1200</v>
      </c>
      <c r="F1612" s="3" t="s">
        <v>1657</v>
      </c>
      <c r="G1612" s="3" t="s">
        <v>1207</v>
      </c>
      <c r="H1612" s="4"/>
      <c r="I1612" s="4">
        <f t="shared" si="132"/>
        <v>0</v>
      </c>
      <c r="J1612" s="4"/>
      <c r="K1612" s="4">
        <f t="shared" si="128"/>
        <v>0</v>
      </c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 spans="1:26" ht="15.75" customHeight="1" x14ac:dyDescent="0.2">
      <c r="A1613" s="1"/>
      <c r="B1613" s="2" t="s">
        <v>232</v>
      </c>
      <c r="C1613" s="3" t="s">
        <v>1719</v>
      </c>
      <c r="D1613" s="3" t="s">
        <v>353</v>
      </c>
      <c r="E1613" s="3" t="s">
        <v>1200</v>
      </c>
      <c r="F1613" s="3" t="s">
        <v>1657</v>
      </c>
      <c r="G1613" s="3" t="s">
        <v>1207</v>
      </c>
      <c r="H1613" s="4"/>
      <c r="I1613" s="4">
        <f t="shared" si="132"/>
        <v>0</v>
      </c>
      <c r="J1613" s="4"/>
      <c r="K1613" s="4">
        <f t="shared" si="128"/>
        <v>0</v>
      </c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 spans="1:26" ht="15.75" customHeight="1" x14ac:dyDescent="0.2">
      <c r="A1614" s="1"/>
      <c r="B1614" s="2" t="s">
        <v>102</v>
      </c>
      <c r="C1614" s="3" t="s">
        <v>659</v>
      </c>
      <c r="D1614" s="3" t="s">
        <v>437</v>
      </c>
      <c r="E1614" s="3" t="s">
        <v>32</v>
      </c>
      <c r="F1614" s="3" t="s">
        <v>1657</v>
      </c>
      <c r="G1614" s="3" t="s">
        <v>1207</v>
      </c>
      <c r="H1614" s="4"/>
      <c r="I1614" s="4">
        <f t="shared" si="132"/>
        <v>0</v>
      </c>
      <c r="J1614" s="4"/>
      <c r="K1614" s="4">
        <f t="shared" si="128"/>
        <v>0</v>
      </c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 spans="1:26" ht="15.75" customHeight="1" x14ac:dyDescent="0.2">
      <c r="A1615" s="1"/>
      <c r="B1615" s="2" t="s">
        <v>315</v>
      </c>
      <c r="C1615" s="3" t="s">
        <v>1720</v>
      </c>
      <c r="D1615" s="3" t="s">
        <v>1627</v>
      </c>
      <c r="E1615" s="3" t="s">
        <v>70</v>
      </c>
      <c r="F1615" s="3" t="s">
        <v>1657</v>
      </c>
      <c r="G1615" s="3" t="s">
        <v>1207</v>
      </c>
      <c r="H1615" s="4"/>
      <c r="I1615" s="4">
        <f t="shared" si="132"/>
        <v>0</v>
      </c>
      <c r="J1615" s="4"/>
      <c r="K1615" s="4">
        <f t="shared" si="128"/>
        <v>0</v>
      </c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 spans="1:26" ht="15.75" customHeight="1" x14ac:dyDescent="0.2">
      <c r="A1616" s="1"/>
      <c r="B1616" s="2" t="s">
        <v>323</v>
      </c>
      <c r="C1616" s="3" t="s">
        <v>1720</v>
      </c>
      <c r="D1616" s="3" t="s">
        <v>1627</v>
      </c>
      <c r="E1616" s="3" t="s">
        <v>70</v>
      </c>
      <c r="F1616" s="3" t="s">
        <v>1657</v>
      </c>
      <c r="G1616" s="3" t="s">
        <v>1207</v>
      </c>
      <c r="H1616" s="4"/>
      <c r="I1616" s="4">
        <f t="shared" si="132"/>
        <v>0</v>
      </c>
      <c r="J1616" s="4"/>
      <c r="K1616" s="4">
        <f t="shared" si="128"/>
        <v>0</v>
      </c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 spans="1:26" ht="15.75" customHeight="1" x14ac:dyDescent="0.2">
      <c r="A1617" s="1"/>
      <c r="B1617" s="2" t="s">
        <v>126</v>
      </c>
      <c r="C1617" s="3" t="s">
        <v>1721</v>
      </c>
      <c r="D1617" s="3" t="s">
        <v>1722</v>
      </c>
      <c r="E1617" s="3" t="s">
        <v>251</v>
      </c>
      <c r="F1617" s="3" t="s">
        <v>1657</v>
      </c>
      <c r="G1617" s="3" t="s">
        <v>1207</v>
      </c>
      <c r="H1617" s="4"/>
      <c r="I1617" s="4">
        <f t="shared" si="132"/>
        <v>0</v>
      </c>
      <c r="J1617" s="4"/>
      <c r="K1617" s="4">
        <f t="shared" si="128"/>
        <v>0</v>
      </c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 spans="1:26" ht="15.75" customHeight="1" x14ac:dyDescent="0.2">
      <c r="A1618" s="1"/>
      <c r="B1618" s="2" t="s">
        <v>303</v>
      </c>
      <c r="C1618" s="3" t="s">
        <v>1723</v>
      </c>
      <c r="D1618" s="3" t="s">
        <v>1724</v>
      </c>
      <c r="E1618" s="3" t="s">
        <v>129</v>
      </c>
      <c r="F1618" s="3" t="s">
        <v>1657</v>
      </c>
      <c r="G1618" s="3" t="s">
        <v>1207</v>
      </c>
      <c r="H1618" s="4"/>
      <c r="I1618" s="4">
        <f t="shared" si="132"/>
        <v>0</v>
      </c>
      <c r="J1618" s="4"/>
      <c r="K1618" s="4">
        <f t="shared" si="128"/>
        <v>0</v>
      </c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 spans="1:26" ht="15.75" customHeight="1" x14ac:dyDescent="0.2">
      <c r="A1619" s="1"/>
      <c r="B1619" s="2" t="s">
        <v>315</v>
      </c>
      <c r="C1619" s="3" t="s">
        <v>1725</v>
      </c>
      <c r="D1619" s="3" t="s">
        <v>350</v>
      </c>
      <c r="E1619" s="3" t="s">
        <v>1445</v>
      </c>
      <c r="F1619" s="3" t="s">
        <v>1657</v>
      </c>
      <c r="G1619" s="3" t="s">
        <v>1207</v>
      </c>
      <c r="H1619" s="4"/>
      <c r="I1619" s="4">
        <f t="shared" si="132"/>
        <v>0</v>
      </c>
      <c r="J1619" s="4"/>
      <c r="K1619" s="4">
        <f t="shared" si="128"/>
        <v>0</v>
      </c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 spans="1:26" ht="15.75" customHeight="1" x14ac:dyDescent="0.2">
      <c r="A1620" s="1"/>
      <c r="B1620" s="2" t="s">
        <v>114</v>
      </c>
      <c r="C1620" s="3" t="s">
        <v>1325</v>
      </c>
      <c r="D1620" s="3" t="s">
        <v>124</v>
      </c>
      <c r="E1620" s="3" t="s">
        <v>1726</v>
      </c>
      <c r="F1620" s="3" t="s">
        <v>1657</v>
      </c>
      <c r="G1620" s="3" t="s">
        <v>1207</v>
      </c>
      <c r="H1620" s="4"/>
      <c r="I1620" s="4">
        <f t="shared" si="132"/>
        <v>0</v>
      </c>
      <c r="J1620" s="4"/>
      <c r="K1620" s="4">
        <f t="shared" si="128"/>
        <v>0</v>
      </c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 spans="1:26" ht="15.75" customHeight="1" x14ac:dyDescent="0.2">
      <c r="A1621" s="1"/>
      <c r="B1621" s="2" t="s">
        <v>126</v>
      </c>
      <c r="C1621" s="3" t="s">
        <v>1546</v>
      </c>
      <c r="D1621" s="3" t="s">
        <v>1329</v>
      </c>
      <c r="E1621" s="3" t="s">
        <v>1330</v>
      </c>
      <c r="F1621" s="3" t="s">
        <v>1657</v>
      </c>
      <c r="G1621" s="3" t="s">
        <v>1207</v>
      </c>
      <c r="H1621" s="4"/>
      <c r="I1621" s="4">
        <f t="shared" si="132"/>
        <v>0</v>
      </c>
      <c r="J1621" s="4"/>
      <c r="K1621" s="4">
        <f t="shared" si="128"/>
        <v>0</v>
      </c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 spans="1:26" ht="15.75" customHeight="1" x14ac:dyDescent="0.2">
      <c r="A1622" s="1"/>
      <c r="B1622" s="2" t="s">
        <v>131</v>
      </c>
      <c r="C1622" s="3" t="s">
        <v>1546</v>
      </c>
      <c r="D1622" s="3" t="s">
        <v>1329</v>
      </c>
      <c r="E1622" s="3" t="s">
        <v>1330</v>
      </c>
      <c r="F1622" s="3" t="s">
        <v>1657</v>
      </c>
      <c r="G1622" s="3" t="s">
        <v>1207</v>
      </c>
      <c r="H1622" s="4"/>
      <c r="I1622" s="4">
        <f t="shared" si="132"/>
        <v>0</v>
      </c>
      <c r="J1622" s="4"/>
      <c r="K1622" s="4">
        <f t="shared" si="128"/>
        <v>0</v>
      </c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 spans="1:26" ht="15.75" customHeight="1" x14ac:dyDescent="0.2">
      <c r="A1623" s="1"/>
      <c r="B1623" s="2" t="s">
        <v>102</v>
      </c>
      <c r="C1623" s="3" t="s">
        <v>1727</v>
      </c>
      <c r="D1623" s="3" t="s">
        <v>901</v>
      </c>
      <c r="E1623" s="3" t="s">
        <v>1728</v>
      </c>
      <c r="F1623" s="3" t="s">
        <v>1729</v>
      </c>
      <c r="G1623" s="3" t="s">
        <v>1207</v>
      </c>
      <c r="H1623" s="4"/>
      <c r="I1623" s="4">
        <f t="shared" si="132"/>
        <v>0</v>
      </c>
      <c r="J1623" s="4"/>
      <c r="K1623" s="4">
        <f t="shared" si="128"/>
        <v>0</v>
      </c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 spans="1:26" ht="15.75" customHeight="1" x14ac:dyDescent="0.2">
      <c r="A1624" s="1"/>
      <c r="B1624" s="2" t="s">
        <v>315</v>
      </c>
      <c r="C1624" s="3" t="s">
        <v>1727</v>
      </c>
      <c r="D1624" s="3" t="s">
        <v>917</v>
      </c>
      <c r="E1624" s="3" t="s">
        <v>1728</v>
      </c>
      <c r="F1624" s="3" t="s">
        <v>1729</v>
      </c>
      <c r="G1624" s="3" t="s">
        <v>1207</v>
      </c>
      <c r="H1624" s="4"/>
      <c r="I1624" s="4">
        <f t="shared" si="132"/>
        <v>0</v>
      </c>
      <c r="J1624" s="4"/>
      <c r="K1624" s="4">
        <f t="shared" si="128"/>
        <v>0</v>
      </c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 spans="1:26" ht="15.75" customHeight="1" x14ac:dyDescent="0.2">
      <c r="A1625" s="1"/>
      <c r="B1625" s="2" t="s">
        <v>323</v>
      </c>
      <c r="C1625" s="3" t="s">
        <v>1730</v>
      </c>
      <c r="D1625" s="3" t="s">
        <v>139</v>
      </c>
      <c r="E1625" s="3" t="s">
        <v>306</v>
      </c>
      <c r="F1625" s="3" t="s">
        <v>1729</v>
      </c>
      <c r="G1625" s="3" t="s">
        <v>1207</v>
      </c>
      <c r="H1625" s="4"/>
      <c r="I1625" s="4">
        <f t="shared" si="132"/>
        <v>0</v>
      </c>
      <c r="J1625" s="4"/>
      <c r="K1625" s="4">
        <f t="shared" si="128"/>
        <v>0</v>
      </c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 spans="1:26" ht="15.75" customHeight="1" x14ac:dyDescent="0.2">
      <c r="A1626" s="1"/>
      <c r="B1626" s="2" t="s">
        <v>297</v>
      </c>
      <c r="C1626" s="3" t="s">
        <v>1730</v>
      </c>
      <c r="D1626" s="3" t="s">
        <v>139</v>
      </c>
      <c r="E1626" s="3" t="s">
        <v>306</v>
      </c>
      <c r="F1626" s="3" t="s">
        <v>1729</v>
      </c>
      <c r="G1626" s="3" t="s">
        <v>1207</v>
      </c>
      <c r="H1626" s="4"/>
      <c r="I1626" s="4">
        <f t="shared" si="132"/>
        <v>0</v>
      </c>
      <c r="J1626" s="4"/>
      <c r="K1626" s="4">
        <f t="shared" si="128"/>
        <v>0</v>
      </c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 spans="1:26" ht="15.75" customHeight="1" x14ac:dyDescent="0.2">
      <c r="A1627" s="1">
        <v>205</v>
      </c>
      <c r="B1627" s="13" t="s">
        <v>1008</v>
      </c>
      <c r="C1627" s="14" t="s">
        <v>1336</v>
      </c>
      <c r="D1627" s="14" t="s">
        <v>1731</v>
      </c>
      <c r="E1627" s="14" t="s">
        <v>79</v>
      </c>
      <c r="F1627" s="14" t="s">
        <v>1729</v>
      </c>
      <c r="G1627" s="14" t="s">
        <v>1207</v>
      </c>
      <c r="H1627" s="4">
        <v>2</v>
      </c>
      <c r="I1627" s="4">
        <f>H1627*2300</f>
        <v>4600</v>
      </c>
      <c r="J1627" s="4"/>
      <c r="K1627" s="4">
        <f t="shared" si="128"/>
        <v>0</v>
      </c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 spans="1:26" ht="15.75" customHeight="1" x14ac:dyDescent="0.2">
      <c r="A1628" s="1"/>
      <c r="B1628" s="2" t="s">
        <v>122</v>
      </c>
      <c r="C1628" s="3" t="s">
        <v>1336</v>
      </c>
      <c r="D1628" s="3" t="s">
        <v>266</v>
      </c>
      <c r="E1628" s="3" t="s">
        <v>1330</v>
      </c>
      <c r="F1628" s="3" t="s">
        <v>1729</v>
      </c>
      <c r="G1628" s="3" t="s">
        <v>1207</v>
      </c>
      <c r="H1628" s="4"/>
      <c r="I1628" s="4">
        <f>H1628*1800</f>
        <v>0</v>
      </c>
      <c r="J1628" s="4"/>
      <c r="K1628" s="4">
        <f t="shared" si="128"/>
        <v>0</v>
      </c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 spans="1:26" ht="15.75" customHeight="1" x14ac:dyDescent="0.2">
      <c r="A1629" s="1">
        <v>363</v>
      </c>
      <c r="B1629" s="13" t="s">
        <v>246</v>
      </c>
      <c r="C1629" s="14" t="s">
        <v>1732</v>
      </c>
      <c r="D1629" s="14" t="s">
        <v>1461</v>
      </c>
      <c r="E1629" s="14" t="s">
        <v>876</v>
      </c>
      <c r="F1629" s="14" t="s">
        <v>1729</v>
      </c>
      <c r="G1629" s="14" t="s">
        <v>1207</v>
      </c>
      <c r="H1629" s="4"/>
      <c r="I1629" s="4">
        <f t="shared" ref="I1629:I1644" si="133">H1629*2300</f>
        <v>0</v>
      </c>
      <c r="J1629" s="4"/>
      <c r="K1629" s="4">
        <f t="shared" si="128"/>
        <v>0</v>
      </c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 spans="1:26" ht="15.75" customHeight="1" x14ac:dyDescent="0.2">
      <c r="A1630" s="1">
        <v>409</v>
      </c>
      <c r="B1630" s="13" t="s">
        <v>1299</v>
      </c>
      <c r="C1630" s="14" t="s">
        <v>1732</v>
      </c>
      <c r="D1630" s="14" t="s">
        <v>1461</v>
      </c>
      <c r="E1630" s="14" t="s">
        <v>876</v>
      </c>
      <c r="F1630" s="14" t="s">
        <v>1729</v>
      </c>
      <c r="G1630" s="14" t="s">
        <v>1207</v>
      </c>
      <c r="H1630" s="4"/>
      <c r="I1630" s="4">
        <f t="shared" si="133"/>
        <v>0</v>
      </c>
      <c r="J1630" s="4"/>
      <c r="K1630" s="4">
        <f t="shared" si="128"/>
        <v>0</v>
      </c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 spans="1:26" ht="15.75" customHeight="1" x14ac:dyDescent="0.2">
      <c r="A1631" s="1">
        <v>1673</v>
      </c>
      <c r="B1631" s="13" t="s">
        <v>270</v>
      </c>
      <c r="C1631" s="14" t="s">
        <v>1732</v>
      </c>
      <c r="D1631" s="14" t="s">
        <v>1733</v>
      </c>
      <c r="E1631" s="14" t="s">
        <v>876</v>
      </c>
      <c r="F1631" s="14" t="s">
        <v>1729</v>
      </c>
      <c r="G1631" s="14" t="s">
        <v>1207</v>
      </c>
      <c r="H1631" s="4"/>
      <c r="I1631" s="4">
        <f t="shared" si="133"/>
        <v>0</v>
      </c>
      <c r="J1631" s="4"/>
      <c r="K1631" s="4">
        <f t="shared" si="128"/>
        <v>0</v>
      </c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 spans="1:26" ht="15.75" customHeight="1" x14ac:dyDescent="0.2">
      <c r="A1632" s="1">
        <v>1925</v>
      </c>
      <c r="B1632" s="13" t="s">
        <v>278</v>
      </c>
      <c r="C1632" s="14" t="s">
        <v>1732</v>
      </c>
      <c r="D1632" s="14" t="s">
        <v>1733</v>
      </c>
      <c r="E1632" s="14" t="s">
        <v>876</v>
      </c>
      <c r="F1632" s="14" t="s">
        <v>1729</v>
      </c>
      <c r="G1632" s="14" t="s">
        <v>1207</v>
      </c>
      <c r="H1632" s="4"/>
      <c r="I1632" s="4">
        <f t="shared" si="133"/>
        <v>0</v>
      </c>
      <c r="J1632" s="4"/>
      <c r="K1632" s="4">
        <f t="shared" si="128"/>
        <v>0</v>
      </c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 spans="1:26" ht="15.75" customHeight="1" x14ac:dyDescent="0.2">
      <c r="A1633" s="1">
        <v>2185</v>
      </c>
      <c r="B1633" s="13" t="s">
        <v>282</v>
      </c>
      <c r="C1633" s="14" t="s">
        <v>1732</v>
      </c>
      <c r="D1633" s="14" t="s">
        <v>1733</v>
      </c>
      <c r="E1633" s="14" t="s">
        <v>876</v>
      </c>
      <c r="F1633" s="14" t="s">
        <v>1729</v>
      </c>
      <c r="G1633" s="14" t="s">
        <v>1207</v>
      </c>
      <c r="H1633" s="4"/>
      <c r="I1633" s="4">
        <f t="shared" si="133"/>
        <v>0</v>
      </c>
      <c r="J1633" s="4"/>
      <c r="K1633" s="4">
        <f t="shared" si="128"/>
        <v>0</v>
      </c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 spans="1:26" ht="15.75" customHeight="1" x14ac:dyDescent="0.2">
      <c r="A1634" s="1">
        <v>2741</v>
      </c>
      <c r="B1634" s="13" t="s">
        <v>944</v>
      </c>
      <c r="C1634" s="14" t="s">
        <v>1732</v>
      </c>
      <c r="D1634" s="14" t="s">
        <v>1734</v>
      </c>
      <c r="E1634" s="14" t="s">
        <v>876</v>
      </c>
      <c r="F1634" s="14" t="s">
        <v>1729</v>
      </c>
      <c r="G1634" s="14" t="s">
        <v>1207</v>
      </c>
      <c r="H1634" s="4"/>
      <c r="I1634" s="4">
        <f t="shared" si="133"/>
        <v>0</v>
      </c>
      <c r="J1634" s="4"/>
      <c r="K1634" s="4">
        <f t="shared" si="128"/>
        <v>0</v>
      </c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 spans="1:26" ht="15.75" customHeight="1" x14ac:dyDescent="0.2">
      <c r="A1635" s="1">
        <v>2839</v>
      </c>
      <c r="B1635" s="13" t="s">
        <v>654</v>
      </c>
      <c r="C1635" s="14" t="s">
        <v>1732</v>
      </c>
      <c r="D1635" s="14" t="s">
        <v>1734</v>
      </c>
      <c r="E1635" s="14" t="s">
        <v>876</v>
      </c>
      <c r="F1635" s="14" t="s">
        <v>1729</v>
      </c>
      <c r="G1635" s="14" t="s">
        <v>1207</v>
      </c>
      <c r="H1635" s="4"/>
      <c r="I1635" s="4">
        <f t="shared" si="133"/>
        <v>0</v>
      </c>
      <c r="J1635" s="4"/>
      <c r="K1635" s="4">
        <f t="shared" si="128"/>
        <v>0</v>
      </c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 spans="1:26" ht="15.75" customHeight="1" x14ac:dyDescent="0.2">
      <c r="A1636" s="1">
        <v>1011</v>
      </c>
      <c r="B1636" s="13" t="s">
        <v>1076</v>
      </c>
      <c r="C1636" s="14" t="s">
        <v>191</v>
      </c>
      <c r="D1636" s="14" t="s">
        <v>1237</v>
      </c>
      <c r="E1636" s="14" t="s">
        <v>1223</v>
      </c>
      <c r="F1636" s="14" t="s">
        <v>1729</v>
      </c>
      <c r="G1636" s="14" t="s">
        <v>1207</v>
      </c>
      <c r="H1636" s="4"/>
      <c r="I1636" s="4">
        <f t="shared" si="133"/>
        <v>0</v>
      </c>
      <c r="J1636" s="4"/>
      <c r="K1636" s="4">
        <f t="shared" si="128"/>
        <v>0</v>
      </c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 spans="1:26" ht="15.75" customHeight="1" x14ac:dyDescent="0.2">
      <c r="A1637" s="1">
        <v>1711</v>
      </c>
      <c r="B1637" s="13" t="s">
        <v>1345</v>
      </c>
      <c r="C1637" s="14" t="s">
        <v>191</v>
      </c>
      <c r="D1637" s="14" t="s">
        <v>1237</v>
      </c>
      <c r="E1637" s="14" t="s">
        <v>1223</v>
      </c>
      <c r="F1637" s="14" t="s">
        <v>1729</v>
      </c>
      <c r="G1637" s="14" t="s">
        <v>1207</v>
      </c>
      <c r="H1637" s="4"/>
      <c r="I1637" s="4">
        <f t="shared" si="133"/>
        <v>0</v>
      </c>
      <c r="J1637" s="4"/>
      <c r="K1637" s="4">
        <f t="shared" si="128"/>
        <v>0</v>
      </c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 spans="1:26" ht="15.75" customHeight="1" x14ac:dyDescent="0.2">
      <c r="A1638" s="1">
        <v>1305</v>
      </c>
      <c r="B1638" s="13" t="s">
        <v>936</v>
      </c>
      <c r="C1638" s="14" t="s">
        <v>417</v>
      </c>
      <c r="D1638" s="14" t="s">
        <v>516</v>
      </c>
      <c r="E1638" s="14" t="s">
        <v>306</v>
      </c>
      <c r="F1638" s="14" t="s">
        <v>1729</v>
      </c>
      <c r="G1638" s="14" t="s">
        <v>1207</v>
      </c>
      <c r="H1638" s="4"/>
      <c r="I1638" s="4">
        <f t="shared" si="133"/>
        <v>0</v>
      </c>
      <c r="J1638" s="4"/>
      <c r="K1638" s="4">
        <f t="shared" si="128"/>
        <v>0</v>
      </c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 spans="1:26" ht="15.75" customHeight="1" x14ac:dyDescent="0.2">
      <c r="A1639" s="1">
        <v>1775</v>
      </c>
      <c r="B1639" s="13" t="s">
        <v>442</v>
      </c>
      <c r="C1639" s="14" t="s">
        <v>417</v>
      </c>
      <c r="D1639" s="14" t="s">
        <v>516</v>
      </c>
      <c r="E1639" s="14" t="s">
        <v>306</v>
      </c>
      <c r="F1639" s="14" t="s">
        <v>1729</v>
      </c>
      <c r="G1639" s="14" t="s">
        <v>1207</v>
      </c>
      <c r="H1639" s="4"/>
      <c r="I1639" s="4">
        <f t="shared" si="133"/>
        <v>0</v>
      </c>
      <c r="J1639" s="4"/>
      <c r="K1639" s="4">
        <f t="shared" si="128"/>
        <v>0</v>
      </c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 spans="1:26" ht="15.75" customHeight="1" x14ac:dyDescent="0.2">
      <c r="A1640" s="1">
        <v>1009</v>
      </c>
      <c r="B1640" s="13" t="s">
        <v>1076</v>
      </c>
      <c r="C1640" s="14" t="s">
        <v>1735</v>
      </c>
      <c r="D1640" s="14" t="s">
        <v>124</v>
      </c>
      <c r="E1640" s="14" t="s">
        <v>40</v>
      </c>
      <c r="F1640" s="14" t="s">
        <v>1729</v>
      </c>
      <c r="G1640" s="14" t="s">
        <v>1207</v>
      </c>
      <c r="H1640" s="4"/>
      <c r="I1640" s="4">
        <f t="shared" si="133"/>
        <v>0</v>
      </c>
      <c r="J1640" s="4"/>
      <c r="K1640" s="4">
        <f t="shared" si="128"/>
        <v>0</v>
      </c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 spans="1:26" ht="15.75" customHeight="1" x14ac:dyDescent="0.2">
      <c r="A1641" s="1">
        <v>1709</v>
      </c>
      <c r="B1641" s="13" t="s">
        <v>1345</v>
      </c>
      <c r="C1641" s="14" t="s">
        <v>1735</v>
      </c>
      <c r="D1641" s="14" t="s">
        <v>124</v>
      </c>
      <c r="E1641" s="14" t="s">
        <v>40</v>
      </c>
      <c r="F1641" s="14" t="s">
        <v>1729</v>
      </c>
      <c r="G1641" s="14" t="s">
        <v>1207</v>
      </c>
      <c r="H1641" s="4"/>
      <c r="I1641" s="4">
        <f t="shared" si="133"/>
        <v>0</v>
      </c>
      <c r="J1641" s="4"/>
      <c r="K1641" s="4">
        <f t="shared" si="128"/>
        <v>0</v>
      </c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 spans="1:26" ht="15.75" customHeight="1" x14ac:dyDescent="0.2">
      <c r="A1642" s="1">
        <v>1407</v>
      </c>
      <c r="B1642" s="13" t="s">
        <v>386</v>
      </c>
      <c r="C1642" s="14" t="s">
        <v>1736</v>
      </c>
      <c r="D1642" s="14" t="s">
        <v>1254</v>
      </c>
      <c r="E1642" s="14" t="s">
        <v>1737</v>
      </c>
      <c r="F1642" s="14" t="s">
        <v>1729</v>
      </c>
      <c r="G1642" s="14" t="s">
        <v>1207</v>
      </c>
      <c r="H1642" s="4"/>
      <c r="I1642" s="4">
        <f t="shared" si="133"/>
        <v>0</v>
      </c>
      <c r="J1642" s="4"/>
      <c r="K1642" s="4">
        <f t="shared" si="128"/>
        <v>0</v>
      </c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 spans="1:26" ht="15.75" customHeight="1" x14ac:dyDescent="0.2">
      <c r="A1643" s="1">
        <v>1007</v>
      </c>
      <c r="B1643" s="13" t="s">
        <v>1076</v>
      </c>
      <c r="C1643" s="14" t="s">
        <v>1738</v>
      </c>
      <c r="D1643" s="14" t="s">
        <v>28</v>
      </c>
      <c r="E1643" s="14" t="s">
        <v>302</v>
      </c>
      <c r="F1643" s="14" t="s">
        <v>1729</v>
      </c>
      <c r="G1643" s="14" t="s">
        <v>1207</v>
      </c>
      <c r="H1643" s="4"/>
      <c r="I1643" s="4">
        <f t="shared" si="133"/>
        <v>0</v>
      </c>
      <c r="J1643" s="4"/>
      <c r="K1643" s="4">
        <f t="shared" si="128"/>
        <v>0</v>
      </c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 spans="1:26" ht="15.75" customHeight="1" x14ac:dyDescent="0.2">
      <c r="A1644" s="1">
        <v>1707</v>
      </c>
      <c r="B1644" s="13" t="s">
        <v>1345</v>
      </c>
      <c r="C1644" s="14" t="s">
        <v>1738</v>
      </c>
      <c r="D1644" s="14" t="s">
        <v>28</v>
      </c>
      <c r="E1644" s="14" t="s">
        <v>302</v>
      </c>
      <c r="F1644" s="14" t="s">
        <v>1729</v>
      </c>
      <c r="G1644" s="14" t="s">
        <v>1207</v>
      </c>
      <c r="H1644" s="4"/>
      <c r="I1644" s="4">
        <f t="shared" si="133"/>
        <v>0</v>
      </c>
      <c r="J1644" s="4"/>
      <c r="K1644" s="4">
        <f t="shared" si="128"/>
        <v>0</v>
      </c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 spans="1:26" ht="15.75" customHeight="1" x14ac:dyDescent="0.2">
      <c r="A1645" s="1"/>
      <c r="B1645" s="2" t="s">
        <v>121</v>
      </c>
      <c r="C1645" s="3" t="s">
        <v>1087</v>
      </c>
      <c r="D1645" s="3" t="s">
        <v>388</v>
      </c>
      <c r="E1645" s="3" t="s">
        <v>1739</v>
      </c>
      <c r="F1645" s="3" t="s">
        <v>1729</v>
      </c>
      <c r="G1645" s="3" t="s">
        <v>1207</v>
      </c>
      <c r="H1645" s="4"/>
      <c r="I1645" s="4">
        <f t="shared" ref="I1645:I1646" si="134">H1645*1800</f>
        <v>0</v>
      </c>
      <c r="J1645" s="4"/>
      <c r="K1645" s="4">
        <f t="shared" si="128"/>
        <v>0</v>
      </c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 spans="1:26" ht="15.75" customHeight="1" x14ac:dyDescent="0.2">
      <c r="A1646" s="1"/>
      <c r="B1646" s="2" t="s">
        <v>315</v>
      </c>
      <c r="C1646" s="3" t="s">
        <v>1087</v>
      </c>
      <c r="D1646" s="3" t="s">
        <v>388</v>
      </c>
      <c r="E1646" s="3" t="s">
        <v>1739</v>
      </c>
      <c r="F1646" s="3" t="s">
        <v>1729</v>
      </c>
      <c r="G1646" s="3" t="s">
        <v>1207</v>
      </c>
      <c r="H1646" s="4"/>
      <c r="I1646" s="4">
        <f t="shared" si="134"/>
        <v>0</v>
      </c>
      <c r="J1646" s="4"/>
      <c r="K1646" s="4">
        <f t="shared" si="128"/>
        <v>0</v>
      </c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 spans="1:26" ht="15.75" customHeight="1" x14ac:dyDescent="0.2">
      <c r="A1647" s="1">
        <v>1037</v>
      </c>
      <c r="B1647" s="13" t="s">
        <v>464</v>
      </c>
      <c r="C1647" s="14" t="s">
        <v>1740</v>
      </c>
      <c r="D1647" s="14" t="s">
        <v>973</v>
      </c>
      <c r="E1647" s="14" t="s">
        <v>393</v>
      </c>
      <c r="F1647" s="14" t="s">
        <v>1729</v>
      </c>
      <c r="G1647" s="14" t="s">
        <v>1207</v>
      </c>
      <c r="H1647" s="4"/>
      <c r="I1647" s="4">
        <f t="shared" ref="I1647:I1648" si="135">H1647*2300</f>
        <v>0</v>
      </c>
      <c r="J1647" s="4"/>
      <c r="K1647" s="4">
        <f t="shared" si="128"/>
        <v>0</v>
      </c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 spans="1:26" ht="15.75" customHeight="1" x14ac:dyDescent="0.2">
      <c r="A1648" s="1">
        <v>2061</v>
      </c>
      <c r="B1648" s="13" t="s">
        <v>653</v>
      </c>
      <c r="C1648" s="14" t="s">
        <v>1740</v>
      </c>
      <c r="D1648" s="14" t="s">
        <v>973</v>
      </c>
      <c r="E1648" s="14" t="s">
        <v>393</v>
      </c>
      <c r="F1648" s="14" t="s">
        <v>1729</v>
      </c>
      <c r="G1648" s="14" t="s">
        <v>1207</v>
      </c>
      <c r="H1648" s="4"/>
      <c r="I1648" s="4">
        <f t="shared" si="135"/>
        <v>0</v>
      </c>
      <c r="J1648" s="4"/>
      <c r="K1648" s="4">
        <f t="shared" si="128"/>
        <v>0</v>
      </c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 spans="1:26" ht="15.75" customHeight="1" x14ac:dyDescent="0.2">
      <c r="A1649" s="1"/>
      <c r="B1649" s="2" t="s">
        <v>118</v>
      </c>
      <c r="C1649" s="3" t="s">
        <v>1741</v>
      </c>
      <c r="D1649" s="3" t="s">
        <v>529</v>
      </c>
      <c r="E1649" s="3" t="s">
        <v>259</v>
      </c>
      <c r="F1649" s="3" t="s">
        <v>1729</v>
      </c>
      <c r="G1649" s="3" t="s">
        <v>1207</v>
      </c>
      <c r="H1649" s="4"/>
      <c r="I1649" s="4">
        <f t="shared" ref="I1649:I1652" si="136">H1649*1800</f>
        <v>0</v>
      </c>
      <c r="J1649" s="4"/>
      <c r="K1649" s="4">
        <f t="shared" si="128"/>
        <v>0</v>
      </c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 spans="1:26" ht="15.75" customHeight="1" x14ac:dyDescent="0.2">
      <c r="A1650" s="1"/>
      <c r="B1650" s="2" t="s">
        <v>121</v>
      </c>
      <c r="C1650" s="3" t="s">
        <v>1741</v>
      </c>
      <c r="D1650" s="3" t="s">
        <v>529</v>
      </c>
      <c r="E1650" s="3" t="s">
        <v>259</v>
      </c>
      <c r="F1650" s="3" t="s">
        <v>1729</v>
      </c>
      <c r="G1650" s="3" t="s">
        <v>1207</v>
      </c>
      <c r="H1650" s="4"/>
      <c r="I1650" s="4">
        <f t="shared" si="136"/>
        <v>0</v>
      </c>
      <c r="J1650" s="4"/>
      <c r="K1650" s="4">
        <f t="shared" si="128"/>
        <v>0</v>
      </c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 spans="1:26" ht="15.75" customHeight="1" x14ac:dyDescent="0.2">
      <c r="A1651" s="1"/>
      <c r="B1651" s="2" t="s">
        <v>296</v>
      </c>
      <c r="C1651" s="3" t="s">
        <v>1742</v>
      </c>
      <c r="D1651" s="3" t="s">
        <v>456</v>
      </c>
      <c r="E1651" s="3" t="s">
        <v>87</v>
      </c>
      <c r="F1651" s="3" t="s">
        <v>1729</v>
      </c>
      <c r="G1651" s="3" t="s">
        <v>1207</v>
      </c>
      <c r="H1651" s="4"/>
      <c r="I1651" s="4">
        <f t="shared" si="136"/>
        <v>0</v>
      </c>
      <c r="J1651" s="4"/>
      <c r="K1651" s="4">
        <f t="shared" si="128"/>
        <v>0</v>
      </c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 spans="1:26" ht="15.75" customHeight="1" x14ac:dyDescent="0.2">
      <c r="A1652" s="1"/>
      <c r="B1652" s="2" t="s">
        <v>238</v>
      </c>
      <c r="C1652" s="3" t="s">
        <v>1742</v>
      </c>
      <c r="D1652" s="3" t="s">
        <v>456</v>
      </c>
      <c r="E1652" s="3" t="s">
        <v>87</v>
      </c>
      <c r="F1652" s="3" t="s">
        <v>1729</v>
      </c>
      <c r="G1652" s="3" t="s">
        <v>1207</v>
      </c>
      <c r="H1652" s="4"/>
      <c r="I1652" s="4">
        <f t="shared" si="136"/>
        <v>0</v>
      </c>
      <c r="J1652" s="4"/>
      <c r="K1652" s="4">
        <f t="shared" si="128"/>
        <v>0</v>
      </c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 spans="1:26" ht="15.75" customHeight="1" x14ac:dyDescent="0.2">
      <c r="A1653" s="1">
        <v>1675</v>
      </c>
      <c r="B1653" s="13" t="s">
        <v>270</v>
      </c>
      <c r="C1653" s="14" t="s">
        <v>1743</v>
      </c>
      <c r="D1653" s="14" t="s">
        <v>1070</v>
      </c>
      <c r="E1653" s="14" t="s">
        <v>1217</v>
      </c>
      <c r="F1653" s="14" t="s">
        <v>1729</v>
      </c>
      <c r="G1653" s="14" t="s">
        <v>1207</v>
      </c>
      <c r="H1653" s="4"/>
      <c r="I1653" s="4">
        <f t="shared" ref="I1653:I1655" si="137">H1653*2300</f>
        <v>0</v>
      </c>
      <c r="J1653" s="4"/>
      <c r="K1653" s="4">
        <f t="shared" si="128"/>
        <v>0</v>
      </c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 spans="1:26" ht="15.75" customHeight="1" x14ac:dyDescent="0.2">
      <c r="A1654" s="1">
        <v>2189</v>
      </c>
      <c r="B1654" s="13" t="s">
        <v>282</v>
      </c>
      <c r="C1654" s="14" t="s">
        <v>1743</v>
      </c>
      <c r="D1654" s="14" t="s">
        <v>1070</v>
      </c>
      <c r="E1654" s="14" t="s">
        <v>1217</v>
      </c>
      <c r="F1654" s="14" t="s">
        <v>1729</v>
      </c>
      <c r="G1654" s="14" t="s">
        <v>1207</v>
      </c>
      <c r="H1654" s="4"/>
      <c r="I1654" s="4">
        <f t="shared" si="137"/>
        <v>0</v>
      </c>
      <c r="J1654" s="4"/>
      <c r="K1654" s="4">
        <f t="shared" si="128"/>
        <v>0</v>
      </c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 spans="1:26" ht="15.75" customHeight="1" x14ac:dyDescent="0.2">
      <c r="A1655" s="1">
        <v>213</v>
      </c>
      <c r="B1655" s="13" t="s">
        <v>1636</v>
      </c>
      <c r="C1655" s="14" t="s">
        <v>1063</v>
      </c>
      <c r="D1655" s="14" t="s">
        <v>86</v>
      </c>
      <c r="E1655" s="14" t="s">
        <v>876</v>
      </c>
      <c r="F1655" s="14" t="s">
        <v>1729</v>
      </c>
      <c r="G1655" s="14" t="s">
        <v>1207</v>
      </c>
      <c r="H1655" s="4"/>
      <c r="I1655" s="4">
        <f t="shared" si="137"/>
        <v>0</v>
      </c>
      <c r="J1655" s="4"/>
      <c r="K1655" s="4">
        <f t="shared" si="128"/>
        <v>0</v>
      </c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 spans="1:26" ht="15.75" customHeight="1" x14ac:dyDescent="0.2">
      <c r="A1656" s="1"/>
      <c r="B1656" s="2" t="s">
        <v>307</v>
      </c>
      <c r="C1656" s="3" t="s">
        <v>1063</v>
      </c>
      <c r="D1656" s="3" t="s">
        <v>78</v>
      </c>
      <c r="E1656" s="3" t="s">
        <v>876</v>
      </c>
      <c r="F1656" s="3" t="s">
        <v>1729</v>
      </c>
      <c r="G1656" s="3" t="s">
        <v>1207</v>
      </c>
      <c r="H1656" s="4"/>
      <c r="I1656" s="4">
        <f t="shared" ref="I1656:I1660" si="138">H1656*1800</f>
        <v>0</v>
      </c>
      <c r="J1656" s="4"/>
      <c r="K1656" s="4">
        <f t="shared" si="128"/>
        <v>0</v>
      </c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 spans="1:26" ht="15.75" customHeight="1" x14ac:dyDescent="0.2">
      <c r="A1657" s="1"/>
      <c r="B1657" s="2" t="s">
        <v>311</v>
      </c>
      <c r="C1657" s="3" t="s">
        <v>1063</v>
      </c>
      <c r="D1657" s="3" t="s">
        <v>78</v>
      </c>
      <c r="E1657" s="3" t="s">
        <v>876</v>
      </c>
      <c r="F1657" s="3" t="s">
        <v>1729</v>
      </c>
      <c r="G1657" s="3" t="s">
        <v>1207</v>
      </c>
      <c r="H1657" s="4"/>
      <c r="I1657" s="4">
        <f t="shared" si="138"/>
        <v>0</v>
      </c>
      <c r="J1657" s="4"/>
      <c r="K1657" s="4">
        <f t="shared" si="128"/>
        <v>0</v>
      </c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 spans="1:26" ht="15.75" customHeight="1" x14ac:dyDescent="0.2">
      <c r="A1658" s="1"/>
      <c r="B1658" s="2" t="s">
        <v>109</v>
      </c>
      <c r="C1658" s="3" t="s">
        <v>1745</v>
      </c>
      <c r="D1658" s="3" t="s">
        <v>58</v>
      </c>
      <c r="E1658" s="3" t="s">
        <v>112</v>
      </c>
      <c r="F1658" s="3" t="s">
        <v>1729</v>
      </c>
      <c r="G1658" s="3" t="s">
        <v>1207</v>
      </c>
      <c r="H1658" s="4"/>
      <c r="I1658" s="4">
        <f t="shared" si="138"/>
        <v>0</v>
      </c>
      <c r="J1658" s="4"/>
      <c r="K1658" s="4">
        <f t="shared" si="128"/>
        <v>0</v>
      </c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 spans="1:26" ht="15.75" customHeight="1" x14ac:dyDescent="0.2">
      <c r="A1659" s="1"/>
      <c r="B1659" s="2" t="s">
        <v>109</v>
      </c>
      <c r="C1659" s="3" t="s">
        <v>423</v>
      </c>
      <c r="D1659" s="3" t="s">
        <v>75</v>
      </c>
      <c r="E1659" s="3" t="s">
        <v>79</v>
      </c>
      <c r="F1659" s="3" t="s">
        <v>1729</v>
      </c>
      <c r="G1659" s="3" t="s">
        <v>1207</v>
      </c>
      <c r="H1659" s="4"/>
      <c r="I1659" s="4">
        <f t="shared" si="138"/>
        <v>0</v>
      </c>
      <c r="J1659" s="4"/>
      <c r="K1659" s="4">
        <f t="shared" si="128"/>
        <v>0</v>
      </c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 spans="1:26" ht="15.75" customHeight="1" x14ac:dyDescent="0.2">
      <c r="A1660" s="1"/>
      <c r="B1660" s="2" t="s">
        <v>108</v>
      </c>
      <c r="C1660" s="3" t="s">
        <v>423</v>
      </c>
      <c r="D1660" s="3" t="s">
        <v>75</v>
      </c>
      <c r="E1660" s="3" t="s">
        <v>79</v>
      </c>
      <c r="F1660" s="3" t="s">
        <v>1729</v>
      </c>
      <c r="G1660" s="3" t="s">
        <v>1207</v>
      </c>
      <c r="H1660" s="4"/>
      <c r="I1660" s="4">
        <f t="shared" si="138"/>
        <v>0</v>
      </c>
      <c r="J1660" s="4"/>
      <c r="K1660" s="4">
        <f t="shared" si="128"/>
        <v>0</v>
      </c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 spans="1:26" ht="15.75" customHeight="1" x14ac:dyDescent="0.2">
      <c r="A1661" s="1">
        <v>1439</v>
      </c>
      <c r="B1661" s="13" t="s">
        <v>261</v>
      </c>
      <c r="C1661" s="14" t="s">
        <v>1746</v>
      </c>
      <c r="D1661" s="14" t="s">
        <v>21</v>
      </c>
      <c r="E1661" s="14" t="s">
        <v>79</v>
      </c>
      <c r="F1661" s="14" t="s">
        <v>1729</v>
      </c>
      <c r="G1661" s="14" t="s">
        <v>1207</v>
      </c>
      <c r="H1661" s="4"/>
      <c r="I1661" s="4">
        <f t="shared" ref="I1661:I1663" si="139">H1661*2300</f>
        <v>0</v>
      </c>
      <c r="J1661" s="4"/>
      <c r="K1661" s="4">
        <f t="shared" si="128"/>
        <v>0</v>
      </c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 spans="1:26" ht="15.75" customHeight="1" x14ac:dyDescent="0.2">
      <c r="A1662" s="1">
        <v>2139</v>
      </c>
      <c r="B1662" s="13" t="s">
        <v>281</v>
      </c>
      <c r="C1662" s="14" t="s">
        <v>1746</v>
      </c>
      <c r="D1662" s="14" t="s">
        <v>21</v>
      </c>
      <c r="E1662" s="14" t="s">
        <v>79</v>
      </c>
      <c r="F1662" s="14" t="s">
        <v>1729</v>
      </c>
      <c r="G1662" s="14" t="s">
        <v>1207</v>
      </c>
      <c r="H1662" s="4"/>
      <c r="I1662" s="4">
        <f t="shared" si="139"/>
        <v>0</v>
      </c>
      <c r="J1662" s="4"/>
      <c r="K1662" s="4">
        <f t="shared" si="128"/>
        <v>0</v>
      </c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 spans="1:26" ht="15.75" customHeight="1" x14ac:dyDescent="0.2">
      <c r="A1663" s="1">
        <v>1415</v>
      </c>
      <c r="B1663" s="13" t="s">
        <v>386</v>
      </c>
      <c r="C1663" s="14" t="s">
        <v>1747</v>
      </c>
      <c r="D1663" s="14" t="s">
        <v>339</v>
      </c>
      <c r="E1663" s="14" t="s">
        <v>32</v>
      </c>
      <c r="F1663" s="14" t="s">
        <v>1729</v>
      </c>
      <c r="G1663" s="14" t="s">
        <v>1207</v>
      </c>
      <c r="H1663" s="4"/>
      <c r="I1663" s="4">
        <f t="shared" si="139"/>
        <v>0</v>
      </c>
      <c r="J1663" s="4"/>
      <c r="K1663" s="4">
        <f t="shared" si="128"/>
        <v>0</v>
      </c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 spans="1:26" ht="15.75" customHeight="1" x14ac:dyDescent="0.2">
      <c r="A1664" s="1"/>
      <c r="B1664" s="2" t="s">
        <v>307</v>
      </c>
      <c r="C1664" s="3" t="s">
        <v>1747</v>
      </c>
      <c r="D1664" s="3" t="s">
        <v>75</v>
      </c>
      <c r="E1664" s="3" t="s">
        <v>32</v>
      </c>
      <c r="F1664" s="3" t="s">
        <v>1729</v>
      </c>
      <c r="G1664" s="3" t="s">
        <v>1207</v>
      </c>
      <c r="H1664" s="4">
        <v>27</v>
      </c>
      <c r="I1664" s="4">
        <f t="shared" ref="I1664:I1667" si="140">H1664*1800</f>
        <v>48600</v>
      </c>
      <c r="J1664" s="4"/>
      <c r="K1664" s="4">
        <f t="shared" si="128"/>
        <v>0</v>
      </c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 spans="1:26" ht="15.75" customHeight="1" x14ac:dyDescent="0.2">
      <c r="A1665" s="1"/>
      <c r="B1665" s="2" t="s">
        <v>311</v>
      </c>
      <c r="C1665" s="3" t="s">
        <v>1747</v>
      </c>
      <c r="D1665" s="3" t="s">
        <v>75</v>
      </c>
      <c r="E1665" s="3" t="s">
        <v>32</v>
      </c>
      <c r="F1665" s="3" t="s">
        <v>1729</v>
      </c>
      <c r="G1665" s="3" t="s">
        <v>1207</v>
      </c>
      <c r="H1665" s="4"/>
      <c r="I1665" s="4">
        <f t="shared" si="140"/>
        <v>0</v>
      </c>
      <c r="J1665" s="4"/>
      <c r="K1665" s="4">
        <f t="shared" si="128"/>
        <v>0</v>
      </c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 spans="1:26" ht="15.75" customHeight="1" x14ac:dyDescent="0.2">
      <c r="A1666" s="1"/>
      <c r="B1666" s="2" t="s">
        <v>131</v>
      </c>
      <c r="C1666" s="3" t="s">
        <v>1706</v>
      </c>
      <c r="D1666" s="3" t="s">
        <v>1748</v>
      </c>
      <c r="E1666" s="3" t="s">
        <v>1749</v>
      </c>
      <c r="F1666" s="3" t="s">
        <v>1729</v>
      </c>
      <c r="G1666" s="3" t="s">
        <v>1207</v>
      </c>
      <c r="H1666" s="4"/>
      <c r="I1666" s="4">
        <f t="shared" si="140"/>
        <v>0</v>
      </c>
      <c r="J1666" s="4"/>
      <c r="K1666" s="4">
        <f t="shared" si="128"/>
        <v>0</v>
      </c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 spans="1:26" ht="15.75" customHeight="1" x14ac:dyDescent="0.2">
      <c r="A1667" s="1"/>
      <c r="B1667" s="2" t="s">
        <v>118</v>
      </c>
      <c r="C1667" s="3" t="s">
        <v>1706</v>
      </c>
      <c r="D1667" s="3" t="s">
        <v>1748</v>
      </c>
      <c r="E1667" s="3" t="s">
        <v>1749</v>
      </c>
      <c r="F1667" s="3" t="s">
        <v>1729</v>
      </c>
      <c r="G1667" s="3" t="s">
        <v>1207</v>
      </c>
      <c r="H1667" s="4"/>
      <c r="I1667" s="4">
        <f t="shared" si="140"/>
        <v>0</v>
      </c>
      <c r="J1667" s="4"/>
      <c r="K1667" s="4">
        <f t="shared" si="128"/>
        <v>0</v>
      </c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 spans="1:26" ht="15.75" customHeight="1" x14ac:dyDescent="0.2">
      <c r="A1668" s="1">
        <v>1233</v>
      </c>
      <c r="B1668" s="13" t="s">
        <v>699</v>
      </c>
      <c r="C1668" s="14" t="s">
        <v>1216</v>
      </c>
      <c r="D1668" s="14" t="s">
        <v>28</v>
      </c>
      <c r="E1668" s="14" t="s">
        <v>1750</v>
      </c>
      <c r="F1668" s="14" t="s">
        <v>1729</v>
      </c>
      <c r="G1668" s="14" t="s">
        <v>1207</v>
      </c>
      <c r="H1668" s="4"/>
      <c r="I1668" s="4">
        <f t="shared" ref="I1668:I1671" si="141">H1668*2300</f>
        <v>0</v>
      </c>
      <c r="J1668" s="4"/>
      <c r="K1668" s="4">
        <f t="shared" si="128"/>
        <v>0</v>
      </c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 spans="1:26" ht="15.75" customHeight="1" x14ac:dyDescent="0.2">
      <c r="A1669" s="1">
        <v>2919</v>
      </c>
      <c r="B1669" s="13" t="s">
        <v>722</v>
      </c>
      <c r="C1669" s="14" t="s">
        <v>1216</v>
      </c>
      <c r="D1669" s="14" t="s">
        <v>28</v>
      </c>
      <c r="E1669" s="14" t="s">
        <v>1750</v>
      </c>
      <c r="F1669" s="14" t="s">
        <v>1729</v>
      </c>
      <c r="G1669" s="14" t="s">
        <v>1207</v>
      </c>
      <c r="H1669" s="4"/>
      <c r="I1669" s="4">
        <f t="shared" si="141"/>
        <v>0</v>
      </c>
      <c r="J1669" s="4"/>
      <c r="K1669" s="4">
        <f t="shared" si="128"/>
        <v>0</v>
      </c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 spans="1:26" ht="15.75" customHeight="1" x14ac:dyDescent="0.2">
      <c r="A1670" s="1">
        <v>1625</v>
      </c>
      <c r="B1670" s="13" t="s">
        <v>267</v>
      </c>
      <c r="C1670" s="14" t="s">
        <v>1751</v>
      </c>
      <c r="D1670" s="14" t="s">
        <v>949</v>
      </c>
      <c r="E1670" s="14" t="s">
        <v>876</v>
      </c>
      <c r="F1670" s="14" t="s">
        <v>1729</v>
      </c>
      <c r="G1670" s="14" t="s">
        <v>1207</v>
      </c>
      <c r="H1670" s="4"/>
      <c r="I1670" s="4">
        <f t="shared" si="141"/>
        <v>0</v>
      </c>
      <c r="J1670" s="4"/>
      <c r="K1670" s="4">
        <f t="shared" si="128"/>
        <v>0</v>
      </c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 spans="1:26" ht="15.75" customHeight="1" x14ac:dyDescent="0.2">
      <c r="A1671" s="1">
        <v>2183</v>
      </c>
      <c r="B1671" s="13" t="s">
        <v>282</v>
      </c>
      <c r="C1671" s="14" t="s">
        <v>1751</v>
      </c>
      <c r="D1671" s="14" t="s">
        <v>949</v>
      </c>
      <c r="E1671" s="14" t="s">
        <v>876</v>
      </c>
      <c r="F1671" s="14" t="s">
        <v>1729</v>
      </c>
      <c r="G1671" s="14" t="s">
        <v>1207</v>
      </c>
      <c r="H1671" s="4"/>
      <c r="I1671" s="4">
        <f t="shared" si="141"/>
        <v>0</v>
      </c>
      <c r="J1671" s="4"/>
      <c r="K1671" s="4">
        <f t="shared" si="128"/>
        <v>0</v>
      </c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 spans="1:26" ht="15.75" customHeight="1" x14ac:dyDescent="0.2">
      <c r="A1672" s="1"/>
      <c r="B1672" s="2" t="s">
        <v>102</v>
      </c>
      <c r="C1672" s="3" t="s">
        <v>1752</v>
      </c>
      <c r="D1672" s="3" t="s">
        <v>574</v>
      </c>
      <c r="E1672" s="3" t="s">
        <v>612</v>
      </c>
      <c r="F1672" s="3" t="s">
        <v>1729</v>
      </c>
      <c r="G1672" s="3" t="s">
        <v>1207</v>
      </c>
      <c r="H1672" s="4"/>
      <c r="I1672" s="4">
        <f t="shared" ref="I1672:I1675" si="142">H1672*1800</f>
        <v>0</v>
      </c>
      <c r="J1672" s="4"/>
      <c r="K1672" s="4">
        <f t="shared" si="128"/>
        <v>0</v>
      </c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 spans="1:26" ht="15.75" customHeight="1" x14ac:dyDescent="0.2">
      <c r="A1673" s="1"/>
      <c r="B1673" s="2" t="s">
        <v>232</v>
      </c>
      <c r="C1673" s="3" t="s">
        <v>1752</v>
      </c>
      <c r="D1673" s="3" t="s">
        <v>574</v>
      </c>
      <c r="E1673" s="3" t="s">
        <v>612</v>
      </c>
      <c r="F1673" s="3" t="s">
        <v>1729</v>
      </c>
      <c r="G1673" s="3" t="s">
        <v>1207</v>
      </c>
      <c r="H1673" s="4"/>
      <c r="I1673" s="4">
        <f t="shared" si="142"/>
        <v>0</v>
      </c>
      <c r="J1673" s="4"/>
      <c r="K1673" s="4">
        <f t="shared" si="128"/>
        <v>0</v>
      </c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 spans="1:26" ht="15.75" customHeight="1" x14ac:dyDescent="0.2">
      <c r="A1674" s="1"/>
      <c r="B1674" s="2" t="s">
        <v>315</v>
      </c>
      <c r="C1674" s="3" t="s">
        <v>1753</v>
      </c>
      <c r="D1674" s="3" t="s">
        <v>370</v>
      </c>
      <c r="E1674" s="3" t="s">
        <v>1754</v>
      </c>
      <c r="F1674" s="3" t="s">
        <v>1729</v>
      </c>
      <c r="G1674" s="3" t="s">
        <v>1207</v>
      </c>
      <c r="H1674" s="4"/>
      <c r="I1674" s="4">
        <f t="shared" si="142"/>
        <v>0</v>
      </c>
      <c r="J1674" s="4"/>
      <c r="K1674" s="4">
        <f t="shared" si="128"/>
        <v>0</v>
      </c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 spans="1:26" ht="15.75" customHeight="1" x14ac:dyDescent="0.2">
      <c r="A1675" s="1"/>
      <c r="B1675" s="2" t="s">
        <v>316</v>
      </c>
      <c r="C1675" s="3" t="s">
        <v>1753</v>
      </c>
      <c r="D1675" s="3" t="s">
        <v>370</v>
      </c>
      <c r="E1675" s="3" t="s">
        <v>1754</v>
      </c>
      <c r="F1675" s="23" t="s">
        <v>1729</v>
      </c>
      <c r="G1675" s="3" t="s">
        <v>1207</v>
      </c>
      <c r="H1675" s="4"/>
      <c r="I1675" s="4">
        <f t="shared" si="142"/>
        <v>0</v>
      </c>
      <c r="J1675" s="4"/>
      <c r="K1675" s="4">
        <f t="shared" si="128"/>
        <v>0</v>
      </c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 spans="1:26" ht="15.75" customHeight="1" x14ac:dyDescent="0.2">
      <c r="A1676" s="25">
        <v>1229</v>
      </c>
      <c r="B1676" s="26" t="s">
        <v>699</v>
      </c>
      <c r="C1676" s="27" t="s">
        <v>1755</v>
      </c>
      <c r="D1676" s="27" t="s">
        <v>1687</v>
      </c>
      <c r="E1676" s="27" t="s">
        <v>1217</v>
      </c>
      <c r="F1676" s="27" t="s">
        <v>1729</v>
      </c>
      <c r="G1676" s="27" t="s">
        <v>1207</v>
      </c>
      <c r="H1676" s="24"/>
      <c r="I1676" s="24">
        <f t="shared" ref="I1676:I1685" si="143">H1676*2300</f>
        <v>0</v>
      </c>
      <c r="J1676" s="24"/>
      <c r="K1676" s="24">
        <f t="shared" si="128"/>
        <v>0</v>
      </c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28"/>
    </row>
    <row r="1677" spans="1:26" ht="15.75" customHeight="1" x14ac:dyDescent="0.2">
      <c r="A1677" s="25">
        <v>1729</v>
      </c>
      <c r="B1677" s="26" t="s">
        <v>465</v>
      </c>
      <c r="C1677" s="27" t="s">
        <v>1755</v>
      </c>
      <c r="D1677" s="27" t="s">
        <v>1687</v>
      </c>
      <c r="E1677" s="27" t="s">
        <v>1217</v>
      </c>
      <c r="F1677" s="27" t="s">
        <v>1729</v>
      </c>
      <c r="G1677" s="27" t="s">
        <v>1207</v>
      </c>
      <c r="H1677" s="24"/>
      <c r="I1677" s="24">
        <f t="shared" si="143"/>
        <v>0</v>
      </c>
      <c r="J1677" s="24"/>
      <c r="K1677" s="24">
        <f t="shared" si="128"/>
        <v>0</v>
      </c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28"/>
    </row>
    <row r="1678" spans="1:26" ht="15.75" customHeight="1" x14ac:dyDescent="0.2">
      <c r="A1678" s="1">
        <v>1325</v>
      </c>
      <c r="B1678" s="13" t="s">
        <v>260</v>
      </c>
      <c r="C1678" s="14" t="s">
        <v>1756</v>
      </c>
      <c r="D1678" s="14" t="s">
        <v>1300</v>
      </c>
      <c r="E1678" s="14" t="s">
        <v>1757</v>
      </c>
      <c r="F1678" s="14" t="s">
        <v>1729</v>
      </c>
      <c r="G1678" s="14" t="s">
        <v>1207</v>
      </c>
      <c r="H1678" s="4"/>
      <c r="I1678" s="4">
        <f t="shared" si="143"/>
        <v>0</v>
      </c>
      <c r="J1678" s="4"/>
      <c r="K1678" s="4">
        <f t="shared" si="128"/>
        <v>0</v>
      </c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 spans="1:26" ht="15.75" customHeight="1" x14ac:dyDescent="0.2">
      <c r="A1679" s="1">
        <v>2103</v>
      </c>
      <c r="B1679" s="13" t="s">
        <v>280</v>
      </c>
      <c r="C1679" s="14" t="s">
        <v>1756</v>
      </c>
      <c r="D1679" s="14" t="s">
        <v>1300</v>
      </c>
      <c r="E1679" s="14" t="s">
        <v>1757</v>
      </c>
      <c r="F1679" s="14" t="s">
        <v>1729</v>
      </c>
      <c r="G1679" s="14" t="s">
        <v>1207</v>
      </c>
      <c r="H1679" s="4"/>
      <c r="I1679" s="4">
        <f t="shared" si="143"/>
        <v>0</v>
      </c>
      <c r="J1679" s="4"/>
      <c r="K1679" s="4">
        <f t="shared" si="128"/>
        <v>0</v>
      </c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 spans="1:26" ht="15.75" customHeight="1" x14ac:dyDescent="0.2">
      <c r="A1680" s="1">
        <v>1479</v>
      </c>
      <c r="B1680" s="13" t="s">
        <v>957</v>
      </c>
      <c r="C1680" s="14" t="s">
        <v>1758</v>
      </c>
      <c r="D1680" s="14" t="s">
        <v>1627</v>
      </c>
      <c r="E1680" s="14" t="s">
        <v>1759</v>
      </c>
      <c r="F1680" s="14" t="s">
        <v>1729</v>
      </c>
      <c r="G1680" s="14" t="s">
        <v>1207</v>
      </c>
      <c r="H1680" s="4"/>
      <c r="I1680" s="4">
        <f t="shared" si="143"/>
        <v>0</v>
      </c>
      <c r="J1680" s="4"/>
      <c r="K1680" s="4">
        <f t="shared" si="128"/>
        <v>0</v>
      </c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 spans="1:26" ht="15.75" customHeight="1" x14ac:dyDescent="0.2">
      <c r="A1681" s="1">
        <v>1937</v>
      </c>
      <c r="B1681" s="13" t="s">
        <v>278</v>
      </c>
      <c r="C1681" s="14" t="s">
        <v>1758</v>
      </c>
      <c r="D1681" s="14" t="s">
        <v>1627</v>
      </c>
      <c r="E1681" s="14" t="s">
        <v>1759</v>
      </c>
      <c r="F1681" s="14" t="s">
        <v>1729</v>
      </c>
      <c r="G1681" s="14" t="s">
        <v>1207</v>
      </c>
      <c r="H1681" s="4"/>
      <c r="I1681" s="4">
        <f t="shared" si="143"/>
        <v>0</v>
      </c>
      <c r="J1681" s="4"/>
      <c r="K1681" s="4">
        <f t="shared" si="128"/>
        <v>0</v>
      </c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 spans="1:26" ht="15.75" customHeight="1" x14ac:dyDescent="0.2">
      <c r="A1682" s="1">
        <v>1307</v>
      </c>
      <c r="B1682" s="13" t="s">
        <v>936</v>
      </c>
      <c r="C1682" s="14" t="s">
        <v>1760</v>
      </c>
      <c r="D1682" s="14" t="s">
        <v>1283</v>
      </c>
      <c r="E1682" s="14" t="s">
        <v>1367</v>
      </c>
      <c r="F1682" s="14" t="s">
        <v>1729</v>
      </c>
      <c r="G1682" s="14" t="s">
        <v>1207</v>
      </c>
      <c r="H1682" s="4"/>
      <c r="I1682" s="4">
        <f t="shared" si="143"/>
        <v>0</v>
      </c>
      <c r="J1682" s="4"/>
      <c r="K1682" s="4">
        <f t="shared" si="128"/>
        <v>0</v>
      </c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 spans="1:26" ht="15.75" customHeight="1" x14ac:dyDescent="0.2">
      <c r="A1683" s="1">
        <v>1779</v>
      </c>
      <c r="B1683" s="13" t="s">
        <v>442</v>
      </c>
      <c r="C1683" s="14" t="s">
        <v>1760</v>
      </c>
      <c r="D1683" s="14" t="s">
        <v>1283</v>
      </c>
      <c r="E1683" s="14" t="s">
        <v>1367</v>
      </c>
      <c r="F1683" s="14" t="s">
        <v>1729</v>
      </c>
      <c r="G1683" s="14" t="s">
        <v>1207</v>
      </c>
      <c r="H1683" s="4"/>
      <c r="I1683" s="4">
        <f t="shared" si="143"/>
        <v>0</v>
      </c>
      <c r="J1683" s="4"/>
      <c r="K1683" s="4">
        <f t="shared" si="128"/>
        <v>0</v>
      </c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 spans="1:26" ht="15.75" customHeight="1" x14ac:dyDescent="0.2">
      <c r="A1684" s="1">
        <v>1361</v>
      </c>
      <c r="B1684" s="13" t="s">
        <v>601</v>
      </c>
      <c r="C1684" s="14" t="s">
        <v>1761</v>
      </c>
      <c r="D1684" s="14" t="s">
        <v>643</v>
      </c>
      <c r="E1684" s="14" t="s">
        <v>424</v>
      </c>
      <c r="F1684" s="14" t="s">
        <v>1729</v>
      </c>
      <c r="G1684" s="14" t="s">
        <v>1207</v>
      </c>
      <c r="H1684" s="4"/>
      <c r="I1684" s="4">
        <f t="shared" si="143"/>
        <v>0</v>
      </c>
      <c r="J1684" s="4"/>
      <c r="K1684" s="4">
        <f t="shared" si="128"/>
        <v>0</v>
      </c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 spans="1:26" ht="15.75" customHeight="1" x14ac:dyDescent="0.2">
      <c r="A1685" s="1">
        <v>1851</v>
      </c>
      <c r="B1685" s="13" t="s">
        <v>604</v>
      </c>
      <c r="C1685" s="14" t="s">
        <v>1761</v>
      </c>
      <c r="D1685" s="14" t="s">
        <v>643</v>
      </c>
      <c r="E1685" s="14" t="s">
        <v>424</v>
      </c>
      <c r="F1685" s="14" t="s">
        <v>1729</v>
      </c>
      <c r="G1685" s="14" t="s">
        <v>1207</v>
      </c>
      <c r="H1685" s="4"/>
      <c r="I1685" s="4">
        <f t="shared" si="143"/>
        <v>0</v>
      </c>
      <c r="J1685" s="4"/>
      <c r="K1685" s="4">
        <f t="shared" si="128"/>
        <v>0</v>
      </c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 spans="1:26" ht="15.75" customHeight="1" x14ac:dyDescent="0.2">
      <c r="A1686" s="1"/>
      <c r="B1686" s="2" t="s">
        <v>122</v>
      </c>
      <c r="C1686" s="3" t="s">
        <v>1762</v>
      </c>
      <c r="D1686" s="3" t="s">
        <v>949</v>
      </c>
      <c r="E1686" s="3" t="s">
        <v>1763</v>
      </c>
      <c r="F1686" s="3" t="s">
        <v>1729</v>
      </c>
      <c r="G1686" s="3" t="s">
        <v>1207</v>
      </c>
      <c r="H1686" s="4"/>
      <c r="I1686" s="4">
        <f t="shared" ref="I1686:I1688" si="144">H1686*1800</f>
        <v>0</v>
      </c>
      <c r="J1686" s="4"/>
      <c r="K1686" s="4">
        <f t="shared" si="128"/>
        <v>0</v>
      </c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 spans="1:26" ht="15.75" customHeight="1" x14ac:dyDescent="0.2">
      <c r="A1687" s="1"/>
      <c r="B1687" s="2" t="s">
        <v>126</v>
      </c>
      <c r="C1687" s="3" t="s">
        <v>1762</v>
      </c>
      <c r="D1687" s="3" t="s">
        <v>949</v>
      </c>
      <c r="E1687" s="3" t="s">
        <v>1763</v>
      </c>
      <c r="F1687" s="3" t="s">
        <v>1729</v>
      </c>
      <c r="G1687" s="3" t="s">
        <v>1207</v>
      </c>
      <c r="H1687" s="4"/>
      <c r="I1687" s="4">
        <f t="shared" si="144"/>
        <v>0</v>
      </c>
      <c r="J1687" s="4"/>
      <c r="K1687" s="4">
        <f t="shared" si="128"/>
        <v>0</v>
      </c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 spans="1:26" ht="15.75" customHeight="1" x14ac:dyDescent="0.2">
      <c r="A1688" s="1"/>
      <c r="B1688" s="2" t="s">
        <v>122</v>
      </c>
      <c r="C1688" s="3" t="s">
        <v>1764</v>
      </c>
      <c r="D1688" s="3" t="s">
        <v>39</v>
      </c>
      <c r="E1688" s="3" t="s">
        <v>413</v>
      </c>
      <c r="F1688" s="3" t="s">
        <v>1729</v>
      </c>
      <c r="G1688" s="3" t="s">
        <v>1207</v>
      </c>
      <c r="H1688" s="4"/>
      <c r="I1688" s="4">
        <f t="shared" si="144"/>
        <v>0</v>
      </c>
      <c r="J1688" s="4"/>
      <c r="K1688" s="4">
        <f t="shared" si="128"/>
        <v>0</v>
      </c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 spans="1:26" ht="15.75" customHeight="1" x14ac:dyDescent="0.2">
      <c r="A1689" s="1">
        <v>467</v>
      </c>
      <c r="B1689" s="13" t="s">
        <v>1018</v>
      </c>
      <c r="C1689" s="14" t="s">
        <v>1765</v>
      </c>
      <c r="D1689" s="14" t="s">
        <v>1766</v>
      </c>
      <c r="E1689" s="14" t="s">
        <v>1767</v>
      </c>
      <c r="F1689" s="14" t="s">
        <v>1768</v>
      </c>
      <c r="G1689" s="14" t="s">
        <v>1207</v>
      </c>
      <c r="H1689" s="4"/>
      <c r="I1689" s="4">
        <f t="shared" ref="I1689:I1694" si="145">H1689*2300</f>
        <v>0</v>
      </c>
      <c r="J1689" s="4"/>
      <c r="K1689" s="4">
        <f t="shared" si="128"/>
        <v>0</v>
      </c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 spans="1:26" ht="15.75" customHeight="1" x14ac:dyDescent="0.2">
      <c r="A1690" s="1">
        <v>515</v>
      </c>
      <c r="B1690" s="13" t="s">
        <v>509</v>
      </c>
      <c r="C1690" s="14" t="s">
        <v>1769</v>
      </c>
      <c r="D1690" s="14" t="s">
        <v>581</v>
      </c>
      <c r="E1690" s="14" t="s">
        <v>389</v>
      </c>
      <c r="F1690" s="14" t="s">
        <v>1768</v>
      </c>
      <c r="G1690" s="14" t="s">
        <v>1207</v>
      </c>
      <c r="H1690" s="4">
        <v>18</v>
      </c>
      <c r="I1690" s="4">
        <f t="shared" si="145"/>
        <v>41400</v>
      </c>
      <c r="J1690" s="4"/>
      <c r="K1690" s="4">
        <f t="shared" si="128"/>
        <v>0</v>
      </c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 spans="1:26" ht="15.75" customHeight="1" x14ac:dyDescent="0.2">
      <c r="A1691" s="1">
        <v>571</v>
      </c>
      <c r="B1691" s="13" t="s">
        <v>368</v>
      </c>
      <c r="C1691" s="14" t="s">
        <v>1770</v>
      </c>
      <c r="D1691" s="14" t="s">
        <v>1410</v>
      </c>
      <c r="E1691" s="14" t="s">
        <v>251</v>
      </c>
      <c r="F1691" s="14" t="s">
        <v>1768</v>
      </c>
      <c r="G1691" s="14" t="s">
        <v>1207</v>
      </c>
      <c r="H1691" s="4"/>
      <c r="I1691" s="4">
        <f t="shared" si="145"/>
        <v>0</v>
      </c>
      <c r="J1691" s="4"/>
      <c r="K1691" s="4">
        <f t="shared" si="128"/>
        <v>0</v>
      </c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 spans="1:26" ht="15.75" customHeight="1" x14ac:dyDescent="0.2">
      <c r="A1692" s="1">
        <v>669</v>
      </c>
      <c r="B1692" s="13" t="s">
        <v>252</v>
      </c>
      <c r="C1692" s="14" t="s">
        <v>1398</v>
      </c>
      <c r="D1692" s="14" t="s">
        <v>656</v>
      </c>
      <c r="E1692" s="14" t="s">
        <v>645</v>
      </c>
      <c r="F1692" s="14" t="s">
        <v>1768</v>
      </c>
      <c r="G1692" s="14" t="s">
        <v>1207</v>
      </c>
      <c r="H1692" s="4"/>
      <c r="I1692" s="4">
        <f t="shared" si="145"/>
        <v>0</v>
      </c>
      <c r="J1692" s="4"/>
      <c r="K1692" s="4">
        <f t="shared" si="128"/>
        <v>0</v>
      </c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 spans="1:26" ht="15.75" customHeight="1" x14ac:dyDescent="0.2">
      <c r="A1693" s="1">
        <v>1175</v>
      </c>
      <c r="B1693" s="13" t="s">
        <v>256</v>
      </c>
      <c r="C1693" s="14" t="s">
        <v>1769</v>
      </c>
      <c r="D1693" s="14" t="s">
        <v>581</v>
      </c>
      <c r="E1693" s="14" t="s">
        <v>389</v>
      </c>
      <c r="F1693" s="14" t="s">
        <v>1768</v>
      </c>
      <c r="G1693" s="14" t="s">
        <v>1207</v>
      </c>
      <c r="H1693" s="4"/>
      <c r="I1693" s="4">
        <f t="shared" si="145"/>
        <v>0</v>
      </c>
      <c r="J1693" s="4"/>
      <c r="K1693" s="4">
        <f t="shared" si="128"/>
        <v>0</v>
      </c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 spans="1:26" ht="15.75" customHeight="1" x14ac:dyDescent="0.2">
      <c r="A1694" s="1">
        <v>2691</v>
      </c>
      <c r="B1694" s="13" t="s">
        <v>1098</v>
      </c>
      <c r="C1694" s="14" t="s">
        <v>1771</v>
      </c>
      <c r="D1694" s="14" t="s">
        <v>28</v>
      </c>
      <c r="E1694" s="14" t="s">
        <v>1367</v>
      </c>
      <c r="F1694" s="14" t="s">
        <v>1768</v>
      </c>
      <c r="G1694" s="14" t="s">
        <v>1207</v>
      </c>
      <c r="H1694" s="4"/>
      <c r="I1694" s="4">
        <f t="shared" si="145"/>
        <v>0</v>
      </c>
      <c r="J1694" s="4"/>
      <c r="K1694" s="4">
        <f t="shared" si="128"/>
        <v>0</v>
      </c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 spans="1:26" ht="15.75" customHeight="1" x14ac:dyDescent="0.2">
      <c r="A1695" s="1"/>
      <c r="B1695" s="2" t="s">
        <v>94</v>
      </c>
      <c r="C1695" s="3" t="s">
        <v>1765</v>
      </c>
      <c r="D1695" s="3" t="s">
        <v>388</v>
      </c>
      <c r="E1695" s="3" t="s">
        <v>1772</v>
      </c>
      <c r="F1695" s="3" t="s">
        <v>1768</v>
      </c>
      <c r="G1695" s="3" t="s">
        <v>1207</v>
      </c>
      <c r="H1695" s="4">
        <v>8</v>
      </c>
      <c r="I1695" s="4">
        <f t="shared" ref="I1695:I1697" si="146">H1695*1800</f>
        <v>14400</v>
      </c>
      <c r="J1695" s="4"/>
      <c r="K1695" s="4">
        <f t="shared" si="128"/>
        <v>0</v>
      </c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 spans="1:26" ht="15.75" customHeight="1" x14ac:dyDescent="0.2">
      <c r="A1696" s="1"/>
      <c r="B1696" s="2" t="s">
        <v>728</v>
      </c>
      <c r="C1696" s="3" t="s">
        <v>1765</v>
      </c>
      <c r="D1696" s="3" t="s">
        <v>388</v>
      </c>
      <c r="E1696" s="3" t="s">
        <v>1772</v>
      </c>
      <c r="F1696" s="3" t="s">
        <v>1768</v>
      </c>
      <c r="G1696" s="3" t="s">
        <v>1207</v>
      </c>
      <c r="H1696" s="4"/>
      <c r="I1696" s="4">
        <f t="shared" si="146"/>
        <v>0</v>
      </c>
      <c r="J1696" s="4"/>
      <c r="K1696" s="4">
        <f t="shared" si="128"/>
        <v>0</v>
      </c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 spans="1:26" ht="15.75" customHeight="1" x14ac:dyDescent="0.2">
      <c r="A1697" s="1"/>
      <c r="B1697" s="2" t="s">
        <v>88</v>
      </c>
      <c r="C1697" s="3" t="s">
        <v>1444</v>
      </c>
      <c r="D1697" s="3" t="s">
        <v>484</v>
      </c>
      <c r="E1697" s="3" t="s">
        <v>18</v>
      </c>
      <c r="F1697" s="3" t="s">
        <v>1773</v>
      </c>
      <c r="G1697" s="3" t="s">
        <v>1207</v>
      </c>
      <c r="H1697" s="4"/>
      <c r="I1697" s="4">
        <f t="shared" si="146"/>
        <v>0</v>
      </c>
      <c r="J1697" s="4"/>
      <c r="K1697" s="4">
        <f t="shared" si="128"/>
        <v>0</v>
      </c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 spans="1:26" ht="15.75" customHeight="1" x14ac:dyDescent="0.2">
      <c r="A1698" s="1">
        <v>103</v>
      </c>
      <c r="B1698" s="13" t="s">
        <v>1262</v>
      </c>
      <c r="C1698" s="14" t="s">
        <v>1774</v>
      </c>
      <c r="D1698" s="14" t="s">
        <v>139</v>
      </c>
      <c r="E1698" s="14" t="s">
        <v>273</v>
      </c>
      <c r="F1698" s="14" t="s">
        <v>1775</v>
      </c>
      <c r="G1698" s="14" t="s">
        <v>1207</v>
      </c>
      <c r="H1698" s="4"/>
      <c r="I1698" s="4">
        <f t="shared" ref="I1698:I1743" si="147">H1698*2300</f>
        <v>0</v>
      </c>
      <c r="J1698" s="4"/>
      <c r="K1698" s="4">
        <f t="shared" si="128"/>
        <v>0</v>
      </c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 spans="1:26" ht="15.75" customHeight="1" x14ac:dyDescent="0.2">
      <c r="A1699" s="1">
        <v>171</v>
      </c>
      <c r="B1699" s="13" t="s">
        <v>549</v>
      </c>
      <c r="C1699" s="14" t="s">
        <v>1639</v>
      </c>
      <c r="D1699" s="14" t="s">
        <v>1734</v>
      </c>
      <c r="E1699" s="14" t="s">
        <v>1376</v>
      </c>
      <c r="F1699" s="14" t="s">
        <v>1775</v>
      </c>
      <c r="G1699" s="14" t="s">
        <v>1207</v>
      </c>
      <c r="H1699" s="4"/>
      <c r="I1699" s="4">
        <f t="shared" si="147"/>
        <v>0</v>
      </c>
      <c r="J1699" s="4"/>
      <c r="K1699" s="4">
        <f t="shared" si="128"/>
        <v>0</v>
      </c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 spans="1:26" ht="15.75" customHeight="1" x14ac:dyDescent="0.2">
      <c r="A1700" s="1">
        <v>191</v>
      </c>
      <c r="B1700" s="13" t="s">
        <v>549</v>
      </c>
      <c r="C1700" s="14" t="s">
        <v>870</v>
      </c>
      <c r="D1700" s="14" t="s">
        <v>557</v>
      </c>
      <c r="E1700" s="14" t="s">
        <v>650</v>
      </c>
      <c r="F1700" s="14" t="s">
        <v>1775</v>
      </c>
      <c r="G1700" s="14" t="s">
        <v>1207</v>
      </c>
      <c r="H1700" s="4"/>
      <c r="I1700" s="4">
        <f t="shared" si="147"/>
        <v>0</v>
      </c>
      <c r="J1700" s="4"/>
      <c r="K1700" s="4">
        <f t="shared" si="128"/>
        <v>0</v>
      </c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 spans="1:26" ht="15.75" customHeight="1" x14ac:dyDescent="0.2">
      <c r="A1701" s="1">
        <v>217</v>
      </c>
      <c r="B1701" s="13" t="s">
        <v>946</v>
      </c>
      <c r="C1701" s="14" t="s">
        <v>1639</v>
      </c>
      <c r="D1701" s="14" t="s">
        <v>1734</v>
      </c>
      <c r="E1701" s="14" t="s">
        <v>1376</v>
      </c>
      <c r="F1701" s="14" t="s">
        <v>1775</v>
      </c>
      <c r="G1701" s="14" t="s">
        <v>1207</v>
      </c>
      <c r="H1701" s="4"/>
      <c r="I1701" s="4">
        <f t="shared" si="147"/>
        <v>0</v>
      </c>
      <c r="J1701" s="4"/>
      <c r="K1701" s="4">
        <f t="shared" si="128"/>
        <v>0</v>
      </c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 spans="1:26" ht="15.75" customHeight="1" x14ac:dyDescent="0.2">
      <c r="A1702" s="1">
        <v>299</v>
      </c>
      <c r="B1702" s="13" t="s">
        <v>552</v>
      </c>
      <c r="C1702" s="14" t="s">
        <v>1639</v>
      </c>
      <c r="D1702" s="14" t="s">
        <v>1734</v>
      </c>
      <c r="E1702" s="14" t="s">
        <v>1376</v>
      </c>
      <c r="F1702" s="14" t="s">
        <v>1775</v>
      </c>
      <c r="G1702" s="14" t="s">
        <v>1207</v>
      </c>
      <c r="H1702" s="4"/>
      <c r="I1702" s="4">
        <f t="shared" si="147"/>
        <v>0</v>
      </c>
      <c r="J1702" s="4"/>
      <c r="K1702" s="4">
        <f t="shared" si="128"/>
        <v>0</v>
      </c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 spans="1:26" ht="15.75" customHeight="1" x14ac:dyDescent="0.2">
      <c r="A1703" s="1">
        <v>351</v>
      </c>
      <c r="B1703" s="13" t="s">
        <v>1162</v>
      </c>
      <c r="C1703" s="14" t="s">
        <v>1314</v>
      </c>
      <c r="D1703" s="14" t="s">
        <v>325</v>
      </c>
      <c r="E1703" s="14" t="s">
        <v>1490</v>
      </c>
      <c r="F1703" s="14" t="s">
        <v>1775</v>
      </c>
      <c r="G1703" s="14" t="s">
        <v>1207</v>
      </c>
      <c r="H1703" s="4"/>
      <c r="I1703" s="4">
        <f t="shared" si="147"/>
        <v>0</v>
      </c>
      <c r="J1703" s="4"/>
      <c r="K1703" s="4">
        <f t="shared" si="128"/>
        <v>0</v>
      </c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 spans="1:26" ht="15.75" customHeight="1" x14ac:dyDescent="0.2">
      <c r="A1704" s="1">
        <v>429</v>
      </c>
      <c r="B1704" s="13" t="s">
        <v>672</v>
      </c>
      <c r="C1704" s="14" t="s">
        <v>1776</v>
      </c>
      <c r="D1704" s="14" t="s">
        <v>474</v>
      </c>
      <c r="E1704" s="14" t="s">
        <v>575</v>
      </c>
      <c r="F1704" s="14" t="s">
        <v>1775</v>
      </c>
      <c r="G1704" s="14" t="s">
        <v>1207</v>
      </c>
      <c r="H1704" s="4"/>
      <c r="I1704" s="4">
        <f t="shared" si="147"/>
        <v>0</v>
      </c>
      <c r="J1704" s="4"/>
      <c r="K1704" s="4">
        <f t="shared" si="128"/>
        <v>0</v>
      </c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 spans="1:26" ht="15.75" customHeight="1" x14ac:dyDescent="0.2">
      <c r="A1705" s="1">
        <v>469</v>
      </c>
      <c r="B1705" s="13" t="s">
        <v>1018</v>
      </c>
      <c r="C1705" s="14" t="s">
        <v>1777</v>
      </c>
      <c r="D1705" s="14" t="s">
        <v>1778</v>
      </c>
      <c r="E1705" s="14" t="s">
        <v>251</v>
      </c>
      <c r="F1705" s="14" t="s">
        <v>1775</v>
      </c>
      <c r="G1705" s="14" t="s">
        <v>1207</v>
      </c>
      <c r="H1705" s="4"/>
      <c r="I1705" s="4">
        <f t="shared" si="147"/>
        <v>0</v>
      </c>
      <c r="J1705" s="4"/>
      <c r="K1705" s="4">
        <f t="shared" si="128"/>
        <v>0</v>
      </c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 spans="1:26" ht="15.75" customHeight="1" x14ac:dyDescent="0.2">
      <c r="A1706" s="1">
        <v>471</v>
      </c>
      <c r="B1706" s="13" t="s">
        <v>1018</v>
      </c>
      <c r="C1706" s="14" t="s">
        <v>1779</v>
      </c>
      <c r="D1706" s="14" t="s">
        <v>1780</v>
      </c>
      <c r="E1706" s="14" t="s">
        <v>1499</v>
      </c>
      <c r="F1706" s="14" t="s">
        <v>1775</v>
      </c>
      <c r="G1706" s="14" t="s">
        <v>1207</v>
      </c>
      <c r="H1706" s="4"/>
      <c r="I1706" s="4">
        <f t="shared" si="147"/>
        <v>0</v>
      </c>
      <c r="J1706" s="4"/>
      <c r="K1706" s="4">
        <f t="shared" si="128"/>
        <v>0</v>
      </c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 spans="1:26" ht="15.75" customHeight="1" x14ac:dyDescent="0.2">
      <c r="A1707" s="1">
        <v>573</v>
      </c>
      <c r="B1707" s="13" t="s">
        <v>368</v>
      </c>
      <c r="C1707" s="14" t="s">
        <v>1781</v>
      </c>
      <c r="D1707" s="14" t="s">
        <v>1782</v>
      </c>
      <c r="E1707" s="14" t="s">
        <v>134</v>
      </c>
      <c r="F1707" s="14" t="s">
        <v>1775</v>
      </c>
      <c r="G1707" s="14" t="s">
        <v>1207</v>
      </c>
      <c r="H1707" s="4"/>
      <c r="I1707" s="4">
        <f t="shared" si="147"/>
        <v>0</v>
      </c>
      <c r="J1707" s="4"/>
      <c r="K1707" s="4">
        <f t="shared" si="128"/>
        <v>0</v>
      </c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 spans="1:26" ht="15.75" customHeight="1" x14ac:dyDescent="0.2">
      <c r="A1708" s="1">
        <v>2817</v>
      </c>
      <c r="B1708" s="13" t="s">
        <v>1348</v>
      </c>
      <c r="C1708" s="14" t="s">
        <v>1776</v>
      </c>
      <c r="D1708" s="14" t="s">
        <v>474</v>
      </c>
      <c r="E1708" s="14" t="s">
        <v>575</v>
      </c>
      <c r="F1708" s="14" t="s">
        <v>1775</v>
      </c>
      <c r="G1708" s="14" t="s">
        <v>1207</v>
      </c>
      <c r="H1708" s="4"/>
      <c r="I1708" s="4">
        <f t="shared" si="147"/>
        <v>0</v>
      </c>
      <c r="J1708" s="4"/>
      <c r="K1708" s="4">
        <f t="shared" si="128"/>
        <v>0</v>
      </c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 spans="1:26" ht="15.75" customHeight="1" x14ac:dyDescent="0.2">
      <c r="A1709" s="1">
        <v>2819</v>
      </c>
      <c r="B1709" s="13" t="s">
        <v>1348</v>
      </c>
      <c r="C1709" s="14" t="s">
        <v>1779</v>
      </c>
      <c r="D1709" s="14" t="s">
        <v>1780</v>
      </c>
      <c r="E1709" s="14" t="s">
        <v>1499</v>
      </c>
      <c r="F1709" s="14" t="s">
        <v>1775</v>
      </c>
      <c r="G1709" s="14" t="s">
        <v>1207</v>
      </c>
      <c r="H1709" s="4"/>
      <c r="I1709" s="4">
        <f t="shared" si="147"/>
        <v>0</v>
      </c>
      <c r="J1709" s="4"/>
      <c r="K1709" s="4">
        <f t="shared" si="128"/>
        <v>0</v>
      </c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 spans="1:26" ht="15.75" customHeight="1" x14ac:dyDescent="0.2">
      <c r="A1710" s="1">
        <v>67</v>
      </c>
      <c r="B1710" s="13" t="s">
        <v>1301</v>
      </c>
      <c r="C1710" s="14" t="s">
        <v>1783</v>
      </c>
      <c r="D1710" s="14" t="s">
        <v>1070</v>
      </c>
      <c r="E1710" s="14" t="s">
        <v>393</v>
      </c>
      <c r="F1710" s="14" t="s">
        <v>1784</v>
      </c>
      <c r="G1710" s="14" t="s">
        <v>1207</v>
      </c>
      <c r="H1710" s="4"/>
      <c r="I1710" s="4">
        <f t="shared" si="147"/>
        <v>0</v>
      </c>
      <c r="J1710" s="4"/>
      <c r="K1710" s="4">
        <f t="shared" si="128"/>
        <v>0</v>
      </c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 spans="1:26" ht="15.75" customHeight="1" x14ac:dyDescent="0.2">
      <c r="A1711" s="1">
        <v>177</v>
      </c>
      <c r="B1711" s="13" t="s">
        <v>549</v>
      </c>
      <c r="C1711" s="14" t="s">
        <v>1785</v>
      </c>
      <c r="D1711" s="14" t="s">
        <v>116</v>
      </c>
      <c r="E1711" s="14" t="s">
        <v>630</v>
      </c>
      <c r="F1711" s="14" t="s">
        <v>1784</v>
      </c>
      <c r="G1711" s="14" t="s">
        <v>1207</v>
      </c>
      <c r="H1711" s="4"/>
      <c r="I1711" s="4">
        <f t="shared" si="147"/>
        <v>0</v>
      </c>
      <c r="J1711" s="4"/>
      <c r="K1711" s="4">
        <f t="shared" si="128"/>
        <v>0</v>
      </c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 spans="1:26" ht="15.75" customHeight="1" x14ac:dyDescent="0.2">
      <c r="A1712" s="1">
        <v>179</v>
      </c>
      <c r="B1712" s="13" t="s">
        <v>549</v>
      </c>
      <c r="C1712" s="14" t="s">
        <v>1786</v>
      </c>
      <c r="D1712" s="14" t="s">
        <v>1598</v>
      </c>
      <c r="E1712" s="14" t="s">
        <v>1048</v>
      </c>
      <c r="F1712" s="14" t="s">
        <v>1784</v>
      </c>
      <c r="G1712" s="14" t="s">
        <v>1207</v>
      </c>
      <c r="H1712" s="4"/>
      <c r="I1712" s="4">
        <f t="shared" si="147"/>
        <v>0</v>
      </c>
      <c r="J1712" s="4"/>
      <c r="K1712" s="4">
        <f t="shared" si="128"/>
        <v>0</v>
      </c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 spans="1:26" ht="15.75" customHeight="1" x14ac:dyDescent="0.2">
      <c r="A1713" s="1">
        <v>301</v>
      </c>
      <c r="B1713" s="13" t="s">
        <v>552</v>
      </c>
      <c r="C1713" s="14" t="s">
        <v>1787</v>
      </c>
      <c r="D1713" s="14" t="s">
        <v>1734</v>
      </c>
      <c r="E1713" s="14" t="s">
        <v>567</v>
      </c>
      <c r="F1713" s="14" t="s">
        <v>1784</v>
      </c>
      <c r="G1713" s="14" t="s">
        <v>1207</v>
      </c>
      <c r="H1713" s="4"/>
      <c r="I1713" s="4">
        <f t="shared" si="147"/>
        <v>0</v>
      </c>
      <c r="J1713" s="4"/>
      <c r="K1713" s="4">
        <f t="shared" si="128"/>
        <v>0</v>
      </c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 spans="1:26" ht="15.75" customHeight="1" x14ac:dyDescent="0.2">
      <c r="A1714" s="1">
        <v>303</v>
      </c>
      <c r="B1714" s="13" t="s">
        <v>552</v>
      </c>
      <c r="C1714" s="14" t="s">
        <v>1788</v>
      </c>
      <c r="D1714" s="14" t="s">
        <v>1329</v>
      </c>
      <c r="E1714" s="14" t="s">
        <v>1419</v>
      </c>
      <c r="F1714" s="14" t="s">
        <v>1784</v>
      </c>
      <c r="G1714" s="14" t="s">
        <v>1207</v>
      </c>
      <c r="H1714" s="4"/>
      <c r="I1714" s="4">
        <f t="shared" si="147"/>
        <v>0</v>
      </c>
      <c r="J1714" s="4"/>
      <c r="K1714" s="4">
        <f t="shared" si="128"/>
        <v>0</v>
      </c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 spans="1:26" ht="15.75" customHeight="1" x14ac:dyDescent="0.2">
      <c r="A1715" s="1">
        <v>305</v>
      </c>
      <c r="B1715" s="13" t="s">
        <v>552</v>
      </c>
      <c r="C1715" s="14" t="s">
        <v>1789</v>
      </c>
      <c r="D1715" s="14" t="s">
        <v>643</v>
      </c>
      <c r="E1715" s="14" t="s">
        <v>40</v>
      </c>
      <c r="F1715" s="14" t="s">
        <v>1784</v>
      </c>
      <c r="G1715" s="14" t="s">
        <v>1207</v>
      </c>
      <c r="H1715" s="4"/>
      <c r="I1715" s="4">
        <f t="shared" si="147"/>
        <v>0</v>
      </c>
      <c r="J1715" s="4"/>
      <c r="K1715" s="4">
        <f t="shared" si="128"/>
        <v>0</v>
      </c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 spans="1:26" ht="15.75" customHeight="1" x14ac:dyDescent="0.2">
      <c r="A1716" s="1">
        <v>309</v>
      </c>
      <c r="B1716" s="13" t="s">
        <v>552</v>
      </c>
      <c r="C1716" s="14" t="s">
        <v>1790</v>
      </c>
      <c r="D1716" s="14" t="s">
        <v>554</v>
      </c>
      <c r="E1716" s="14" t="s">
        <v>273</v>
      </c>
      <c r="F1716" s="14" t="s">
        <v>1784</v>
      </c>
      <c r="G1716" s="14" t="s">
        <v>1207</v>
      </c>
      <c r="H1716" s="4"/>
      <c r="I1716" s="4">
        <f t="shared" si="147"/>
        <v>0</v>
      </c>
      <c r="J1716" s="4"/>
      <c r="K1716" s="4">
        <f t="shared" si="128"/>
        <v>0</v>
      </c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 spans="1:26" ht="15.75" customHeight="1" x14ac:dyDescent="0.2">
      <c r="A1717" s="1">
        <v>345</v>
      </c>
      <c r="B1717" s="13" t="s">
        <v>1162</v>
      </c>
      <c r="C1717" s="14" t="s">
        <v>1791</v>
      </c>
      <c r="D1717" s="14" t="s">
        <v>1640</v>
      </c>
      <c r="E1717" s="14" t="s">
        <v>1792</v>
      </c>
      <c r="F1717" s="14" t="s">
        <v>1784</v>
      </c>
      <c r="G1717" s="14" t="s">
        <v>1207</v>
      </c>
      <c r="H1717" s="4"/>
      <c r="I1717" s="4">
        <f t="shared" si="147"/>
        <v>0</v>
      </c>
      <c r="J1717" s="4"/>
      <c r="K1717" s="4">
        <f t="shared" si="128"/>
        <v>0</v>
      </c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 spans="1:26" ht="15.75" customHeight="1" x14ac:dyDescent="0.2">
      <c r="A1718" s="1">
        <v>347</v>
      </c>
      <c r="B1718" s="13" t="s">
        <v>1162</v>
      </c>
      <c r="C1718" s="14" t="s">
        <v>1793</v>
      </c>
      <c r="D1718" s="14" t="s">
        <v>1300</v>
      </c>
      <c r="E1718" s="14" t="s">
        <v>918</v>
      </c>
      <c r="F1718" s="14" t="s">
        <v>1784</v>
      </c>
      <c r="G1718" s="14" t="s">
        <v>1207</v>
      </c>
      <c r="H1718" s="4"/>
      <c r="I1718" s="4">
        <f t="shared" si="147"/>
        <v>0</v>
      </c>
      <c r="J1718" s="4"/>
      <c r="K1718" s="4">
        <f t="shared" si="128"/>
        <v>0</v>
      </c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 spans="1:26" ht="15.75" customHeight="1" x14ac:dyDescent="0.2">
      <c r="A1719" s="1">
        <v>553</v>
      </c>
      <c r="B1719" s="13" t="s">
        <v>368</v>
      </c>
      <c r="C1719" s="14" t="s">
        <v>1794</v>
      </c>
      <c r="D1719" s="14" t="s">
        <v>388</v>
      </c>
      <c r="E1719" s="14" t="s">
        <v>1445</v>
      </c>
      <c r="F1719" s="14" t="s">
        <v>1784</v>
      </c>
      <c r="G1719" s="14" t="s">
        <v>1207</v>
      </c>
      <c r="H1719" s="4"/>
      <c r="I1719" s="4">
        <f t="shared" si="147"/>
        <v>0</v>
      </c>
      <c r="J1719" s="4"/>
      <c r="K1719" s="4">
        <f t="shared" si="128"/>
        <v>0</v>
      </c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 spans="1:26" ht="15.75" customHeight="1" x14ac:dyDescent="0.2">
      <c r="A1720" s="1">
        <v>565</v>
      </c>
      <c r="B1720" s="13" t="s">
        <v>368</v>
      </c>
      <c r="C1720" s="14" t="s">
        <v>1795</v>
      </c>
      <c r="D1720" s="14" t="s">
        <v>501</v>
      </c>
      <c r="E1720" s="14" t="s">
        <v>1796</v>
      </c>
      <c r="F1720" s="14" t="s">
        <v>1784</v>
      </c>
      <c r="G1720" s="14" t="s">
        <v>1207</v>
      </c>
      <c r="H1720" s="4"/>
      <c r="I1720" s="4">
        <f t="shared" si="147"/>
        <v>0</v>
      </c>
      <c r="J1720" s="4"/>
      <c r="K1720" s="4">
        <f t="shared" si="128"/>
        <v>0</v>
      </c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 spans="1:26" ht="15.75" customHeight="1" x14ac:dyDescent="0.2">
      <c r="A1721" s="1">
        <v>597</v>
      </c>
      <c r="B1721" s="13" t="s">
        <v>428</v>
      </c>
      <c r="C1721" s="14" t="s">
        <v>1797</v>
      </c>
      <c r="D1721" s="14" t="s">
        <v>1798</v>
      </c>
      <c r="E1721" s="14" t="s">
        <v>1441</v>
      </c>
      <c r="F1721" s="14" t="s">
        <v>1784</v>
      </c>
      <c r="G1721" s="14" t="s">
        <v>1207</v>
      </c>
      <c r="H1721" s="4"/>
      <c r="I1721" s="4">
        <f t="shared" si="147"/>
        <v>0</v>
      </c>
      <c r="J1721" s="4"/>
      <c r="K1721" s="4">
        <f t="shared" si="128"/>
        <v>0</v>
      </c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 spans="1:26" ht="15.75" customHeight="1" x14ac:dyDescent="0.2">
      <c r="A1722" s="1">
        <v>929</v>
      </c>
      <c r="B1722" s="13" t="s">
        <v>709</v>
      </c>
      <c r="C1722" s="14" t="s">
        <v>1799</v>
      </c>
      <c r="D1722" s="14" t="s">
        <v>1070</v>
      </c>
      <c r="E1722" s="14" t="s">
        <v>22</v>
      </c>
      <c r="F1722" s="14" t="s">
        <v>1784</v>
      </c>
      <c r="G1722" s="14" t="s">
        <v>1207</v>
      </c>
      <c r="H1722" s="4"/>
      <c r="I1722" s="4">
        <f t="shared" si="147"/>
        <v>0</v>
      </c>
      <c r="J1722" s="4"/>
      <c r="K1722" s="4">
        <f t="shared" si="128"/>
        <v>0</v>
      </c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 spans="1:26" ht="15.75" customHeight="1" x14ac:dyDescent="0.2">
      <c r="A1723" s="1">
        <v>1277</v>
      </c>
      <c r="B1723" s="13" t="s">
        <v>453</v>
      </c>
      <c r="C1723" s="14" t="s">
        <v>1786</v>
      </c>
      <c r="D1723" s="14" t="s">
        <v>1598</v>
      </c>
      <c r="E1723" s="14" t="s">
        <v>1048</v>
      </c>
      <c r="F1723" s="14" t="s">
        <v>1784</v>
      </c>
      <c r="G1723" s="14" t="s">
        <v>1207</v>
      </c>
      <c r="H1723" s="4"/>
      <c r="I1723" s="4">
        <f t="shared" si="147"/>
        <v>0</v>
      </c>
      <c r="J1723" s="4"/>
      <c r="K1723" s="4">
        <f t="shared" si="128"/>
        <v>0</v>
      </c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 spans="1:26" ht="15.75" customHeight="1" x14ac:dyDescent="0.2">
      <c r="A1724" s="1">
        <v>1353</v>
      </c>
      <c r="B1724" s="13" t="s">
        <v>601</v>
      </c>
      <c r="C1724" s="14" t="s">
        <v>1800</v>
      </c>
      <c r="D1724" s="14" t="s">
        <v>86</v>
      </c>
      <c r="E1724" s="14" t="s">
        <v>40</v>
      </c>
      <c r="F1724" s="14" t="s">
        <v>1784</v>
      </c>
      <c r="G1724" s="14" t="s">
        <v>1207</v>
      </c>
      <c r="H1724" s="4"/>
      <c r="I1724" s="4">
        <f t="shared" si="147"/>
        <v>0</v>
      </c>
      <c r="J1724" s="4"/>
      <c r="K1724" s="4">
        <f t="shared" si="128"/>
        <v>0</v>
      </c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 spans="1:26" ht="15.75" customHeight="1" x14ac:dyDescent="0.2">
      <c r="A1725" s="1">
        <v>1371</v>
      </c>
      <c r="B1725" s="13" t="s">
        <v>601</v>
      </c>
      <c r="C1725" s="14" t="s">
        <v>1787</v>
      </c>
      <c r="D1725" s="14" t="s">
        <v>1734</v>
      </c>
      <c r="E1725" s="14" t="s">
        <v>567</v>
      </c>
      <c r="F1725" s="14" t="s">
        <v>1784</v>
      </c>
      <c r="G1725" s="14" t="s">
        <v>1207</v>
      </c>
      <c r="H1725" s="4"/>
      <c r="I1725" s="4">
        <f t="shared" si="147"/>
        <v>0</v>
      </c>
      <c r="J1725" s="4"/>
      <c r="K1725" s="4">
        <f t="shared" si="128"/>
        <v>0</v>
      </c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 spans="1:26" ht="15.75" customHeight="1" x14ac:dyDescent="0.2">
      <c r="A1726" s="1">
        <v>1481</v>
      </c>
      <c r="B1726" s="13" t="s">
        <v>957</v>
      </c>
      <c r="C1726" s="14" t="s">
        <v>1801</v>
      </c>
      <c r="D1726" s="14" t="s">
        <v>266</v>
      </c>
      <c r="E1726" s="14" t="s">
        <v>1431</v>
      </c>
      <c r="F1726" s="14" t="s">
        <v>1784</v>
      </c>
      <c r="G1726" s="14" t="s">
        <v>1207</v>
      </c>
      <c r="H1726" s="4"/>
      <c r="I1726" s="4">
        <f t="shared" si="147"/>
        <v>0</v>
      </c>
      <c r="J1726" s="4"/>
      <c r="K1726" s="4">
        <f t="shared" si="128"/>
        <v>0</v>
      </c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 spans="1:26" ht="15.75" customHeight="1" x14ac:dyDescent="0.2">
      <c r="A1727" s="1">
        <v>1631</v>
      </c>
      <c r="B1727" s="13" t="s">
        <v>267</v>
      </c>
      <c r="C1727" s="14" t="s">
        <v>1802</v>
      </c>
      <c r="D1727" s="14" t="s">
        <v>557</v>
      </c>
      <c r="E1727" s="14" t="s">
        <v>70</v>
      </c>
      <c r="F1727" s="14" t="s">
        <v>1784</v>
      </c>
      <c r="G1727" s="14" t="s">
        <v>1207</v>
      </c>
      <c r="H1727" s="4"/>
      <c r="I1727" s="4">
        <f t="shared" si="147"/>
        <v>0</v>
      </c>
      <c r="J1727" s="4"/>
      <c r="K1727" s="4">
        <f t="shared" si="128"/>
        <v>0</v>
      </c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 spans="1:26" ht="15.75" customHeight="1" x14ac:dyDescent="0.2">
      <c r="A1728" s="1">
        <v>1655</v>
      </c>
      <c r="B1728" s="13" t="s">
        <v>435</v>
      </c>
      <c r="C1728" s="14" t="s">
        <v>1803</v>
      </c>
      <c r="D1728" s="14" t="s">
        <v>78</v>
      </c>
      <c r="E1728" s="14" t="s">
        <v>40</v>
      </c>
      <c r="F1728" s="14" t="s">
        <v>1784</v>
      </c>
      <c r="G1728" s="14" t="s">
        <v>1207</v>
      </c>
      <c r="H1728" s="4"/>
      <c r="I1728" s="4">
        <f t="shared" si="147"/>
        <v>0</v>
      </c>
      <c r="J1728" s="4"/>
      <c r="K1728" s="4">
        <f t="shared" si="128"/>
        <v>0</v>
      </c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 spans="1:26" ht="15.75" customHeight="1" x14ac:dyDescent="0.2">
      <c r="A1729" s="1">
        <v>1663</v>
      </c>
      <c r="B1729" s="13" t="s">
        <v>435</v>
      </c>
      <c r="C1729" s="14" t="s">
        <v>1804</v>
      </c>
      <c r="D1729" s="14" t="s">
        <v>989</v>
      </c>
      <c r="E1729" s="14" t="s">
        <v>1235</v>
      </c>
      <c r="F1729" s="14" t="s">
        <v>1784</v>
      </c>
      <c r="G1729" s="14" t="s">
        <v>1207</v>
      </c>
      <c r="H1729" s="4"/>
      <c r="I1729" s="4">
        <f t="shared" si="147"/>
        <v>0</v>
      </c>
      <c r="J1729" s="4"/>
      <c r="K1729" s="4">
        <f t="shared" si="128"/>
        <v>0</v>
      </c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 spans="1:26" ht="15.75" customHeight="1" x14ac:dyDescent="0.2">
      <c r="A1730" s="1">
        <v>1783</v>
      </c>
      <c r="B1730" s="13" t="s">
        <v>442</v>
      </c>
      <c r="C1730" s="14" t="s">
        <v>1786</v>
      </c>
      <c r="D1730" s="14" t="s">
        <v>1598</v>
      </c>
      <c r="E1730" s="14" t="s">
        <v>1048</v>
      </c>
      <c r="F1730" s="14" t="s">
        <v>1784</v>
      </c>
      <c r="G1730" s="14" t="s">
        <v>1207</v>
      </c>
      <c r="H1730" s="4"/>
      <c r="I1730" s="4">
        <f t="shared" si="147"/>
        <v>0</v>
      </c>
      <c r="J1730" s="4"/>
      <c r="K1730" s="4">
        <f t="shared" si="128"/>
        <v>0</v>
      </c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 spans="1:26" ht="15.75" customHeight="1" x14ac:dyDescent="0.2">
      <c r="A1731" s="1">
        <v>1941</v>
      </c>
      <c r="B1731" s="13" t="s">
        <v>278</v>
      </c>
      <c r="C1731" s="14" t="s">
        <v>1801</v>
      </c>
      <c r="D1731" s="14" t="s">
        <v>266</v>
      </c>
      <c r="E1731" s="14" t="s">
        <v>1431</v>
      </c>
      <c r="F1731" s="14" t="s">
        <v>1784</v>
      </c>
      <c r="G1731" s="14" t="s">
        <v>1207</v>
      </c>
      <c r="H1731" s="4"/>
      <c r="I1731" s="4">
        <f t="shared" si="147"/>
        <v>0</v>
      </c>
      <c r="J1731" s="4"/>
      <c r="K1731" s="4">
        <f t="shared" si="128"/>
        <v>0</v>
      </c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 spans="1:26" ht="15.75" customHeight="1" x14ac:dyDescent="0.2">
      <c r="A1732" s="1">
        <v>2007</v>
      </c>
      <c r="B1732" s="13" t="s">
        <v>701</v>
      </c>
      <c r="C1732" s="14" t="s">
        <v>1799</v>
      </c>
      <c r="D1732" s="14" t="s">
        <v>1070</v>
      </c>
      <c r="E1732" s="14" t="s">
        <v>22</v>
      </c>
      <c r="F1732" s="14" t="s">
        <v>1784</v>
      </c>
      <c r="G1732" s="14" t="s">
        <v>1207</v>
      </c>
      <c r="H1732" s="4"/>
      <c r="I1732" s="4">
        <f t="shared" si="147"/>
        <v>0</v>
      </c>
      <c r="J1732" s="4"/>
      <c r="K1732" s="4">
        <f t="shared" si="128"/>
        <v>0</v>
      </c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 spans="1:26" ht="15.75" customHeight="1" x14ac:dyDescent="0.2">
      <c r="A1733" s="1">
        <v>2193</v>
      </c>
      <c r="B1733" s="13" t="s">
        <v>282</v>
      </c>
      <c r="C1733" s="14" t="s">
        <v>1802</v>
      </c>
      <c r="D1733" s="14" t="s">
        <v>557</v>
      </c>
      <c r="E1733" s="14" t="s">
        <v>70</v>
      </c>
      <c r="F1733" s="14" t="s">
        <v>1784</v>
      </c>
      <c r="G1733" s="14" t="s">
        <v>1207</v>
      </c>
      <c r="H1733" s="4"/>
      <c r="I1733" s="4">
        <f t="shared" si="147"/>
        <v>0</v>
      </c>
      <c r="J1733" s="4"/>
      <c r="K1733" s="4">
        <f t="shared" si="128"/>
        <v>0</v>
      </c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 spans="1:26" ht="15.75" customHeight="1" x14ac:dyDescent="0.2">
      <c r="A1734" s="1">
        <v>2195</v>
      </c>
      <c r="B1734" s="13" t="s">
        <v>282</v>
      </c>
      <c r="C1734" s="14" t="s">
        <v>1803</v>
      </c>
      <c r="D1734" s="14" t="s">
        <v>78</v>
      </c>
      <c r="E1734" s="14" t="s">
        <v>40</v>
      </c>
      <c r="F1734" s="14" t="s">
        <v>1784</v>
      </c>
      <c r="G1734" s="14" t="s">
        <v>1207</v>
      </c>
      <c r="H1734" s="4"/>
      <c r="I1734" s="4">
        <f t="shared" si="147"/>
        <v>0</v>
      </c>
      <c r="J1734" s="4"/>
      <c r="K1734" s="4">
        <f t="shared" si="128"/>
        <v>0</v>
      </c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 spans="1:26" ht="15.75" customHeight="1" x14ac:dyDescent="0.2">
      <c r="A1735" s="1">
        <v>2197</v>
      </c>
      <c r="B1735" s="13" t="s">
        <v>282</v>
      </c>
      <c r="C1735" s="14" t="s">
        <v>1805</v>
      </c>
      <c r="D1735" s="14" t="s">
        <v>554</v>
      </c>
      <c r="E1735" s="14" t="s">
        <v>40</v>
      </c>
      <c r="F1735" s="14" t="s">
        <v>1784</v>
      </c>
      <c r="G1735" s="14" t="s">
        <v>1207</v>
      </c>
      <c r="H1735" s="4"/>
      <c r="I1735" s="4">
        <f t="shared" si="147"/>
        <v>0</v>
      </c>
      <c r="J1735" s="4"/>
      <c r="K1735" s="4">
        <f t="shared" si="128"/>
        <v>0</v>
      </c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 spans="1:26" ht="15.75" customHeight="1" x14ac:dyDescent="0.2">
      <c r="A1736" s="1">
        <v>2485</v>
      </c>
      <c r="B1736" s="13" t="s">
        <v>444</v>
      </c>
      <c r="C1736" s="14" t="s">
        <v>1392</v>
      </c>
      <c r="D1736" s="14" t="s">
        <v>163</v>
      </c>
      <c r="E1736" s="14" t="s">
        <v>1806</v>
      </c>
      <c r="F1736" s="14" t="s">
        <v>1784</v>
      </c>
      <c r="G1736" s="14" t="s">
        <v>1207</v>
      </c>
      <c r="H1736" s="4"/>
      <c r="I1736" s="4">
        <f t="shared" si="147"/>
        <v>0</v>
      </c>
      <c r="J1736" s="4"/>
      <c r="K1736" s="4">
        <f t="shared" si="128"/>
        <v>0</v>
      </c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 spans="1:26" ht="15.75" customHeight="1" x14ac:dyDescent="0.2">
      <c r="A1737" s="1">
        <v>2541</v>
      </c>
      <c r="B1737" s="13" t="s">
        <v>1247</v>
      </c>
      <c r="C1737" s="14" t="s">
        <v>1804</v>
      </c>
      <c r="D1737" s="14" t="s">
        <v>989</v>
      </c>
      <c r="E1737" s="14" t="s">
        <v>1235</v>
      </c>
      <c r="F1737" s="14" t="s">
        <v>1784</v>
      </c>
      <c r="G1737" s="14" t="s">
        <v>1207</v>
      </c>
      <c r="H1737" s="4"/>
      <c r="I1737" s="4">
        <f t="shared" si="147"/>
        <v>0</v>
      </c>
      <c r="J1737" s="4"/>
      <c r="K1737" s="4">
        <f t="shared" si="128"/>
        <v>0</v>
      </c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 spans="1:26" ht="15.75" customHeight="1" x14ac:dyDescent="0.2">
      <c r="A1738" s="1">
        <v>2547</v>
      </c>
      <c r="B1738" s="13" t="s">
        <v>1247</v>
      </c>
      <c r="C1738" s="14" t="s">
        <v>1791</v>
      </c>
      <c r="D1738" s="14" t="s">
        <v>1640</v>
      </c>
      <c r="E1738" s="14" t="s">
        <v>1792</v>
      </c>
      <c r="F1738" s="14" t="s">
        <v>1784</v>
      </c>
      <c r="G1738" s="14" t="s">
        <v>1207</v>
      </c>
      <c r="H1738" s="4"/>
      <c r="I1738" s="4">
        <f t="shared" si="147"/>
        <v>0</v>
      </c>
      <c r="J1738" s="4"/>
      <c r="K1738" s="4">
        <f t="shared" si="128"/>
        <v>0</v>
      </c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 spans="1:26" ht="15.75" customHeight="1" x14ac:dyDescent="0.2">
      <c r="A1739" s="1">
        <v>2553</v>
      </c>
      <c r="B1739" s="13" t="s">
        <v>1247</v>
      </c>
      <c r="C1739" s="14" t="s">
        <v>1392</v>
      </c>
      <c r="D1739" s="14" t="s">
        <v>1332</v>
      </c>
      <c r="E1739" s="14" t="s">
        <v>1807</v>
      </c>
      <c r="F1739" s="14" t="s">
        <v>1784</v>
      </c>
      <c r="G1739" s="14" t="s">
        <v>1207</v>
      </c>
      <c r="H1739" s="4"/>
      <c r="I1739" s="4">
        <f t="shared" si="147"/>
        <v>0</v>
      </c>
      <c r="J1739" s="4"/>
      <c r="K1739" s="4">
        <f t="shared" si="128"/>
        <v>0</v>
      </c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 spans="1:26" ht="15.75" customHeight="1" x14ac:dyDescent="0.2">
      <c r="A1740" s="1">
        <v>2767</v>
      </c>
      <c r="B1740" s="13" t="s">
        <v>623</v>
      </c>
      <c r="C1740" s="14" t="s">
        <v>1805</v>
      </c>
      <c r="D1740" s="14" t="s">
        <v>554</v>
      </c>
      <c r="E1740" s="14" t="s">
        <v>40</v>
      </c>
      <c r="F1740" s="14" t="s">
        <v>1784</v>
      </c>
      <c r="G1740" s="14" t="s">
        <v>1207</v>
      </c>
      <c r="H1740" s="4"/>
      <c r="I1740" s="4">
        <f t="shared" si="147"/>
        <v>0</v>
      </c>
      <c r="J1740" s="4"/>
      <c r="K1740" s="4">
        <f t="shared" si="128"/>
        <v>0</v>
      </c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 spans="1:26" ht="15.75" customHeight="1" x14ac:dyDescent="0.2">
      <c r="A1741" s="1">
        <v>2785</v>
      </c>
      <c r="B1741" s="13" t="s">
        <v>288</v>
      </c>
      <c r="C1741" s="14" t="s">
        <v>1802</v>
      </c>
      <c r="D1741" s="14" t="s">
        <v>557</v>
      </c>
      <c r="E1741" s="14" t="s">
        <v>70</v>
      </c>
      <c r="F1741" s="14" t="s">
        <v>1784</v>
      </c>
      <c r="G1741" s="14" t="s">
        <v>1207</v>
      </c>
      <c r="H1741" s="4"/>
      <c r="I1741" s="4">
        <f t="shared" si="147"/>
        <v>0</v>
      </c>
      <c r="J1741" s="4"/>
      <c r="K1741" s="4">
        <f t="shared" si="128"/>
        <v>0</v>
      </c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 spans="1:26" ht="15.75" customHeight="1" x14ac:dyDescent="0.2">
      <c r="A1742" s="1">
        <v>2899</v>
      </c>
      <c r="B1742" s="13" t="s">
        <v>1133</v>
      </c>
      <c r="C1742" s="14" t="s">
        <v>1805</v>
      </c>
      <c r="D1742" s="14" t="s">
        <v>554</v>
      </c>
      <c r="E1742" s="14" t="s">
        <v>40</v>
      </c>
      <c r="F1742" s="14" t="s">
        <v>1784</v>
      </c>
      <c r="G1742" s="14" t="s">
        <v>1207</v>
      </c>
      <c r="H1742" s="4"/>
      <c r="I1742" s="4">
        <f t="shared" si="147"/>
        <v>0</v>
      </c>
      <c r="J1742" s="4"/>
      <c r="K1742" s="4">
        <f t="shared" si="128"/>
        <v>0</v>
      </c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 spans="1:26" ht="15.75" customHeight="1" x14ac:dyDescent="0.2">
      <c r="A1743" s="1">
        <v>2977</v>
      </c>
      <c r="B1743" s="13" t="s">
        <v>289</v>
      </c>
      <c r="C1743" s="14" t="s">
        <v>1797</v>
      </c>
      <c r="D1743" s="14" t="s">
        <v>1798</v>
      </c>
      <c r="E1743" s="14" t="s">
        <v>1441</v>
      </c>
      <c r="F1743" s="14" t="s">
        <v>1784</v>
      </c>
      <c r="G1743" s="14" t="s">
        <v>1207</v>
      </c>
      <c r="H1743" s="4"/>
      <c r="I1743" s="4">
        <f t="shared" si="147"/>
        <v>0</v>
      </c>
      <c r="J1743" s="4"/>
      <c r="K1743" s="4">
        <f t="shared" si="128"/>
        <v>0</v>
      </c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 spans="1:26" ht="15.75" customHeight="1" x14ac:dyDescent="0.2">
      <c r="A1744" s="1"/>
      <c r="B1744" s="2" t="s">
        <v>122</v>
      </c>
      <c r="C1744" s="3" t="s">
        <v>1808</v>
      </c>
      <c r="D1744" s="3" t="s">
        <v>86</v>
      </c>
      <c r="E1744" s="3" t="s">
        <v>1058</v>
      </c>
      <c r="F1744" s="3" t="s">
        <v>1784</v>
      </c>
      <c r="G1744" s="3" t="s">
        <v>1207</v>
      </c>
      <c r="H1744" s="4"/>
      <c r="I1744" s="4">
        <f t="shared" ref="I1744:I1750" si="148">H1744*1800</f>
        <v>0</v>
      </c>
      <c r="J1744" s="4"/>
      <c r="K1744" s="4">
        <f t="shared" si="128"/>
        <v>0</v>
      </c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 spans="1:26" ht="15.75" customHeight="1" x14ac:dyDescent="0.2">
      <c r="A1745" s="1"/>
      <c r="B1745" s="2" t="s">
        <v>126</v>
      </c>
      <c r="C1745" s="3" t="s">
        <v>1808</v>
      </c>
      <c r="D1745" s="3" t="s">
        <v>86</v>
      </c>
      <c r="E1745" s="3" t="s">
        <v>1058</v>
      </c>
      <c r="F1745" s="3" t="s">
        <v>1784</v>
      </c>
      <c r="G1745" s="3" t="s">
        <v>1207</v>
      </c>
      <c r="H1745" s="4"/>
      <c r="I1745" s="4">
        <f t="shared" si="148"/>
        <v>0</v>
      </c>
      <c r="J1745" s="4"/>
      <c r="K1745" s="4">
        <f t="shared" si="128"/>
        <v>0</v>
      </c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 spans="1:26" ht="15.75" customHeight="1" x14ac:dyDescent="0.2">
      <c r="A1746" s="1"/>
      <c r="B1746" s="2" t="s">
        <v>118</v>
      </c>
      <c r="C1746" s="3" t="s">
        <v>1809</v>
      </c>
      <c r="D1746" s="3" t="s">
        <v>1810</v>
      </c>
      <c r="E1746" s="3" t="s">
        <v>1811</v>
      </c>
      <c r="F1746" s="3" t="s">
        <v>1784</v>
      </c>
      <c r="G1746" s="3" t="s">
        <v>1207</v>
      </c>
      <c r="H1746" s="4"/>
      <c r="I1746" s="4">
        <f t="shared" si="148"/>
        <v>0</v>
      </c>
      <c r="J1746" s="4"/>
      <c r="K1746" s="4">
        <f t="shared" si="128"/>
        <v>0</v>
      </c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 spans="1:26" ht="15.75" customHeight="1" x14ac:dyDescent="0.2">
      <c r="A1747" s="1"/>
      <c r="B1747" s="2" t="s">
        <v>121</v>
      </c>
      <c r="C1747" s="3" t="s">
        <v>1809</v>
      </c>
      <c r="D1747" s="3" t="s">
        <v>1810</v>
      </c>
      <c r="E1747" s="3" t="s">
        <v>1811</v>
      </c>
      <c r="F1747" s="3" t="s">
        <v>1784</v>
      </c>
      <c r="G1747" s="3" t="s">
        <v>1207</v>
      </c>
      <c r="H1747" s="4"/>
      <c r="I1747" s="4">
        <f t="shared" si="148"/>
        <v>0</v>
      </c>
      <c r="J1747" s="4"/>
      <c r="K1747" s="4">
        <f t="shared" si="128"/>
        <v>0</v>
      </c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 spans="1:26" ht="15.75" customHeight="1" x14ac:dyDescent="0.2">
      <c r="A1748" s="1"/>
      <c r="B1748" s="2" t="s">
        <v>122</v>
      </c>
      <c r="C1748" s="3" t="s">
        <v>1812</v>
      </c>
      <c r="D1748" s="3" t="s">
        <v>1813</v>
      </c>
      <c r="E1748" s="3" t="s">
        <v>1358</v>
      </c>
      <c r="F1748" s="3" t="s">
        <v>1784</v>
      </c>
      <c r="G1748" s="3" t="s">
        <v>1207</v>
      </c>
      <c r="H1748" s="4"/>
      <c r="I1748" s="4">
        <f t="shared" si="148"/>
        <v>0</v>
      </c>
      <c r="J1748" s="4"/>
      <c r="K1748" s="4">
        <f t="shared" si="128"/>
        <v>0</v>
      </c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 spans="1:26" ht="15.75" customHeight="1" x14ac:dyDescent="0.2">
      <c r="A1749" s="1"/>
      <c r="B1749" s="2" t="s">
        <v>126</v>
      </c>
      <c r="C1749" s="3" t="s">
        <v>1812</v>
      </c>
      <c r="D1749" s="3" t="s">
        <v>1813</v>
      </c>
      <c r="E1749" s="3" t="s">
        <v>1358</v>
      </c>
      <c r="F1749" s="3" t="s">
        <v>1784</v>
      </c>
      <c r="G1749" s="3" t="s">
        <v>1207</v>
      </c>
      <c r="H1749" s="4"/>
      <c r="I1749" s="4">
        <f t="shared" si="148"/>
        <v>0</v>
      </c>
      <c r="J1749" s="4"/>
      <c r="K1749" s="4">
        <f t="shared" si="128"/>
        <v>0</v>
      </c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 spans="1:26" ht="15.75" customHeight="1" x14ac:dyDescent="0.2">
      <c r="A1750" s="1"/>
      <c r="B1750" s="2" t="s">
        <v>523</v>
      </c>
      <c r="C1750" s="3" t="s">
        <v>1282</v>
      </c>
      <c r="D1750" s="3" t="s">
        <v>1814</v>
      </c>
      <c r="E1750" s="3" t="s">
        <v>1815</v>
      </c>
      <c r="F1750" s="3" t="s">
        <v>1816</v>
      </c>
      <c r="G1750" s="3" t="s">
        <v>1207</v>
      </c>
      <c r="H1750" s="4"/>
      <c r="I1750" s="4">
        <f t="shared" si="148"/>
        <v>0</v>
      </c>
      <c r="J1750" s="4"/>
      <c r="K1750" s="4">
        <f t="shared" si="128"/>
        <v>0</v>
      </c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 spans="1:26" ht="15.75" customHeight="1" x14ac:dyDescent="0.2">
      <c r="A1751" s="1">
        <v>203</v>
      </c>
      <c r="B1751" s="13" t="s">
        <v>946</v>
      </c>
      <c r="C1751" s="14" t="s">
        <v>1817</v>
      </c>
      <c r="D1751" s="14" t="s">
        <v>1337</v>
      </c>
      <c r="E1751" s="14" t="s">
        <v>393</v>
      </c>
      <c r="F1751" s="14" t="s">
        <v>1818</v>
      </c>
      <c r="G1751" s="14" t="s">
        <v>1207</v>
      </c>
      <c r="H1751" s="4"/>
      <c r="I1751" s="4">
        <f t="shared" ref="I1751:I1757" si="149">H1751*2300</f>
        <v>0</v>
      </c>
      <c r="J1751" s="4"/>
      <c r="K1751" s="4">
        <f t="shared" ref="K1751:K2005" si="150">J1751*4000</f>
        <v>0</v>
      </c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 spans="1:26" ht="15.75" customHeight="1" x14ac:dyDescent="0.2">
      <c r="A1752" s="1">
        <v>2909</v>
      </c>
      <c r="B1752" s="13" t="s">
        <v>722</v>
      </c>
      <c r="C1752" s="14" t="s">
        <v>1817</v>
      </c>
      <c r="D1752" s="14" t="s">
        <v>1337</v>
      </c>
      <c r="E1752" s="14" t="s">
        <v>393</v>
      </c>
      <c r="F1752" s="14" t="s">
        <v>1818</v>
      </c>
      <c r="G1752" s="14" t="s">
        <v>1207</v>
      </c>
      <c r="H1752" s="4"/>
      <c r="I1752" s="4">
        <f t="shared" si="149"/>
        <v>0</v>
      </c>
      <c r="J1752" s="4"/>
      <c r="K1752" s="4">
        <f t="shared" si="150"/>
        <v>0</v>
      </c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 spans="1:26" ht="15.75" customHeight="1" x14ac:dyDescent="0.2">
      <c r="A1753" s="1">
        <v>117</v>
      </c>
      <c r="B1753" s="13" t="s">
        <v>504</v>
      </c>
      <c r="C1753" s="14" t="s">
        <v>1819</v>
      </c>
      <c r="D1753" s="14" t="s">
        <v>562</v>
      </c>
      <c r="E1753" s="14" t="s">
        <v>125</v>
      </c>
      <c r="F1753" s="14" t="s">
        <v>1818</v>
      </c>
      <c r="G1753" s="14" t="s">
        <v>1207</v>
      </c>
      <c r="H1753" s="4"/>
      <c r="I1753" s="4">
        <f t="shared" si="149"/>
        <v>0</v>
      </c>
      <c r="J1753" s="4"/>
      <c r="K1753" s="4">
        <f t="shared" si="150"/>
        <v>0</v>
      </c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 spans="1:26" ht="15.75" customHeight="1" x14ac:dyDescent="0.2">
      <c r="A1754" s="1">
        <v>205</v>
      </c>
      <c r="B1754" s="13" t="s">
        <v>946</v>
      </c>
      <c r="C1754" s="14" t="s">
        <v>1819</v>
      </c>
      <c r="D1754" s="14" t="s">
        <v>562</v>
      </c>
      <c r="E1754" s="14" t="s">
        <v>125</v>
      </c>
      <c r="F1754" s="14" t="s">
        <v>1818</v>
      </c>
      <c r="G1754" s="14" t="s">
        <v>1207</v>
      </c>
      <c r="H1754" s="4"/>
      <c r="I1754" s="4">
        <f t="shared" si="149"/>
        <v>0</v>
      </c>
      <c r="J1754" s="4"/>
      <c r="K1754" s="4">
        <f t="shared" si="150"/>
        <v>0</v>
      </c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 spans="1:26" ht="15.75" customHeight="1" x14ac:dyDescent="0.2">
      <c r="A1755" s="1">
        <v>1351</v>
      </c>
      <c r="B1755" s="13" t="s">
        <v>601</v>
      </c>
      <c r="C1755" s="14" t="s">
        <v>1819</v>
      </c>
      <c r="D1755" s="14" t="s">
        <v>183</v>
      </c>
      <c r="E1755" s="14" t="s">
        <v>125</v>
      </c>
      <c r="F1755" s="14" t="s">
        <v>1818</v>
      </c>
      <c r="G1755" s="14" t="s">
        <v>1207</v>
      </c>
      <c r="H1755" s="4"/>
      <c r="I1755" s="4">
        <f t="shared" si="149"/>
        <v>0</v>
      </c>
      <c r="J1755" s="4"/>
      <c r="K1755" s="4">
        <f t="shared" si="150"/>
        <v>0</v>
      </c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 spans="1:26" ht="15.75" customHeight="1" x14ac:dyDescent="0.2">
      <c r="A1756" s="1">
        <v>2651</v>
      </c>
      <c r="B1756" s="13" t="s">
        <v>1055</v>
      </c>
      <c r="C1756" s="14" t="s">
        <v>1819</v>
      </c>
      <c r="D1756" s="14" t="s">
        <v>183</v>
      </c>
      <c r="E1756" s="14" t="s">
        <v>125</v>
      </c>
      <c r="F1756" s="14" t="s">
        <v>1818</v>
      </c>
      <c r="G1756" s="14" t="s">
        <v>1207</v>
      </c>
      <c r="H1756" s="4"/>
      <c r="I1756" s="4">
        <f t="shared" si="149"/>
        <v>0</v>
      </c>
      <c r="J1756" s="4"/>
      <c r="K1756" s="4">
        <f t="shared" si="150"/>
        <v>0</v>
      </c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 spans="1:26" ht="15.75" customHeight="1" x14ac:dyDescent="0.2">
      <c r="A1757" s="1">
        <v>2939</v>
      </c>
      <c r="B1757" s="13" t="s">
        <v>1270</v>
      </c>
      <c r="C1757" s="14" t="s">
        <v>1819</v>
      </c>
      <c r="D1757" s="14" t="s">
        <v>562</v>
      </c>
      <c r="E1757" s="14" t="s">
        <v>125</v>
      </c>
      <c r="F1757" s="14" t="s">
        <v>1818</v>
      </c>
      <c r="G1757" s="14" t="s">
        <v>1207</v>
      </c>
      <c r="H1757" s="4"/>
      <c r="I1757" s="4">
        <f t="shared" si="149"/>
        <v>0</v>
      </c>
      <c r="J1757" s="4"/>
      <c r="K1757" s="4">
        <f t="shared" si="150"/>
        <v>0</v>
      </c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 spans="1:26" ht="15.75" customHeight="1" x14ac:dyDescent="0.2">
      <c r="A1758" s="1"/>
      <c r="B1758" s="2" t="s">
        <v>121</v>
      </c>
      <c r="C1758" s="3" t="s">
        <v>1820</v>
      </c>
      <c r="D1758" s="3" t="s">
        <v>1821</v>
      </c>
      <c r="E1758" s="3" t="s">
        <v>326</v>
      </c>
      <c r="F1758" s="3" t="s">
        <v>1818</v>
      </c>
      <c r="G1758" s="3" t="s">
        <v>1207</v>
      </c>
      <c r="H1758" s="4"/>
      <c r="I1758" s="4">
        <f t="shared" ref="I1758:I1759" si="151">H1758*1800</f>
        <v>0</v>
      </c>
      <c r="J1758" s="4"/>
      <c r="K1758" s="4">
        <f t="shared" si="150"/>
        <v>0</v>
      </c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 spans="1:26" ht="15.75" customHeight="1" x14ac:dyDescent="0.2">
      <c r="A1759" s="1"/>
      <c r="B1759" s="2" t="s">
        <v>315</v>
      </c>
      <c r="C1759" s="3" t="s">
        <v>1820</v>
      </c>
      <c r="D1759" s="3" t="s">
        <v>1821</v>
      </c>
      <c r="E1759" s="3" t="s">
        <v>326</v>
      </c>
      <c r="F1759" s="3" t="s">
        <v>1818</v>
      </c>
      <c r="G1759" s="3" t="s">
        <v>1207</v>
      </c>
      <c r="H1759" s="4"/>
      <c r="I1759" s="4">
        <f t="shared" si="151"/>
        <v>0</v>
      </c>
      <c r="J1759" s="4"/>
      <c r="K1759" s="4">
        <f t="shared" si="150"/>
        <v>0</v>
      </c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 spans="1:26" ht="15.75" customHeight="1" x14ac:dyDescent="0.2">
      <c r="A1760" s="1">
        <v>13</v>
      </c>
      <c r="B1760" s="13" t="s">
        <v>939</v>
      </c>
      <c r="C1760" s="14" t="s">
        <v>1822</v>
      </c>
      <c r="D1760" s="14" t="s">
        <v>163</v>
      </c>
      <c r="E1760" s="14" t="s">
        <v>876</v>
      </c>
      <c r="F1760" s="14" t="s">
        <v>1818</v>
      </c>
      <c r="G1760" s="14" t="s">
        <v>1207</v>
      </c>
      <c r="H1760" s="4"/>
      <c r="I1760" s="4">
        <f t="shared" ref="I1760:I1772" si="152">H1760*2300</f>
        <v>0</v>
      </c>
      <c r="J1760" s="4"/>
      <c r="K1760" s="4">
        <f t="shared" si="150"/>
        <v>0</v>
      </c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 spans="1:26" ht="15.75" customHeight="1" x14ac:dyDescent="0.2">
      <c r="A1761" s="1">
        <v>47</v>
      </c>
      <c r="B1761" s="13" t="s">
        <v>1301</v>
      </c>
      <c r="C1761" s="14" t="s">
        <v>1822</v>
      </c>
      <c r="D1761" s="14" t="s">
        <v>163</v>
      </c>
      <c r="E1761" s="14" t="s">
        <v>876</v>
      </c>
      <c r="F1761" s="14" t="s">
        <v>1818</v>
      </c>
      <c r="G1761" s="14" t="s">
        <v>1207</v>
      </c>
      <c r="H1761" s="4"/>
      <c r="I1761" s="4">
        <f t="shared" si="152"/>
        <v>0</v>
      </c>
      <c r="J1761" s="4"/>
      <c r="K1761" s="4">
        <f t="shared" si="150"/>
        <v>0</v>
      </c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 spans="1:26" ht="15.75" customHeight="1" x14ac:dyDescent="0.2">
      <c r="A1762" s="1">
        <v>499</v>
      </c>
      <c r="B1762" s="13" t="s">
        <v>1339</v>
      </c>
      <c r="C1762" s="14" t="s">
        <v>1823</v>
      </c>
      <c r="D1762" s="14" t="s">
        <v>1410</v>
      </c>
      <c r="E1762" s="14"/>
      <c r="F1762" s="14" t="s">
        <v>1818</v>
      </c>
      <c r="G1762" s="14" t="s">
        <v>1207</v>
      </c>
      <c r="H1762" s="4"/>
      <c r="I1762" s="4">
        <f t="shared" si="152"/>
        <v>0</v>
      </c>
      <c r="J1762" s="4"/>
      <c r="K1762" s="4">
        <f t="shared" si="150"/>
        <v>0</v>
      </c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 spans="1:26" ht="15.75" customHeight="1" x14ac:dyDescent="0.2">
      <c r="A1763" s="1">
        <v>2511</v>
      </c>
      <c r="B1763" s="13" t="s">
        <v>434</v>
      </c>
      <c r="C1763" s="14" t="s">
        <v>1823</v>
      </c>
      <c r="D1763" s="14" t="s">
        <v>1410</v>
      </c>
      <c r="E1763" s="14"/>
      <c r="F1763" s="14" t="s">
        <v>1818</v>
      </c>
      <c r="G1763" s="14" t="s">
        <v>1207</v>
      </c>
      <c r="H1763" s="4"/>
      <c r="I1763" s="4">
        <f t="shared" si="152"/>
        <v>0</v>
      </c>
      <c r="J1763" s="4"/>
      <c r="K1763" s="4">
        <f t="shared" si="150"/>
        <v>0</v>
      </c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 spans="1:26" ht="15.75" customHeight="1" x14ac:dyDescent="0.2">
      <c r="A1764" s="1">
        <v>1275</v>
      </c>
      <c r="B1764" s="13" t="s">
        <v>453</v>
      </c>
      <c r="C1764" s="14" t="s">
        <v>1824</v>
      </c>
      <c r="D1764" s="14" t="s">
        <v>78</v>
      </c>
      <c r="E1764" s="14" t="s">
        <v>306</v>
      </c>
      <c r="F1764" s="14" t="s">
        <v>1818</v>
      </c>
      <c r="G1764" s="14" t="s">
        <v>1207</v>
      </c>
      <c r="H1764" s="4"/>
      <c r="I1764" s="4">
        <f t="shared" si="152"/>
        <v>0</v>
      </c>
      <c r="J1764" s="4"/>
      <c r="K1764" s="4">
        <f t="shared" si="150"/>
        <v>0</v>
      </c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 spans="1:26" ht="15.75" customHeight="1" x14ac:dyDescent="0.2">
      <c r="A1765" s="1">
        <v>2925</v>
      </c>
      <c r="B1765" s="13" t="s">
        <v>722</v>
      </c>
      <c r="C1765" s="14" t="s">
        <v>1824</v>
      </c>
      <c r="D1765" s="14" t="s">
        <v>78</v>
      </c>
      <c r="E1765" s="14" t="s">
        <v>306</v>
      </c>
      <c r="F1765" s="14" t="s">
        <v>1818</v>
      </c>
      <c r="G1765" s="14" t="s">
        <v>1207</v>
      </c>
      <c r="H1765" s="4"/>
      <c r="I1765" s="4">
        <f t="shared" si="152"/>
        <v>0</v>
      </c>
      <c r="J1765" s="4"/>
      <c r="K1765" s="4">
        <f t="shared" si="150"/>
        <v>0</v>
      </c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 spans="1:26" ht="15.75" customHeight="1" x14ac:dyDescent="0.2">
      <c r="A1766" s="1">
        <v>367</v>
      </c>
      <c r="B1766" s="13" t="s">
        <v>246</v>
      </c>
      <c r="C1766" s="14" t="s">
        <v>1825</v>
      </c>
      <c r="D1766" s="14" t="s">
        <v>1598</v>
      </c>
      <c r="E1766" s="14" t="s">
        <v>806</v>
      </c>
      <c r="F1766" s="14" t="s">
        <v>1818</v>
      </c>
      <c r="G1766" s="14" t="s">
        <v>1207</v>
      </c>
      <c r="H1766" s="4"/>
      <c r="I1766" s="4">
        <f t="shared" si="152"/>
        <v>0</v>
      </c>
      <c r="J1766" s="4"/>
      <c r="K1766" s="4">
        <f t="shared" si="150"/>
        <v>0</v>
      </c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 spans="1:26" ht="15.75" customHeight="1" x14ac:dyDescent="0.2">
      <c r="A1767" s="1">
        <v>2681</v>
      </c>
      <c r="B1767" s="13" t="s">
        <v>1098</v>
      </c>
      <c r="C1767" s="14" t="s">
        <v>1825</v>
      </c>
      <c r="D1767" s="14" t="s">
        <v>1598</v>
      </c>
      <c r="E1767" s="14" t="s">
        <v>806</v>
      </c>
      <c r="F1767" s="14" t="s">
        <v>1818</v>
      </c>
      <c r="G1767" s="14" t="s">
        <v>1207</v>
      </c>
      <c r="H1767" s="4"/>
      <c r="I1767" s="4">
        <f t="shared" si="152"/>
        <v>0</v>
      </c>
      <c r="J1767" s="4"/>
      <c r="K1767" s="4">
        <f t="shared" si="150"/>
        <v>0</v>
      </c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 spans="1:26" ht="15.75" customHeight="1" x14ac:dyDescent="0.2">
      <c r="A1768" s="1">
        <v>1081</v>
      </c>
      <c r="B1768" s="13" t="s">
        <v>710</v>
      </c>
      <c r="C1768" s="14" t="s">
        <v>1826</v>
      </c>
      <c r="D1768" s="14" t="s">
        <v>124</v>
      </c>
      <c r="E1768" s="14" t="s">
        <v>87</v>
      </c>
      <c r="F1768" s="14" t="s">
        <v>1818</v>
      </c>
      <c r="G1768" s="14" t="s">
        <v>1207</v>
      </c>
      <c r="H1768" s="4"/>
      <c r="I1768" s="4">
        <f t="shared" si="152"/>
        <v>0</v>
      </c>
      <c r="J1768" s="4"/>
      <c r="K1768" s="4">
        <f t="shared" si="150"/>
        <v>0</v>
      </c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 spans="1:26" ht="15.75" customHeight="1" x14ac:dyDescent="0.2">
      <c r="A1769" s="1">
        <v>2055</v>
      </c>
      <c r="B1769" s="13" t="s">
        <v>653</v>
      </c>
      <c r="C1769" s="14" t="s">
        <v>1826</v>
      </c>
      <c r="D1769" s="14" t="s">
        <v>124</v>
      </c>
      <c r="E1769" s="14" t="s">
        <v>87</v>
      </c>
      <c r="F1769" s="14" t="s">
        <v>1818</v>
      </c>
      <c r="G1769" s="14" t="s">
        <v>1207</v>
      </c>
      <c r="H1769" s="4"/>
      <c r="I1769" s="4">
        <f t="shared" si="152"/>
        <v>0</v>
      </c>
      <c r="J1769" s="4"/>
      <c r="K1769" s="4">
        <f t="shared" si="150"/>
        <v>0</v>
      </c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 spans="1:26" ht="15.75" customHeight="1" x14ac:dyDescent="0.2">
      <c r="A1770" s="1">
        <v>341</v>
      </c>
      <c r="B1770" s="13" t="s">
        <v>1162</v>
      </c>
      <c r="C1770" s="14" t="s">
        <v>1827</v>
      </c>
      <c r="D1770" s="14" t="s">
        <v>884</v>
      </c>
      <c r="E1770" s="14" t="s">
        <v>393</v>
      </c>
      <c r="F1770" s="14" t="s">
        <v>1818</v>
      </c>
      <c r="G1770" s="14" t="s">
        <v>1207</v>
      </c>
      <c r="H1770" s="4"/>
      <c r="I1770" s="4">
        <f t="shared" si="152"/>
        <v>0</v>
      </c>
      <c r="J1770" s="4"/>
      <c r="K1770" s="4">
        <f t="shared" si="150"/>
        <v>0</v>
      </c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 spans="1:26" ht="15.75" customHeight="1" x14ac:dyDescent="0.2">
      <c r="A1771" s="1">
        <v>2653</v>
      </c>
      <c r="B1771" s="13" t="s">
        <v>1055</v>
      </c>
      <c r="C1771" s="14" t="s">
        <v>1827</v>
      </c>
      <c r="D1771" s="14" t="s">
        <v>884</v>
      </c>
      <c r="E1771" s="14" t="s">
        <v>393</v>
      </c>
      <c r="F1771" s="14" t="s">
        <v>1818</v>
      </c>
      <c r="G1771" s="14" t="s">
        <v>1207</v>
      </c>
      <c r="H1771" s="4"/>
      <c r="I1771" s="4">
        <f t="shared" si="152"/>
        <v>0</v>
      </c>
      <c r="J1771" s="4"/>
      <c r="K1771" s="4">
        <f t="shared" si="150"/>
        <v>0</v>
      </c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 spans="1:26" ht="15.75" customHeight="1" x14ac:dyDescent="0.2">
      <c r="A1772" s="1">
        <v>2807</v>
      </c>
      <c r="B1772" s="13" t="s">
        <v>1348</v>
      </c>
      <c r="C1772" s="14" t="s">
        <v>1828</v>
      </c>
      <c r="D1772" s="14" t="s">
        <v>388</v>
      </c>
      <c r="E1772" s="14" t="s">
        <v>348</v>
      </c>
      <c r="F1772" s="14" t="s">
        <v>1818</v>
      </c>
      <c r="G1772" s="14" t="s">
        <v>1207</v>
      </c>
      <c r="H1772" s="4"/>
      <c r="I1772" s="4">
        <f t="shared" si="152"/>
        <v>0</v>
      </c>
      <c r="J1772" s="4"/>
      <c r="K1772" s="4">
        <f t="shared" si="150"/>
        <v>0</v>
      </c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 spans="1:26" ht="15.75" customHeight="1" x14ac:dyDescent="0.2">
      <c r="A1773" s="1"/>
      <c r="B1773" s="2" t="s">
        <v>316</v>
      </c>
      <c r="C1773" s="3" t="s">
        <v>53</v>
      </c>
      <c r="D1773" s="3" t="s">
        <v>1397</v>
      </c>
      <c r="E1773" s="3" t="s">
        <v>1630</v>
      </c>
      <c r="F1773" s="3" t="s">
        <v>1818</v>
      </c>
      <c r="G1773" s="3" t="s">
        <v>1207</v>
      </c>
      <c r="H1773" s="4"/>
      <c r="I1773" s="4">
        <f t="shared" ref="I1773:I1775" si="153">H1773*1800</f>
        <v>0</v>
      </c>
      <c r="J1773" s="4"/>
      <c r="K1773" s="4">
        <f t="shared" si="150"/>
        <v>0</v>
      </c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 spans="1:26" ht="15.75" customHeight="1" x14ac:dyDescent="0.2">
      <c r="A1774" s="1"/>
      <c r="B1774" s="19" t="s">
        <v>88</v>
      </c>
      <c r="C1774" s="23" t="s">
        <v>53</v>
      </c>
      <c r="D1774" s="23" t="s">
        <v>1397</v>
      </c>
      <c r="E1774" s="3" t="s">
        <v>1630</v>
      </c>
      <c r="F1774" s="23" t="s">
        <v>1818</v>
      </c>
      <c r="G1774" s="23" t="s">
        <v>1207</v>
      </c>
      <c r="H1774" s="4"/>
      <c r="I1774" s="4">
        <f t="shared" si="153"/>
        <v>0</v>
      </c>
      <c r="J1774" s="4"/>
      <c r="K1774" s="4">
        <f t="shared" si="150"/>
        <v>0</v>
      </c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 spans="1:26" ht="15.75" customHeight="1" x14ac:dyDescent="0.2">
      <c r="A1775" s="1"/>
      <c r="B1775" s="2" t="s">
        <v>94</v>
      </c>
      <c r="C1775" s="3" t="s">
        <v>53</v>
      </c>
      <c r="D1775" s="3" t="s">
        <v>1397</v>
      </c>
      <c r="E1775" s="3" t="s">
        <v>1630</v>
      </c>
      <c r="F1775" s="3" t="s">
        <v>1818</v>
      </c>
      <c r="G1775" s="3" t="s">
        <v>1207</v>
      </c>
      <c r="H1775" s="4"/>
      <c r="I1775" s="4">
        <f t="shared" si="153"/>
        <v>0</v>
      </c>
      <c r="J1775" s="4"/>
      <c r="K1775" s="4">
        <f t="shared" si="150"/>
        <v>0</v>
      </c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 spans="1:26" ht="15.75" customHeight="1" x14ac:dyDescent="0.2">
      <c r="A1776" s="1">
        <v>149</v>
      </c>
      <c r="B1776" s="13" t="s">
        <v>460</v>
      </c>
      <c r="C1776" s="14" t="s">
        <v>1829</v>
      </c>
      <c r="D1776" s="14" t="s">
        <v>1277</v>
      </c>
      <c r="E1776" s="14"/>
      <c r="F1776" s="14" t="s">
        <v>1818</v>
      </c>
      <c r="G1776" s="14" t="s">
        <v>1207</v>
      </c>
      <c r="H1776" s="4"/>
      <c r="I1776" s="4">
        <f t="shared" ref="I1776:I1798" si="154">H1776*2300</f>
        <v>0</v>
      </c>
      <c r="J1776" s="4"/>
      <c r="K1776" s="4">
        <f t="shared" si="150"/>
        <v>0</v>
      </c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 spans="1:26" ht="15.75" customHeight="1" x14ac:dyDescent="0.2">
      <c r="A1777" s="1">
        <v>1739</v>
      </c>
      <c r="B1777" s="13" t="s">
        <v>465</v>
      </c>
      <c r="C1777" s="14" t="s">
        <v>1829</v>
      </c>
      <c r="D1777" s="14" t="s">
        <v>1277</v>
      </c>
      <c r="E1777" s="14"/>
      <c r="F1777" s="14" t="s">
        <v>1818</v>
      </c>
      <c r="G1777" s="14" t="s">
        <v>1207</v>
      </c>
      <c r="H1777" s="4"/>
      <c r="I1777" s="4">
        <f t="shared" si="154"/>
        <v>0</v>
      </c>
      <c r="J1777" s="4"/>
      <c r="K1777" s="4">
        <f t="shared" si="150"/>
        <v>0</v>
      </c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 spans="1:26" ht="15.75" customHeight="1" x14ac:dyDescent="0.2">
      <c r="A1778" s="1">
        <v>567</v>
      </c>
      <c r="B1778" s="13" t="s">
        <v>368</v>
      </c>
      <c r="C1778" s="14" t="s">
        <v>1830</v>
      </c>
      <c r="D1778" s="14" t="s">
        <v>1831</v>
      </c>
      <c r="E1778" s="14" t="s">
        <v>1441</v>
      </c>
      <c r="F1778" s="14" t="s">
        <v>1818</v>
      </c>
      <c r="G1778" s="14" t="s">
        <v>1207</v>
      </c>
      <c r="H1778" s="4"/>
      <c r="I1778" s="4">
        <f t="shared" si="154"/>
        <v>0</v>
      </c>
      <c r="J1778" s="4"/>
      <c r="K1778" s="4">
        <f t="shared" si="150"/>
        <v>0</v>
      </c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 spans="1:26" ht="15.75" customHeight="1" x14ac:dyDescent="0.2">
      <c r="A1779" s="1">
        <v>501</v>
      </c>
      <c r="B1779" s="13" t="s">
        <v>1339</v>
      </c>
      <c r="C1779" s="14" t="s">
        <v>1832</v>
      </c>
      <c r="D1779" s="14" t="s">
        <v>1748</v>
      </c>
      <c r="E1779" s="14"/>
      <c r="F1779" s="14" t="s">
        <v>1818</v>
      </c>
      <c r="G1779" s="14" t="s">
        <v>1207</v>
      </c>
      <c r="H1779" s="4"/>
      <c r="I1779" s="4">
        <f t="shared" si="154"/>
        <v>0</v>
      </c>
      <c r="J1779" s="4"/>
      <c r="K1779" s="4">
        <f t="shared" si="150"/>
        <v>0</v>
      </c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 spans="1:26" ht="15.75" customHeight="1" x14ac:dyDescent="0.2">
      <c r="A1780" s="1">
        <v>563</v>
      </c>
      <c r="B1780" s="13" t="s">
        <v>368</v>
      </c>
      <c r="C1780" s="14" t="s">
        <v>1832</v>
      </c>
      <c r="D1780" s="14" t="s">
        <v>1748</v>
      </c>
      <c r="E1780" s="14"/>
      <c r="F1780" s="14" t="s">
        <v>1818</v>
      </c>
      <c r="G1780" s="14" t="s">
        <v>1207</v>
      </c>
      <c r="H1780" s="4"/>
      <c r="I1780" s="4">
        <f t="shared" si="154"/>
        <v>0</v>
      </c>
      <c r="J1780" s="4"/>
      <c r="K1780" s="4">
        <f t="shared" si="150"/>
        <v>0</v>
      </c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 spans="1:26" ht="15.75" customHeight="1" x14ac:dyDescent="0.2">
      <c r="A1781" s="1">
        <v>45</v>
      </c>
      <c r="B1781" s="13" t="s">
        <v>1301</v>
      </c>
      <c r="C1781" s="14" t="s">
        <v>1833</v>
      </c>
      <c r="D1781" s="14" t="s">
        <v>1834</v>
      </c>
      <c r="E1781" s="14" t="s">
        <v>1330</v>
      </c>
      <c r="F1781" s="14" t="s">
        <v>1818</v>
      </c>
      <c r="G1781" s="14" t="s">
        <v>1207</v>
      </c>
      <c r="H1781" s="4"/>
      <c r="I1781" s="4">
        <f t="shared" si="154"/>
        <v>0</v>
      </c>
      <c r="J1781" s="4"/>
      <c r="K1781" s="4">
        <f t="shared" si="150"/>
        <v>0</v>
      </c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 spans="1:26" ht="15.75" customHeight="1" x14ac:dyDescent="0.2">
      <c r="A1782" s="1">
        <v>23</v>
      </c>
      <c r="B1782" s="13" t="s">
        <v>939</v>
      </c>
      <c r="C1782" s="14" t="s">
        <v>1835</v>
      </c>
      <c r="D1782" s="14" t="s">
        <v>1337</v>
      </c>
      <c r="E1782" s="14" t="s">
        <v>1836</v>
      </c>
      <c r="F1782" s="14" t="s">
        <v>1818</v>
      </c>
      <c r="G1782" s="14" t="s">
        <v>1207</v>
      </c>
      <c r="H1782" s="4"/>
      <c r="I1782" s="4">
        <f t="shared" si="154"/>
        <v>0</v>
      </c>
      <c r="J1782" s="4"/>
      <c r="K1782" s="4">
        <f t="shared" si="150"/>
        <v>0</v>
      </c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 spans="1:26" ht="15.75" customHeight="1" x14ac:dyDescent="0.2">
      <c r="A1783" s="1">
        <v>57</v>
      </c>
      <c r="B1783" s="13" t="s">
        <v>1301</v>
      </c>
      <c r="C1783" s="14" t="s">
        <v>1835</v>
      </c>
      <c r="D1783" s="14" t="s">
        <v>1337</v>
      </c>
      <c r="E1783" s="14" t="s">
        <v>1836</v>
      </c>
      <c r="F1783" s="14" t="s">
        <v>1818</v>
      </c>
      <c r="G1783" s="14" t="s">
        <v>1207</v>
      </c>
      <c r="H1783" s="4"/>
      <c r="I1783" s="4">
        <f t="shared" si="154"/>
        <v>0</v>
      </c>
      <c r="J1783" s="4"/>
      <c r="K1783" s="4">
        <f t="shared" si="150"/>
        <v>0</v>
      </c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 spans="1:26" ht="15.75" customHeight="1" x14ac:dyDescent="0.2">
      <c r="A1784" s="1">
        <v>11</v>
      </c>
      <c r="B1784" s="13" t="s">
        <v>939</v>
      </c>
      <c r="C1784" s="14" t="s">
        <v>1837</v>
      </c>
      <c r="D1784" s="14" t="s">
        <v>1461</v>
      </c>
      <c r="E1784" s="14" t="s">
        <v>1223</v>
      </c>
      <c r="F1784" s="14" t="s">
        <v>1818</v>
      </c>
      <c r="G1784" s="14" t="s">
        <v>1207</v>
      </c>
      <c r="H1784" s="4"/>
      <c r="I1784" s="4">
        <f t="shared" si="154"/>
        <v>0</v>
      </c>
      <c r="J1784" s="4"/>
      <c r="K1784" s="4">
        <f t="shared" si="150"/>
        <v>0</v>
      </c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 spans="1:26" ht="15.75" customHeight="1" x14ac:dyDescent="0.2">
      <c r="A1785" s="1">
        <v>895</v>
      </c>
      <c r="B1785" s="13" t="s">
        <v>694</v>
      </c>
      <c r="C1785" s="14" t="s">
        <v>1837</v>
      </c>
      <c r="D1785" s="14" t="s">
        <v>1461</v>
      </c>
      <c r="E1785" s="14" t="s">
        <v>1223</v>
      </c>
      <c r="F1785" s="14" t="s">
        <v>1818</v>
      </c>
      <c r="G1785" s="14" t="s">
        <v>1207</v>
      </c>
      <c r="H1785" s="4"/>
      <c r="I1785" s="4">
        <f t="shared" si="154"/>
        <v>0</v>
      </c>
      <c r="J1785" s="4"/>
      <c r="K1785" s="4">
        <f t="shared" si="150"/>
        <v>0</v>
      </c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 spans="1:26" ht="15.75" customHeight="1" x14ac:dyDescent="0.2">
      <c r="A1786" s="1">
        <v>507</v>
      </c>
      <c r="B1786" s="13" t="s">
        <v>1339</v>
      </c>
      <c r="C1786" s="14" t="s">
        <v>1838</v>
      </c>
      <c r="D1786" s="14" t="s">
        <v>647</v>
      </c>
      <c r="E1786" s="14" t="s">
        <v>645</v>
      </c>
      <c r="F1786" s="14" t="s">
        <v>1818</v>
      </c>
      <c r="G1786" s="14" t="s">
        <v>1207</v>
      </c>
      <c r="H1786" s="4"/>
      <c r="I1786" s="4">
        <f t="shared" si="154"/>
        <v>0</v>
      </c>
      <c r="J1786" s="4"/>
      <c r="K1786" s="4">
        <f t="shared" si="150"/>
        <v>0</v>
      </c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 spans="1:26" ht="15.75" customHeight="1" x14ac:dyDescent="0.2">
      <c r="A1787" s="1">
        <v>1797</v>
      </c>
      <c r="B1787" s="13" t="s">
        <v>276</v>
      </c>
      <c r="C1787" s="14" t="s">
        <v>1839</v>
      </c>
      <c r="D1787" s="14" t="s">
        <v>1385</v>
      </c>
      <c r="E1787" s="14" t="s">
        <v>70</v>
      </c>
      <c r="F1787" s="14" t="s">
        <v>1818</v>
      </c>
      <c r="G1787" s="14" t="s">
        <v>1207</v>
      </c>
      <c r="H1787" s="4"/>
      <c r="I1787" s="4">
        <f t="shared" si="154"/>
        <v>0</v>
      </c>
      <c r="J1787" s="4"/>
      <c r="K1787" s="4">
        <f t="shared" si="150"/>
        <v>0</v>
      </c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 spans="1:26" ht="15.75" customHeight="1" x14ac:dyDescent="0.2">
      <c r="A1788" s="1">
        <v>2099</v>
      </c>
      <c r="B1788" s="13" t="s">
        <v>280</v>
      </c>
      <c r="C1788" s="14" t="s">
        <v>1839</v>
      </c>
      <c r="D1788" s="14" t="s">
        <v>1385</v>
      </c>
      <c r="E1788" s="14" t="s">
        <v>70</v>
      </c>
      <c r="F1788" s="14" t="s">
        <v>1818</v>
      </c>
      <c r="G1788" s="14" t="s">
        <v>1207</v>
      </c>
      <c r="H1788" s="4"/>
      <c r="I1788" s="4">
        <f t="shared" si="154"/>
        <v>0</v>
      </c>
      <c r="J1788" s="4"/>
      <c r="K1788" s="4">
        <f t="shared" si="150"/>
        <v>0</v>
      </c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 spans="1:26" ht="15.75" customHeight="1" x14ac:dyDescent="0.2">
      <c r="A1789" s="1">
        <v>1595</v>
      </c>
      <c r="B1789" s="13" t="s">
        <v>264</v>
      </c>
      <c r="C1789" s="14" t="s">
        <v>1840</v>
      </c>
      <c r="D1789" s="14" t="s">
        <v>139</v>
      </c>
      <c r="E1789" s="14" t="s">
        <v>112</v>
      </c>
      <c r="F1789" s="14" t="s">
        <v>1818</v>
      </c>
      <c r="G1789" s="14" t="s">
        <v>1207</v>
      </c>
      <c r="H1789" s="4"/>
      <c r="I1789" s="4">
        <f t="shared" si="154"/>
        <v>0</v>
      </c>
      <c r="J1789" s="4"/>
      <c r="K1789" s="4">
        <f t="shared" si="150"/>
        <v>0</v>
      </c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 spans="1:26" ht="15.75" customHeight="1" x14ac:dyDescent="0.2">
      <c r="A1790" s="1">
        <v>2783</v>
      </c>
      <c r="B1790" s="13" t="s">
        <v>288</v>
      </c>
      <c r="C1790" s="14" t="s">
        <v>1840</v>
      </c>
      <c r="D1790" s="14" t="s">
        <v>139</v>
      </c>
      <c r="E1790" s="14" t="s">
        <v>112</v>
      </c>
      <c r="F1790" s="14" t="s">
        <v>1818</v>
      </c>
      <c r="G1790" s="14" t="s">
        <v>1207</v>
      </c>
      <c r="H1790" s="4"/>
      <c r="I1790" s="4">
        <f t="shared" si="154"/>
        <v>0</v>
      </c>
      <c r="J1790" s="4"/>
      <c r="K1790" s="4">
        <f t="shared" si="150"/>
        <v>0</v>
      </c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 spans="1:26" ht="15.75" customHeight="1" x14ac:dyDescent="0.2">
      <c r="A1791" s="1">
        <v>1653</v>
      </c>
      <c r="B1791" s="13" t="s">
        <v>435</v>
      </c>
      <c r="C1791" s="14" t="s">
        <v>1841</v>
      </c>
      <c r="D1791" s="14" t="s">
        <v>1842</v>
      </c>
      <c r="E1791" s="14" t="s">
        <v>1843</v>
      </c>
      <c r="F1791" s="14" t="s">
        <v>1818</v>
      </c>
      <c r="G1791" s="14" t="s">
        <v>1207</v>
      </c>
      <c r="H1791" s="4"/>
      <c r="I1791" s="4">
        <f t="shared" si="154"/>
        <v>0</v>
      </c>
      <c r="J1791" s="4"/>
      <c r="K1791" s="4">
        <f t="shared" si="150"/>
        <v>0</v>
      </c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 spans="1:26" ht="15.75" customHeight="1" x14ac:dyDescent="0.2">
      <c r="A1792" s="1">
        <v>1929</v>
      </c>
      <c r="B1792" s="13" t="s">
        <v>278</v>
      </c>
      <c r="C1792" s="14" t="s">
        <v>1841</v>
      </c>
      <c r="D1792" s="14" t="s">
        <v>1842</v>
      </c>
      <c r="E1792" s="14" t="s">
        <v>1843</v>
      </c>
      <c r="F1792" s="14" t="s">
        <v>1818</v>
      </c>
      <c r="G1792" s="14" t="s">
        <v>1207</v>
      </c>
      <c r="H1792" s="4"/>
      <c r="I1792" s="4">
        <f t="shared" si="154"/>
        <v>0</v>
      </c>
      <c r="J1792" s="4"/>
      <c r="K1792" s="4">
        <f t="shared" si="150"/>
        <v>0</v>
      </c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 spans="1:26" ht="15.75" customHeight="1" x14ac:dyDescent="0.2">
      <c r="A1793" s="1">
        <v>461</v>
      </c>
      <c r="B1793" s="13" t="s">
        <v>1018</v>
      </c>
      <c r="C1793" s="14" t="s">
        <v>1361</v>
      </c>
      <c r="D1793" s="14" t="s">
        <v>1482</v>
      </c>
      <c r="E1793" s="14" t="s">
        <v>1844</v>
      </c>
      <c r="F1793" s="14" t="s">
        <v>1818</v>
      </c>
      <c r="G1793" s="14" t="s">
        <v>1207</v>
      </c>
      <c r="H1793" s="4"/>
      <c r="I1793" s="4">
        <f t="shared" si="154"/>
        <v>0</v>
      </c>
      <c r="J1793" s="4"/>
      <c r="K1793" s="4">
        <f t="shared" si="150"/>
        <v>0</v>
      </c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 spans="1:26" ht="15.75" customHeight="1" x14ac:dyDescent="0.2">
      <c r="A1794" s="1">
        <v>2503</v>
      </c>
      <c r="B1794" s="13" t="s">
        <v>434</v>
      </c>
      <c r="C1794" s="14" t="s">
        <v>1361</v>
      </c>
      <c r="D1794" s="14" t="s">
        <v>1482</v>
      </c>
      <c r="E1794" s="14" t="s">
        <v>1844</v>
      </c>
      <c r="F1794" s="14" t="s">
        <v>1818</v>
      </c>
      <c r="G1794" s="14" t="s">
        <v>1207</v>
      </c>
      <c r="H1794" s="4"/>
      <c r="I1794" s="4">
        <f t="shared" si="154"/>
        <v>0</v>
      </c>
      <c r="J1794" s="4"/>
      <c r="K1794" s="4">
        <f t="shared" si="150"/>
        <v>0</v>
      </c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 spans="1:26" ht="15.75" customHeight="1" x14ac:dyDescent="0.2">
      <c r="A1795" s="1">
        <v>1209</v>
      </c>
      <c r="B1795" s="13" t="s">
        <v>1364</v>
      </c>
      <c r="C1795" s="14" t="s">
        <v>1845</v>
      </c>
      <c r="D1795" s="14" t="s">
        <v>967</v>
      </c>
      <c r="E1795" s="14" t="s">
        <v>1433</v>
      </c>
      <c r="F1795" s="14" t="s">
        <v>1818</v>
      </c>
      <c r="G1795" s="14" t="s">
        <v>1207</v>
      </c>
      <c r="H1795" s="4"/>
      <c r="I1795" s="4">
        <f t="shared" si="154"/>
        <v>0</v>
      </c>
      <c r="J1795" s="4"/>
      <c r="K1795" s="4">
        <f t="shared" si="150"/>
        <v>0</v>
      </c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 spans="1:26" ht="15.75" customHeight="1" x14ac:dyDescent="0.2">
      <c r="A1796" s="1">
        <v>2911</v>
      </c>
      <c r="B1796" s="13" t="s">
        <v>722</v>
      </c>
      <c r="C1796" s="14" t="s">
        <v>1845</v>
      </c>
      <c r="D1796" s="14" t="s">
        <v>967</v>
      </c>
      <c r="E1796" s="14" t="s">
        <v>1433</v>
      </c>
      <c r="F1796" s="14" t="s">
        <v>1818</v>
      </c>
      <c r="G1796" s="14" t="s">
        <v>1207</v>
      </c>
      <c r="H1796" s="4"/>
      <c r="I1796" s="4">
        <f t="shared" si="154"/>
        <v>0</v>
      </c>
      <c r="J1796" s="4"/>
      <c r="K1796" s="4">
        <f t="shared" si="150"/>
        <v>0</v>
      </c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 spans="1:26" ht="15.75" customHeight="1" x14ac:dyDescent="0.2">
      <c r="A1797" s="1">
        <v>459</v>
      </c>
      <c r="B1797" s="13" t="s">
        <v>1018</v>
      </c>
      <c r="C1797" s="14" t="s">
        <v>1846</v>
      </c>
      <c r="D1797" s="14" t="s">
        <v>104</v>
      </c>
      <c r="E1797" s="14" t="s">
        <v>1630</v>
      </c>
      <c r="F1797" s="14" t="s">
        <v>1818</v>
      </c>
      <c r="G1797" s="14" t="s">
        <v>1207</v>
      </c>
      <c r="H1797" s="4"/>
      <c r="I1797" s="4">
        <f t="shared" si="154"/>
        <v>0</v>
      </c>
      <c r="J1797" s="4"/>
      <c r="K1797" s="4">
        <f t="shared" si="150"/>
        <v>0</v>
      </c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 spans="1:26" ht="15.75" customHeight="1" x14ac:dyDescent="0.2">
      <c r="A1798" s="1">
        <v>2803</v>
      </c>
      <c r="B1798" s="13" t="s">
        <v>1348</v>
      </c>
      <c r="C1798" s="14" t="s">
        <v>1846</v>
      </c>
      <c r="D1798" s="14" t="s">
        <v>104</v>
      </c>
      <c r="E1798" s="14" t="s">
        <v>1630</v>
      </c>
      <c r="F1798" s="14" t="s">
        <v>1818</v>
      </c>
      <c r="G1798" s="14" t="s">
        <v>1207</v>
      </c>
      <c r="H1798" s="4"/>
      <c r="I1798" s="4">
        <f t="shared" si="154"/>
        <v>0</v>
      </c>
      <c r="J1798" s="4"/>
      <c r="K1798" s="4">
        <f t="shared" si="150"/>
        <v>0</v>
      </c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 spans="1:26" ht="15.75" customHeight="1" x14ac:dyDescent="0.2">
      <c r="A1799" s="1"/>
      <c r="B1799" s="2" t="s">
        <v>323</v>
      </c>
      <c r="C1799" s="3" t="s">
        <v>1847</v>
      </c>
      <c r="D1799" s="3" t="s">
        <v>275</v>
      </c>
      <c r="E1799" s="3" t="s">
        <v>302</v>
      </c>
      <c r="F1799" s="3" t="s">
        <v>1818</v>
      </c>
      <c r="G1799" s="3" t="s">
        <v>1207</v>
      </c>
      <c r="H1799" s="4"/>
      <c r="I1799" s="4">
        <f t="shared" ref="I1799:I1802" si="155">H1799*1800</f>
        <v>0</v>
      </c>
      <c r="J1799" s="4"/>
      <c r="K1799" s="4">
        <f t="shared" si="150"/>
        <v>0</v>
      </c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 spans="1:26" ht="15.75" customHeight="1" x14ac:dyDescent="0.2">
      <c r="A1800" s="1"/>
      <c r="B1800" s="2" t="s">
        <v>297</v>
      </c>
      <c r="C1800" s="3" t="s">
        <v>1847</v>
      </c>
      <c r="D1800" s="3" t="s">
        <v>275</v>
      </c>
      <c r="E1800" s="3" t="s">
        <v>302</v>
      </c>
      <c r="F1800" s="3" t="s">
        <v>1818</v>
      </c>
      <c r="G1800" s="3" t="s">
        <v>1207</v>
      </c>
      <c r="H1800" s="4"/>
      <c r="I1800" s="4">
        <f t="shared" si="155"/>
        <v>0</v>
      </c>
      <c r="J1800" s="4"/>
      <c r="K1800" s="4">
        <f t="shared" si="150"/>
        <v>0</v>
      </c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 spans="1:26" ht="15.75" customHeight="1" x14ac:dyDescent="0.2">
      <c r="A1801" s="1"/>
      <c r="B1801" s="2" t="s">
        <v>131</v>
      </c>
      <c r="C1801" s="3" t="s">
        <v>1848</v>
      </c>
      <c r="D1801" s="3" t="s">
        <v>1849</v>
      </c>
      <c r="E1801" s="3" t="s">
        <v>645</v>
      </c>
      <c r="F1801" s="3" t="s">
        <v>1818</v>
      </c>
      <c r="G1801" s="3" t="s">
        <v>1207</v>
      </c>
      <c r="H1801" s="4"/>
      <c r="I1801" s="4">
        <f t="shared" si="155"/>
        <v>0</v>
      </c>
      <c r="J1801" s="4"/>
      <c r="K1801" s="4">
        <f t="shared" si="150"/>
        <v>0</v>
      </c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 spans="1:26" ht="15.75" customHeight="1" x14ac:dyDescent="0.2">
      <c r="A1802" s="1"/>
      <c r="B1802" s="2" t="s">
        <v>118</v>
      </c>
      <c r="C1802" s="3" t="s">
        <v>1848</v>
      </c>
      <c r="D1802" s="3" t="s">
        <v>1849</v>
      </c>
      <c r="E1802" s="3" t="s">
        <v>645</v>
      </c>
      <c r="F1802" s="3" t="s">
        <v>1818</v>
      </c>
      <c r="G1802" s="3" t="s">
        <v>1207</v>
      </c>
      <c r="H1802" s="4"/>
      <c r="I1802" s="4">
        <f t="shared" si="155"/>
        <v>0</v>
      </c>
      <c r="J1802" s="4"/>
      <c r="K1802" s="4">
        <f t="shared" si="150"/>
        <v>0</v>
      </c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 spans="1:26" ht="15.75" customHeight="1" x14ac:dyDescent="0.2">
      <c r="A1803" s="1">
        <v>1015</v>
      </c>
      <c r="B1803" s="13" t="s">
        <v>1076</v>
      </c>
      <c r="C1803" s="14" t="s">
        <v>443</v>
      </c>
      <c r="D1803" s="14" t="s">
        <v>139</v>
      </c>
      <c r="E1803" s="14" t="s">
        <v>273</v>
      </c>
      <c r="F1803" s="14" t="s">
        <v>1818</v>
      </c>
      <c r="G1803" s="14" t="s">
        <v>1207</v>
      </c>
      <c r="H1803" s="4"/>
      <c r="I1803" s="4">
        <f t="shared" ref="I1803:I1819" si="156">H1803*2300</f>
        <v>0</v>
      </c>
      <c r="J1803" s="4"/>
      <c r="K1803" s="4">
        <f t="shared" si="150"/>
        <v>0</v>
      </c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 spans="1:26" ht="15.75" customHeight="1" x14ac:dyDescent="0.2">
      <c r="A1804" s="1">
        <v>1715</v>
      </c>
      <c r="B1804" s="13" t="s">
        <v>1345</v>
      </c>
      <c r="C1804" s="14" t="s">
        <v>443</v>
      </c>
      <c r="D1804" s="14" t="s">
        <v>139</v>
      </c>
      <c r="E1804" s="14" t="s">
        <v>273</v>
      </c>
      <c r="F1804" s="14" t="s">
        <v>1818</v>
      </c>
      <c r="G1804" s="14" t="s">
        <v>1207</v>
      </c>
      <c r="H1804" s="4"/>
      <c r="I1804" s="4">
        <f t="shared" si="156"/>
        <v>0</v>
      </c>
      <c r="J1804" s="4"/>
      <c r="K1804" s="4">
        <f t="shared" si="150"/>
        <v>0</v>
      </c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 spans="1:26" ht="15.75" customHeight="1" x14ac:dyDescent="0.2">
      <c r="A1805" s="1">
        <v>137</v>
      </c>
      <c r="B1805" s="13" t="s">
        <v>460</v>
      </c>
      <c r="C1805" s="14" t="s">
        <v>1850</v>
      </c>
      <c r="D1805" s="14" t="s">
        <v>266</v>
      </c>
      <c r="E1805" s="14" t="s">
        <v>1235</v>
      </c>
      <c r="F1805" s="14" t="s">
        <v>1818</v>
      </c>
      <c r="G1805" s="14" t="s">
        <v>1207</v>
      </c>
      <c r="H1805" s="4"/>
      <c r="I1805" s="4">
        <f t="shared" si="156"/>
        <v>0</v>
      </c>
      <c r="J1805" s="4"/>
      <c r="K1805" s="4">
        <f t="shared" si="150"/>
        <v>0</v>
      </c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 spans="1:26" ht="15.75" customHeight="1" x14ac:dyDescent="0.2">
      <c r="A1806" s="1">
        <v>229</v>
      </c>
      <c r="B1806" s="13" t="s">
        <v>243</v>
      </c>
      <c r="C1806" s="14" t="s">
        <v>1850</v>
      </c>
      <c r="D1806" s="14" t="s">
        <v>266</v>
      </c>
      <c r="E1806" s="14" t="s">
        <v>1235</v>
      </c>
      <c r="F1806" s="14" t="s">
        <v>1818</v>
      </c>
      <c r="G1806" s="14" t="s">
        <v>1207</v>
      </c>
      <c r="H1806" s="4"/>
      <c r="I1806" s="4">
        <f t="shared" si="156"/>
        <v>0</v>
      </c>
      <c r="J1806" s="4"/>
      <c r="K1806" s="4">
        <f t="shared" si="150"/>
        <v>0</v>
      </c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 spans="1:26" ht="15.75" customHeight="1" x14ac:dyDescent="0.2">
      <c r="A1807" s="1">
        <v>1003</v>
      </c>
      <c r="B1807" s="13" t="s">
        <v>1076</v>
      </c>
      <c r="C1807" s="14" t="s">
        <v>1850</v>
      </c>
      <c r="D1807" s="14" t="s">
        <v>266</v>
      </c>
      <c r="E1807" s="14" t="s">
        <v>1235</v>
      </c>
      <c r="F1807" s="14" t="s">
        <v>1818</v>
      </c>
      <c r="G1807" s="14" t="s">
        <v>1207</v>
      </c>
      <c r="H1807" s="4"/>
      <c r="I1807" s="4">
        <f t="shared" si="156"/>
        <v>0</v>
      </c>
      <c r="J1807" s="4"/>
      <c r="K1807" s="4">
        <f t="shared" si="150"/>
        <v>0</v>
      </c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 spans="1:26" ht="15.75" customHeight="1" x14ac:dyDescent="0.2">
      <c r="A1808" s="1">
        <v>421</v>
      </c>
      <c r="B1808" s="13" t="s">
        <v>672</v>
      </c>
      <c r="C1808" s="14" t="s">
        <v>1851</v>
      </c>
      <c r="D1808" s="14" t="s">
        <v>1852</v>
      </c>
      <c r="E1808" s="14" t="s">
        <v>1372</v>
      </c>
      <c r="F1808" s="14" t="s">
        <v>1818</v>
      </c>
      <c r="G1808" s="14" t="s">
        <v>1207</v>
      </c>
      <c r="H1808" s="4"/>
      <c r="I1808" s="4">
        <f t="shared" si="156"/>
        <v>0</v>
      </c>
      <c r="J1808" s="4"/>
      <c r="K1808" s="4">
        <f t="shared" si="150"/>
        <v>0</v>
      </c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 spans="1:26" ht="15.75" customHeight="1" x14ac:dyDescent="0.2">
      <c r="A1809" s="1">
        <v>337</v>
      </c>
      <c r="B1809" s="13" t="s">
        <v>1162</v>
      </c>
      <c r="C1809" s="14" t="s">
        <v>1853</v>
      </c>
      <c r="D1809" s="14" t="s">
        <v>1426</v>
      </c>
      <c r="E1809" s="14" t="s">
        <v>1750</v>
      </c>
      <c r="F1809" s="14" t="s">
        <v>1818</v>
      </c>
      <c r="G1809" s="14" t="s">
        <v>1207</v>
      </c>
      <c r="H1809" s="4"/>
      <c r="I1809" s="4">
        <f t="shared" si="156"/>
        <v>0</v>
      </c>
      <c r="J1809" s="4"/>
      <c r="K1809" s="4">
        <f t="shared" si="150"/>
        <v>0</v>
      </c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 spans="1:26" ht="15.75" customHeight="1" x14ac:dyDescent="0.2">
      <c r="A1810" s="1">
        <v>2539</v>
      </c>
      <c r="B1810" s="13" t="s">
        <v>1247</v>
      </c>
      <c r="C1810" s="14" t="s">
        <v>1853</v>
      </c>
      <c r="D1810" s="14" t="s">
        <v>1426</v>
      </c>
      <c r="E1810" s="14" t="s">
        <v>1750</v>
      </c>
      <c r="F1810" s="14" t="s">
        <v>1818</v>
      </c>
      <c r="G1810" s="14" t="s">
        <v>1207</v>
      </c>
      <c r="H1810" s="4"/>
      <c r="I1810" s="4">
        <f t="shared" si="156"/>
        <v>0</v>
      </c>
      <c r="J1810" s="4"/>
      <c r="K1810" s="4">
        <f t="shared" si="150"/>
        <v>0</v>
      </c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 spans="1:26" ht="15.75" customHeight="1" x14ac:dyDescent="0.2">
      <c r="A1811" s="1">
        <v>1611</v>
      </c>
      <c r="B1811" s="13" t="s">
        <v>264</v>
      </c>
      <c r="C1811" s="14" t="s">
        <v>1347</v>
      </c>
      <c r="D1811" s="14" t="s">
        <v>139</v>
      </c>
      <c r="E1811" s="14" t="s">
        <v>322</v>
      </c>
      <c r="F1811" s="14" t="s">
        <v>1818</v>
      </c>
      <c r="G1811" s="14" t="s">
        <v>1207</v>
      </c>
      <c r="H1811" s="4"/>
      <c r="I1811" s="4">
        <f t="shared" si="156"/>
        <v>0</v>
      </c>
      <c r="J1811" s="4"/>
      <c r="K1811" s="4">
        <f t="shared" si="150"/>
        <v>0</v>
      </c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 spans="1:26" ht="15.75" customHeight="1" x14ac:dyDescent="0.2">
      <c r="A1812" s="1">
        <v>2549</v>
      </c>
      <c r="B1812" s="13" t="s">
        <v>1247</v>
      </c>
      <c r="C1812" s="14" t="s">
        <v>1347</v>
      </c>
      <c r="D1812" s="14" t="s">
        <v>139</v>
      </c>
      <c r="E1812" s="14" t="s">
        <v>322</v>
      </c>
      <c r="F1812" s="14" t="s">
        <v>1818</v>
      </c>
      <c r="G1812" s="14" t="s">
        <v>1207</v>
      </c>
      <c r="H1812" s="4"/>
      <c r="I1812" s="4">
        <f t="shared" si="156"/>
        <v>0</v>
      </c>
      <c r="J1812" s="4"/>
      <c r="K1812" s="4">
        <f t="shared" si="150"/>
        <v>0</v>
      </c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 spans="1:26" ht="15.75" customHeight="1" x14ac:dyDescent="0.2">
      <c r="A1813" s="1">
        <v>2793</v>
      </c>
      <c r="B1813" s="13" t="s">
        <v>288</v>
      </c>
      <c r="C1813" s="14" t="s">
        <v>1347</v>
      </c>
      <c r="D1813" s="14" t="s">
        <v>139</v>
      </c>
      <c r="E1813" s="14" t="s">
        <v>322</v>
      </c>
      <c r="F1813" s="14" t="s">
        <v>1818</v>
      </c>
      <c r="G1813" s="14" t="s">
        <v>1207</v>
      </c>
      <c r="H1813" s="4"/>
      <c r="I1813" s="4">
        <f t="shared" si="156"/>
        <v>0</v>
      </c>
      <c r="J1813" s="4"/>
      <c r="K1813" s="4">
        <f t="shared" si="150"/>
        <v>0</v>
      </c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 spans="1:26" ht="15.75" customHeight="1" x14ac:dyDescent="0.2">
      <c r="A1814" s="1">
        <v>237</v>
      </c>
      <c r="B1814" s="13" t="s">
        <v>243</v>
      </c>
      <c r="C1814" s="14" t="s">
        <v>1695</v>
      </c>
      <c r="D1814" s="14" t="s">
        <v>771</v>
      </c>
      <c r="E1814" s="14" t="s">
        <v>1223</v>
      </c>
      <c r="F1814" s="14" t="s">
        <v>1818</v>
      </c>
      <c r="G1814" s="14" t="s">
        <v>1207</v>
      </c>
      <c r="H1814" s="4"/>
      <c r="I1814" s="4">
        <f t="shared" si="156"/>
        <v>0</v>
      </c>
      <c r="J1814" s="4"/>
      <c r="K1814" s="4">
        <f t="shared" si="150"/>
        <v>0</v>
      </c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 spans="1:26" ht="15.75" customHeight="1" x14ac:dyDescent="0.2">
      <c r="A1815" s="1">
        <v>1261</v>
      </c>
      <c r="B1815" s="13" t="s">
        <v>453</v>
      </c>
      <c r="C1815" s="14" t="s">
        <v>1695</v>
      </c>
      <c r="D1815" s="14" t="s">
        <v>771</v>
      </c>
      <c r="E1815" s="14" t="s">
        <v>1223</v>
      </c>
      <c r="F1815" s="14" t="s">
        <v>1818</v>
      </c>
      <c r="G1815" s="14" t="s">
        <v>1207</v>
      </c>
      <c r="H1815" s="4"/>
      <c r="I1815" s="4">
        <f t="shared" si="156"/>
        <v>0</v>
      </c>
      <c r="J1815" s="4"/>
      <c r="K1815" s="4">
        <f t="shared" si="150"/>
        <v>0</v>
      </c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 spans="1:26" ht="15.75" customHeight="1" x14ac:dyDescent="0.2">
      <c r="A1816" s="1">
        <v>985</v>
      </c>
      <c r="B1816" s="13" t="s">
        <v>624</v>
      </c>
      <c r="C1816" s="14" t="s">
        <v>1680</v>
      </c>
      <c r="D1816" s="14" t="s">
        <v>1854</v>
      </c>
      <c r="E1816" s="14"/>
      <c r="F1816" s="14" t="s">
        <v>1818</v>
      </c>
      <c r="G1816" s="14" t="s">
        <v>1207</v>
      </c>
      <c r="H1816" s="4"/>
      <c r="I1816" s="4">
        <f t="shared" si="156"/>
        <v>0</v>
      </c>
      <c r="J1816" s="4"/>
      <c r="K1816" s="4">
        <f t="shared" si="150"/>
        <v>0</v>
      </c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 spans="1:26" ht="15.75" customHeight="1" x14ac:dyDescent="0.2">
      <c r="A1817" s="1">
        <v>2811</v>
      </c>
      <c r="B1817" s="13" t="s">
        <v>1348</v>
      </c>
      <c r="C1817" s="14" t="s">
        <v>1680</v>
      </c>
      <c r="D1817" s="14" t="s">
        <v>1854</v>
      </c>
      <c r="E1817" s="14"/>
      <c r="F1817" s="14" t="s">
        <v>1818</v>
      </c>
      <c r="G1817" s="14" t="s">
        <v>1207</v>
      </c>
      <c r="H1817" s="4"/>
      <c r="I1817" s="4">
        <f t="shared" si="156"/>
        <v>0</v>
      </c>
      <c r="J1817" s="4"/>
      <c r="K1817" s="4">
        <f t="shared" si="150"/>
        <v>0</v>
      </c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 spans="1:26" ht="15.75" customHeight="1" x14ac:dyDescent="0.2">
      <c r="A1818" s="1">
        <v>505</v>
      </c>
      <c r="B1818" s="13" t="s">
        <v>1339</v>
      </c>
      <c r="C1818" s="14" t="s">
        <v>1855</v>
      </c>
      <c r="D1818" s="14" t="s">
        <v>1654</v>
      </c>
      <c r="E1818" s="14" t="s">
        <v>1441</v>
      </c>
      <c r="F1818" s="14" t="s">
        <v>1818</v>
      </c>
      <c r="G1818" s="14" t="s">
        <v>1207</v>
      </c>
      <c r="H1818" s="4"/>
      <c r="I1818" s="4">
        <f t="shared" si="156"/>
        <v>0</v>
      </c>
      <c r="J1818" s="4"/>
      <c r="K1818" s="4">
        <f t="shared" si="150"/>
        <v>0</v>
      </c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 spans="1:26" ht="15.75" customHeight="1" x14ac:dyDescent="0.2">
      <c r="A1819" s="1">
        <v>435</v>
      </c>
      <c r="B1819" s="13" t="s">
        <v>672</v>
      </c>
      <c r="C1819" s="14" t="s">
        <v>1624</v>
      </c>
      <c r="D1819" s="14" t="s">
        <v>1856</v>
      </c>
      <c r="E1819" s="14" t="s">
        <v>18</v>
      </c>
      <c r="F1819" s="14" t="s">
        <v>1818</v>
      </c>
      <c r="G1819" s="14" t="s">
        <v>1207</v>
      </c>
      <c r="H1819" s="4"/>
      <c r="I1819" s="4">
        <f t="shared" si="156"/>
        <v>0</v>
      </c>
      <c r="J1819" s="4"/>
      <c r="K1819" s="4">
        <f t="shared" si="150"/>
        <v>0</v>
      </c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 spans="1:26" ht="15.75" customHeight="1" x14ac:dyDescent="0.2">
      <c r="A1820" s="1"/>
      <c r="B1820" s="2" t="s">
        <v>88</v>
      </c>
      <c r="C1820" s="3" t="s">
        <v>1624</v>
      </c>
      <c r="D1820" s="3" t="s">
        <v>171</v>
      </c>
      <c r="E1820" s="3" t="s">
        <v>348</v>
      </c>
      <c r="F1820" s="3" t="s">
        <v>1818</v>
      </c>
      <c r="G1820" s="3" t="s">
        <v>1207</v>
      </c>
      <c r="H1820" s="4"/>
      <c r="I1820" s="4">
        <f t="shared" ref="I1820:I1821" si="157">H1820*1800</f>
        <v>0</v>
      </c>
      <c r="J1820" s="4"/>
      <c r="K1820" s="4">
        <f t="shared" si="150"/>
        <v>0</v>
      </c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 spans="1:26" ht="15.75" customHeight="1" x14ac:dyDescent="0.2">
      <c r="A1821" s="1"/>
      <c r="B1821" s="2" t="s">
        <v>94</v>
      </c>
      <c r="C1821" s="3" t="s">
        <v>1624</v>
      </c>
      <c r="D1821" s="3" t="s">
        <v>171</v>
      </c>
      <c r="E1821" s="3" t="s">
        <v>348</v>
      </c>
      <c r="F1821" s="3" t="s">
        <v>1818</v>
      </c>
      <c r="G1821" s="3" t="s">
        <v>1207</v>
      </c>
      <c r="H1821" s="4"/>
      <c r="I1821" s="4">
        <f t="shared" si="157"/>
        <v>0</v>
      </c>
      <c r="J1821" s="4"/>
      <c r="K1821" s="4">
        <f t="shared" si="150"/>
        <v>0</v>
      </c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 spans="1:26" ht="15.75" customHeight="1" x14ac:dyDescent="0.2">
      <c r="A1822" s="1">
        <v>201</v>
      </c>
      <c r="B1822" s="13" t="s">
        <v>946</v>
      </c>
      <c r="C1822" s="14" t="s">
        <v>1857</v>
      </c>
      <c r="D1822" s="14" t="s">
        <v>275</v>
      </c>
      <c r="E1822" s="14" t="s">
        <v>187</v>
      </c>
      <c r="F1822" s="14" t="s">
        <v>1818</v>
      </c>
      <c r="G1822" s="14" t="s">
        <v>1207</v>
      </c>
      <c r="H1822" s="4"/>
      <c r="I1822" s="4">
        <f t="shared" ref="I1822:I1825" si="158">H1822*2300</f>
        <v>0</v>
      </c>
      <c r="J1822" s="4"/>
      <c r="K1822" s="4">
        <f t="shared" si="150"/>
        <v>0</v>
      </c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 spans="1:26" ht="15.75" customHeight="1" x14ac:dyDescent="0.2">
      <c r="A1823" s="1">
        <v>1203</v>
      </c>
      <c r="B1823" s="13" t="s">
        <v>1364</v>
      </c>
      <c r="C1823" s="14" t="s">
        <v>1857</v>
      </c>
      <c r="D1823" s="14" t="s">
        <v>275</v>
      </c>
      <c r="E1823" s="14" t="s">
        <v>187</v>
      </c>
      <c r="F1823" s="14" t="s">
        <v>1818</v>
      </c>
      <c r="G1823" s="14" t="s">
        <v>1207</v>
      </c>
      <c r="H1823" s="4"/>
      <c r="I1823" s="4">
        <f t="shared" si="158"/>
        <v>0</v>
      </c>
      <c r="J1823" s="4"/>
      <c r="K1823" s="4">
        <f t="shared" si="150"/>
        <v>0</v>
      </c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 spans="1:26" ht="15.75" customHeight="1" x14ac:dyDescent="0.2">
      <c r="A1824" s="1">
        <v>1705</v>
      </c>
      <c r="B1824" s="13" t="s">
        <v>1345</v>
      </c>
      <c r="C1824" s="14" t="s">
        <v>1857</v>
      </c>
      <c r="D1824" s="14" t="s">
        <v>275</v>
      </c>
      <c r="E1824" s="14" t="s">
        <v>187</v>
      </c>
      <c r="F1824" s="14" t="s">
        <v>1818</v>
      </c>
      <c r="G1824" s="14" t="s">
        <v>1207</v>
      </c>
      <c r="H1824" s="4"/>
      <c r="I1824" s="4">
        <f t="shared" si="158"/>
        <v>0</v>
      </c>
      <c r="J1824" s="4"/>
      <c r="K1824" s="4">
        <f t="shared" si="150"/>
        <v>0</v>
      </c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 spans="1:26" ht="15.75" customHeight="1" x14ac:dyDescent="0.2">
      <c r="A1825" s="1">
        <v>2649</v>
      </c>
      <c r="B1825" s="13" t="s">
        <v>1055</v>
      </c>
      <c r="C1825" s="14" t="s">
        <v>1857</v>
      </c>
      <c r="D1825" s="14" t="s">
        <v>275</v>
      </c>
      <c r="E1825" s="14" t="s">
        <v>187</v>
      </c>
      <c r="F1825" s="14" t="s">
        <v>1818</v>
      </c>
      <c r="G1825" s="14" t="s">
        <v>1207</v>
      </c>
      <c r="H1825" s="4"/>
      <c r="I1825" s="4">
        <f t="shared" si="158"/>
        <v>0</v>
      </c>
      <c r="J1825" s="4"/>
      <c r="K1825" s="4">
        <f t="shared" si="150"/>
        <v>0</v>
      </c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 spans="1:26" ht="15.75" customHeight="1" x14ac:dyDescent="0.2">
      <c r="A1826" s="1"/>
      <c r="B1826" s="2" t="s">
        <v>311</v>
      </c>
      <c r="C1826" s="3" t="s">
        <v>1857</v>
      </c>
      <c r="D1826" s="3" t="s">
        <v>292</v>
      </c>
      <c r="E1826" s="3" t="s">
        <v>187</v>
      </c>
      <c r="F1826" s="3" t="s">
        <v>1818</v>
      </c>
      <c r="G1826" s="3" t="s">
        <v>1207</v>
      </c>
      <c r="H1826" s="4"/>
      <c r="I1826" s="4">
        <f t="shared" ref="I1826:I1827" si="159">H1826*1800</f>
        <v>0</v>
      </c>
      <c r="J1826" s="4"/>
      <c r="K1826" s="4">
        <f t="shared" si="150"/>
        <v>0</v>
      </c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 spans="1:26" ht="15.75" customHeight="1" x14ac:dyDescent="0.2">
      <c r="A1827" s="1"/>
      <c r="B1827" s="2" t="s">
        <v>114</v>
      </c>
      <c r="C1827" s="3" t="s">
        <v>1857</v>
      </c>
      <c r="D1827" s="3" t="s">
        <v>292</v>
      </c>
      <c r="E1827" s="3" t="s">
        <v>187</v>
      </c>
      <c r="F1827" s="3" t="s">
        <v>1818</v>
      </c>
      <c r="G1827" s="3" t="s">
        <v>1207</v>
      </c>
      <c r="H1827" s="4"/>
      <c r="I1827" s="4">
        <f t="shared" si="159"/>
        <v>0</v>
      </c>
      <c r="J1827" s="4"/>
      <c r="K1827" s="4">
        <f t="shared" si="150"/>
        <v>0</v>
      </c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 spans="1:26" ht="15.75" customHeight="1" x14ac:dyDescent="0.2">
      <c r="A1828" s="1">
        <v>1349</v>
      </c>
      <c r="B1828" s="13" t="s">
        <v>601</v>
      </c>
      <c r="C1828" s="14" t="s">
        <v>635</v>
      </c>
      <c r="D1828" s="14" t="s">
        <v>1858</v>
      </c>
      <c r="E1828" s="14" t="s">
        <v>112</v>
      </c>
      <c r="F1828" s="14" t="s">
        <v>1818</v>
      </c>
      <c r="G1828" s="14" t="s">
        <v>1207</v>
      </c>
      <c r="H1828" s="4"/>
      <c r="I1828" s="4">
        <f t="shared" ref="I1828:I1848" si="160">H1828*2300</f>
        <v>0</v>
      </c>
      <c r="J1828" s="4"/>
      <c r="K1828" s="4">
        <f t="shared" si="150"/>
        <v>0</v>
      </c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 spans="1:26" ht="15.75" customHeight="1" x14ac:dyDescent="0.2">
      <c r="A1829" s="1">
        <v>1849</v>
      </c>
      <c r="B1829" s="13" t="s">
        <v>604</v>
      </c>
      <c r="C1829" s="14" t="s">
        <v>635</v>
      </c>
      <c r="D1829" s="14" t="s">
        <v>1858</v>
      </c>
      <c r="E1829" s="14" t="s">
        <v>112</v>
      </c>
      <c r="F1829" s="14" t="s">
        <v>1818</v>
      </c>
      <c r="G1829" s="14" t="s">
        <v>1207</v>
      </c>
      <c r="H1829" s="4"/>
      <c r="I1829" s="4">
        <f t="shared" si="160"/>
        <v>0</v>
      </c>
      <c r="J1829" s="4"/>
      <c r="K1829" s="4">
        <f t="shared" si="150"/>
        <v>0</v>
      </c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 spans="1:26" ht="15.75" customHeight="1" x14ac:dyDescent="0.2">
      <c r="A1830" s="1">
        <v>439</v>
      </c>
      <c r="B1830" s="13" t="s">
        <v>674</v>
      </c>
      <c r="C1830" s="14" t="s">
        <v>1859</v>
      </c>
      <c r="D1830" s="14" t="s">
        <v>171</v>
      </c>
      <c r="E1830" s="14" t="s">
        <v>255</v>
      </c>
      <c r="F1830" s="14" t="s">
        <v>1818</v>
      </c>
      <c r="G1830" s="14" t="s">
        <v>1207</v>
      </c>
      <c r="H1830" s="4"/>
      <c r="I1830" s="4">
        <f t="shared" si="160"/>
        <v>0</v>
      </c>
      <c r="J1830" s="4"/>
      <c r="K1830" s="4">
        <f t="shared" si="150"/>
        <v>0</v>
      </c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 spans="1:26" ht="15.75" customHeight="1" x14ac:dyDescent="0.2">
      <c r="A1831" s="1">
        <v>481</v>
      </c>
      <c r="B1831" s="13" t="s">
        <v>445</v>
      </c>
      <c r="C1831" s="14" t="s">
        <v>1859</v>
      </c>
      <c r="D1831" s="14" t="s">
        <v>171</v>
      </c>
      <c r="E1831" s="14" t="s">
        <v>255</v>
      </c>
      <c r="F1831" s="14" t="s">
        <v>1818</v>
      </c>
      <c r="G1831" s="14" t="s">
        <v>1207</v>
      </c>
      <c r="H1831" s="4"/>
      <c r="I1831" s="4">
        <f t="shared" si="160"/>
        <v>0</v>
      </c>
      <c r="J1831" s="4"/>
      <c r="K1831" s="4">
        <f t="shared" si="150"/>
        <v>0</v>
      </c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 spans="1:26" ht="15.75" customHeight="1" x14ac:dyDescent="0.2">
      <c r="A1832" s="1">
        <v>955</v>
      </c>
      <c r="B1832" s="13" t="s">
        <v>698</v>
      </c>
      <c r="C1832" s="14" t="s">
        <v>1859</v>
      </c>
      <c r="D1832" s="14" t="s">
        <v>171</v>
      </c>
      <c r="E1832" s="14" t="s">
        <v>255</v>
      </c>
      <c r="F1832" s="14" t="s">
        <v>1818</v>
      </c>
      <c r="G1832" s="14" t="s">
        <v>1207</v>
      </c>
      <c r="H1832" s="4"/>
      <c r="I1832" s="4">
        <f t="shared" si="160"/>
        <v>0</v>
      </c>
      <c r="J1832" s="4"/>
      <c r="K1832" s="4">
        <f t="shared" si="150"/>
        <v>0</v>
      </c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 spans="1:26" ht="15.75" customHeight="1" x14ac:dyDescent="0.2">
      <c r="A1833" s="1">
        <v>75</v>
      </c>
      <c r="B1833" s="13" t="s">
        <v>1301</v>
      </c>
      <c r="C1833" s="14" t="s">
        <v>1860</v>
      </c>
      <c r="D1833" s="14" t="s">
        <v>75</v>
      </c>
      <c r="E1833" s="14" t="s">
        <v>87</v>
      </c>
      <c r="F1833" s="14" t="s">
        <v>1818</v>
      </c>
      <c r="G1833" s="14" t="s">
        <v>1207</v>
      </c>
      <c r="H1833" s="4"/>
      <c r="I1833" s="4">
        <f t="shared" si="160"/>
        <v>0</v>
      </c>
      <c r="J1833" s="4"/>
      <c r="K1833" s="4">
        <f t="shared" si="150"/>
        <v>0</v>
      </c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 spans="1:26" ht="15.75" customHeight="1" x14ac:dyDescent="0.2">
      <c r="A1834" s="1">
        <v>1301</v>
      </c>
      <c r="B1834" s="13" t="s">
        <v>936</v>
      </c>
      <c r="C1834" s="14" t="s">
        <v>1861</v>
      </c>
      <c r="D1834" s="14" t="s">
        <v>1862</v>
      </c>
      <c r="E1834" s="14" t="s">
        <v>1274</v>
      </c>
      <c r="F1834" s="14" t="s">
        <v>1818</v>
      </c>
      <c r="G1834" s="14" t="s">
        <v>1207</v>
      </c>
      <c r="H1834" s="4"/>
      <c r="I1834" s="4">
        <f t="shared" si="160"/>
        <v>0</v>
      </c>
      <c r="J1834" s="4"/>
      <c r="K1834" s="4">
        <f t="shared" si="150"/>
        <v>0</v>
      </c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 spans="1:26" ht="15.75" customHeight="1" x14ac:dyDescent="0.2">
      <c r="A1835" s="1">
        <v>1799</v>
      </c>
      <c r="B1835" s="13" t="s">
        <v>276</v>
      </c>
      <c r="C1835" s="14" t="s">
        <v>1861</v>
      </c>
      <c r="D1835" s="14" t="s">
        <v>1862</v>
      </c>
      <c r="E1835" s="14" t="s">
        <v>1274</v>
      </c>
      <c r="F1835" s="14" t="s">
        <v>1818</v>
      </c>
      <c r="G1835" s="14" t="s">
        <v>1207</v>
      </c>
      <c r="H1835" s="4"/>
      <c r="I1835" s="4">
        <f t="shared" si="160"/>
        <v>0</v>
      </c>
      <c r="J1835" s="4"/>
      <c r="K1835" s="4">
        <f t="shared" si="150"/>
        <v>0</v>
      </c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 spans="1:26" ht="15.75" customHeight="1" x14ac:dyDescent="0.2">
      <c r="A1836" s="1">
        <v>591</v>
      </c>
      <c r="B1836" s="13" t="s">
        <v>428</v>
      </c>
      <c r="C1836" s="14" t="s">
        <v>608</v>
      </c>
      <c r="D1836" s="14" t="s">
        <v>600</v>
      </c>
      <c r="E1836" s="14" t="s">
        <v>259</v>
      </c>
      <c r="F1836" s="14" t="s">
        <v>1818</v>
      </c>
      <c r="G1836" s="14" t="s">
        <v>1207</v>
      </c>
      <c r="H1836" s="4"/>
      <c r="I1836" s="4">
        <f t="shared" si="160"/>
        <v>0</v>
      </c>
      <c r="J1836" s="4"/>
      <c r="K1836" s="4">
        <f t="shared" si="150"/>
        <v>0</v>
      </c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 spans="1:26" ht="15.75" customHeight="1" x14ac:dyDescent="0.2">
      <c r="A1837" s="1">
        <v>1495</v>
      </c>
      <c r="B1837" s="13" t="s">
        <v>262</v>
      </c>
      <c r="C1837" s="14" t="s">
        <v>608</v>
      </c>
      <c r="D1837" s="14" t="s">
        <v>600</v>
      </c>
      <c r="E1837" s="14" t="s">
        <v>259</v>
      </c>
      <c r="F1837" s="14" t="s">
        <v>1818</v>
      </c>
      <c r="G1837" s="14" t="s">
        <v>1207</v>
      </c>
      <c r="H1837" s="4"/>
      <c r="I1837" s="4">
        <f t="shared" si="160"/>
        <v>0</v>
      </c>
      <c r="J1837" s="4"/>
      <c r="K1837" s="4">
        <f t="shared" si="150"/>
        <v>0</v>
      </c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 spans="1:26" ht="15.75" customHeight="1" x14ac:dyDescent="0.2">
      <c r="A1838" s="1">
        <v>2815</v>
      </c>
      <c r="B1838" s="13" t="s">
        <v>1348</v>
      </c>
      <c r="C1838" s="14" t="s">
        <v>608</v>
      </c>
      <c r="D1838" s="14" t="s">
        <v>574</v>
      </c>
      <c r="E1838" s="14"/>
      <c r="F1838" s="14" t="s">
        <v>1818</v>
      </c>
      <c r="G1838" s="14" t="s">
        <v>1207</v>
      </c>
      <c r="H1838" s="4"/>
      <c r="I1838" s="4">
        <f t="shared" si="160"/>
        <v>0</v>
      </c>
      <c r="J1838" s="4"/>
      <c r="K1838" s="4">
        <f t="shared" si="150"/>
        <v>0</v>
      </c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 spans="1:26" ht="15.75" customHeight="1" x14ac:dyDescent="0.2">
      <c r="A1839" s="1">
        <v>463</v>
      </c>
      <c r="B1839" s="13" t="s">
        <v>1018</v>
      </c>
      <c r="C1839" s="14" t="s">
        <v>1863</v>
      </c>
      <c r="D1839" s="14" t="s">
        <v>1864</v>
      </c>
      <c r="E1839" s="14" t="s">
        <v>1865</v>
      </c>
      <c r="F1839" s="14" t="s">
        <v>1818</v>
      </c>
      <c r="G1839" s="14" t="s">
        <v>1207</v>
      </c>
      <c r="H1839" s="4"/>
      <c r="I1839" s="4">
        <f t="shared" si="160"/>
        <v>0</v>
      </c>
      <c r="J1839" s="4"/>
      <c r="K1839" s="4">
        <f t="shared" si="150"/>
        <v>0</v>
      </c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 spans="1:26" ht="15.75" customHeight="1" x14ac:dyDescent="0.2">
      <c r="A1840" s="1">
        <v>491</v>
      </c>
      <c r="B1840" s="13" t="s">
        <v>1339</v>
      </c>
      <c r="C1840" s="14" t="s">
        <v>1863</v>
      </c>
      <c r="D1840" s="14" t="s">
        <v>1864</v>
      </c>
      <c r="E1840" s="14" t="s">
        <v>1865</v>
      </c>
      <c r="F1840" s="14" t="s">
        <v>1818</v>
      </c>
      <c r="G1840" s="14" t="s">
        <v>1207</v>
      </c>
      <c r="H1840" s="4"/>
      <c r="I1840" s="4">
        <f t="shared" si="160"/>
        <v>0</v>
      </c>
      <c r="J1840" s="4"/>
      <c r="K1840" s="4">
        <f t="shared" si="150"/>
        <v>0</v>
      </c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 spans="1:26" ht="15.75" customHeight="1" x14ac:dyDescent="0.2">
      <c r="A1841" s="1">
        <v>175</v>
      </c>
      <c r="B1841" s="13" t="s">
        <v>549</v>
      </c>
      <c r="C1841" s="14" t="s">
        <v>1866</v>
      </c>
      <c r="D1841" s="14" t="s">
        <v>1867</v>
      </c>
      <c r="E1841" s="14" t="s">
        <v>70</v>
      </c>
      <c r="F1841" s="14" t="s">
        <v>1818</v>
      </c>
      <c r="G1841" s="14" t="s">
        <v>1207</v>
      </c>
      <c r="H1841" s="4"/>
      <c r="I1841" s="4">
        <f t="shared" si="160"/>
        <v>0</v>
      </c>
      <c r="J1841" s="4"/>
      <c r="K1841" s="4">
        <f t="shared" si="150"/>
        <v>0</v>
      </c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 spans="1:26" ht="15.75" customHeight="1" x14ac:dyDescent="0.2">
      <c r="A1842" s="1">
        <v>1215</v>
      </c>
      <c r="B1842" s="13" t="s">
        <v>1364</v>
      </c>
      <c r="C1842" s="14" t="s">
        <v>1866</v>
      </c>
      <c r="D1842" s="14" t="s">
        <v>1867</v>
      </c>
      <c r="E1842" s="14" t="s">
        <v>70</v>
      </c>
      <c r="F1842" s="14" t="s">
        <v>1818</v>
      </c>
      <c r="G1842" s="14" t="s">
        <v>1207</v>
      </c>
      <c r="H1842" s="4"/>
      <c r="I1842" s="4">
        <f t="shared" si="160"/>
        <v>0</v>
      </c>
      <c r="J1842" s="4"/>
      <c r="K1842" s="4">
        <f t="shared" si="150"/>
        <v>0</v>
      </c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 spans="1:26" ht="15.75" customHeight="1" x14ac:dyDescent="0.2">
      <c r="A1843" s="1">
        <v>551</v>
      </c>
      <c r="B1843" s="13" t="s">
        <v>368</v>
      </c>
      <c r="C1843" s="14" t="s">
        <v>1868</v>
      </c>
      <c r="D1843" s="14" t="s">
        <v>1643</v>
      </c>
      <c r="E1843" s="14" t="s">
        <v>1869</v>
      </c>
      <c r="F1843" s="14" t="s">
        <v>1818</v>
      </c>
      <c r="G1843" s="14" t="s">
        <v>1207</v>
      </c>
      <c r="H1843" s="4"/>
      <c r="I1843" s="4">
        <f t="shared" si="160"/>
        <v>0</v>
      </c>
      <c r="J1843" s="4"/>
      <c r="K1843" s="4">
        <f t="shared" si="150"/>
        <v>0</v>
      </c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 spans="1:26" ht="15.75" customHeight="1" x14ac:dyDescent="0.2">
      <c r="A1844" s="1">
        <v>589</v>
      </c>
      <c r="B1844" s="13" t="s">
        <v>428</v>
      </c>
      <c r="C1844" s="14" t="s">
        <v>1868</v>
      </c>
      <c r="D1844" s="14" t="s">
        <v>1643</v>
      </c>
      <c r="E1844" s="14" t="s">
        <v>1869</v>
      </c>
      <c r="F1844" s="14" t="s">
        <v>1818</v>
      </c>
      <c r="G1844" s="14" t="s">
        <v>1207</v>
      </c>
      <c r="H1844" s="4"/>
      <c r="I1844" s="4">
        <f t="shared" si="160"/>
        <v>0</v>
      </c>
      <c r="J1844" s="4"/>
      <c r="K1844" s="4">
        <f t="shared" si="150"/>
        <v>0</v>
      </c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 spans="1:26" ht="15.75" customHeight="1" x14ac:dyDescent="0.2">
      <c r="A1845" s="1">
        <v>239</v>
      </c>
      <c r="B1845" s="13" t="s">
        <v>243</v>
      </c>
      <c r="C1845" s="14" t="s">
        <v>1294</v>
      </c>
      <c r="D1845" s="14" t="s">
        <v>1551</v>
      </c>
      <c r="E1845" s="14" t="s">
        <v>1259</v>
      </c>
      <c r="F1845" s="14" t="s">
        <v>1818</v>
      </c>
      <c r="G1845" s="14" t="s">
        <v>1207</v>
      </c>
      <c r="H1845" s="4"/>
      <c r="I1845" s="4">
        <f t="shared" si="160"/>
        <v>0</v>
      </c>
      <c r="J1845" s="4"/>
      <c r="K1845" s="4">
        <f t="shared" si="150"/>
        <v>0</v>
      </c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 spans="1:26" ht="15.75" customHeight="1" x14ac:dyDescent="0.2">
      <c r="A1846" s="1">
        <v>1205</v>
      </c>
      <c r="B1846" s="13" t="s">
        <v>1364</v>
      </c>
      <c r="C1846" s="14" t="s">
        <v>1294</v>
      </c>
      <c r="D1846" s="14" t="s">
        <v>1551</v>
      </c>
      <c r="E1846" s="14" t="s">
        <v>1259</v>
      </c>
      <c r="F1846" s="14" t="s">
        <v>1818</v>
      </c>
      <c r="G1846" s="14" t="s">
        <v>1207</v>
      </c>
      <c r="H1846" s="4"/>
      <c r="I1846" s="4">
        <f t="shared" si="160"/>
        <v>0</v>
      </c>
      <c r="J1846" s="4"/>
      <c r="K1846" s="4">
        <f t="shared" si="150"/>
        <v>0</v>
      </c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 spans="1:26" ht="15.75" customHeight="1" x14ac:dyDescent="0.2">
      <c r="A1847" s="1">
        <v>465</v>
      </c>
      <c r="B1847" s="13" t="s">
        <v>1018</v>
      </c>
      <c r="C1847" s="14" t="s">
        <v>1870</v>
      </c>
      <c r="D1847" s="14" t="s">
        <v>1871</v>
      </c>
      <c r="E1847" s="14" t="s">
        <v>743</v>
      </c>
      <c r="F1847" s="14" t="s">
        <v>1818</v>
      </c>
      <c r="G1847" s="14" t="s">
        <v>1207</v>
      </c>
      <c r="H1847" s="4"/>
      <c r="I1847" s="4">
        <f t="shared" si="160"/>
        <v>0</v>
      </c>
      <c r="J1847" s="4"/>
      <c r="K1847" s="4">
        <f t="shared" si="150"/>
        <v>0</v>
      </c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 spans="1:26" ht="15.75" customHeight="1" x14ac:dyDescent="0.2">
      <c r="A1848" s="1">
        <v>2505</v>
      </c>
      <c r="B1848" s="13" t="s">
        <v>434</v>
      </c>
      <c r="C1848" s="14" t="s">
        <v>1870</v>
      </c>
      <c r="D1848" s="14" t="s">
        <v>1871</v>
      </c>
      <c r="E1848" s="14" t="s">
        <v>743</v>
      </c>
      <c r="F1848" s="14" t="s">
        <v>1818</v>
      </c>
      <c r="G1848" s="14" t="s">
        <v>1207</v>
      </c>
      <c r="H1848" s="4"/>
      <c r="I1848" s="4">
        <f t="shared" si="160"/>
        <v>0</v>
      </c>
      <c r="J1848" s="4"/>
      <c r="K1848" s="4">
        <f t="shared" si="150"/>
        <v>0</v>
      </c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 spans="1:26" ht="15.75" customHeight="1" x14ac:dyDescent="0.2">
      <c r="A1849" s="1"/>
      <c r="B1849" s="2" t="s">
        <v>316</v>
      </c>
      <c r="C1849" s="3" t="s">
        <v>1341</v>
      </c>
      <c r="D1849" s="3" t="s">
        <v>350</v>
      </c>
      <c r="E1849" s="3" t="s">
        <v>134</v>
      </c>
      <c r="F1849" s="3" t="s">
        <v>1872</v>
      </c>
      <c r="G1849" s="3" t="s">
        <v>1207</v>
      </c>
      <c r="H1849" s="4"/>
      <c r="I1849" s="4">
        <f t="shared" ref="I1849:I1851" si="161">H1849*1800</f>
        <v>0</v>
      </c>
      <c r="J1849" s="4"/>
      <c r="K1849" s="4">
        <f t="shared" si="150"/>
        <v>0</v>
      </c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 spans="1:26" ht="15.75" customHeight="1" x14ac:dyDescent="0.2">
      <c r="A1850" s="1"/>
      <c r="B1850" s="2" t="s">
        <v>102</v>
      </c>
      <c r="C1850" s="3" t="s">
        <v>1341</v>
      </c>
      <c r="D1850" s="3" t="s">
        <v>350</v>
      </c>
      <c r="E1850" s="3" t="s">
        <v>134</v>
      </c>
      <c r="F1850" s="3" t="s">
        <v>1872</v>
      </c>
      <c r="G1850" s="3" t="s">
        <v>1207</v>
      </c>
      <c r="H1850" s="4"/>
      <c r="I1850" s="4">
        <f t="shared" si="161"/>
        <v>0</v>
      </c>
      <c r="J1850" s="4"/>
      <c r="K1850" s="4">
        <f t="shared" si="150"/>
        <v>0</v>
      </c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 spans="1:26" ht="15.75" customHeight="1" x14ac:dyDescent="0.2">
      <c r="A1851" s="1"/>
      <c r="B1851" s="2" t="s">
        <v>108</v>
      </c>
      <c r="C1851" s="3" t="s">
        <v>1341</v>
      </c>
      <c r="D1851" s="3" t="s">
        <v>350</v>
      </c>
      <c r="E1851" s="3" t="s">
        <v>134</v>
      </c>
      <c r="F1851" s="23" t="s">
        <v>1872</v>
      </c>
      <c r="G1851" s="3" t="s">
        <v>1207</v>
      </c>
      <c r="H1851" s="4"/>
      <c r="I1851" s="4">
        <f t="shared" si="161"/>
        <v>0</v>
      </c>
      <c r="J1851" s="4"/>
      <c r="K1851" s="4">
        <f t="shared" si="150"/>
        <v>0</v>
      </c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 spans="1:26" ht="15.75" customHeight="1" x14ac:dyDescent="0.2">
      <c r="A1852" s="1">
        <v>281</v>
      </c>
      <c r="B1852" s="13" t="s">
        <v>896</v>
      </c>
      <c r="C1852" s="14" t="s">
        <v>1873</v>
      </c>
      <c r="D1852" s="14" t="s">
        <v>1874</v>
      </c>
      <c r="E1852" s="14" t="s">
        <v>1875</v>
      </c>
      <c r="F1852" s="14" t="s">
        <v>1876</v>
      </c>
      <c r="G1852" s="14" t="s">
        <v>1207</v>
      </c>
      <c r="H1852" s="4"/>
      <c r="I1852" s="4">
        <f t="shared" ref="I1852:I1855" si="162">H1852*2300</f>
        <v>0</v>
      </c>
      <c r="J1852" s="4"/>
      <c r="K1852" s="4">
        <f t="shared" si="150"/>
        <v>0</v>
      </c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 spans="1:26" ht="15.75" customHeight="1" x14ac:dyDescent="0.2">
      <c r="A1853" s="1">
        <v>283</v>
      </c>
      <c r="B1853" s="13" t="s">
        <v>896</v>
      </c>
      <c r="C1853" s="14" t="s">
        <v>1873</v>
      </c>
      <c r="D1853" s="14" t="s">
        <v>1877</v>
      </c>
      <c r="E1853" s="14" t="s">
        <v>1878</v>
      </c>
      <c r="F1853" s="14" t="s">
        <v>1876</v>
      </c>
      <c r="G1853" s="14" t="s">
        <v>1207</v>
      </c>
      <c r="H1853" s="4"/>
      <c r="I1853" s="4">
        <f t="shared" si="162"/>
        <v>0</v>
      </c>
      <c r="J1853" s="4"/>
      <c r="K1853" s="4">
        <f t="shared" si="150"/>
        <v>0</v>
      </c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 spans="1:26" ht="15.75" customHeight="1" x14ac:dyDescent="0.2">
      <c r="A1854" s="1">
        <v>287</v>
      </c>
      <c r="B1854" s="13" t="s">
        <v>896</v>
      </c>
      <c r="C1854" s="14" t="s">
        <v>1879</v>
      </c>
      <c r="D1854" s="14" t="s">
        <v>1880</v>
      </c>
      <c r="E1854" s="14"/>
      <c r="F1854" s="14" t="s">
        <v>1881</v>
      </c>
      <c r="G1854" s="14" t="s">
        <v>1882</v>
      </c>
      <c r="H1854" s="4">
        <v>2</v>
      </c>
      <c r="I1854" s="4">
        <f t="shared" si="162"/>
        <v>4600</v>
      </c>
      <c r="J1854" s="4"/>
      <c r="K1854" s="4">
        <f t="shared" si="150"/>
        <v>0</v>
      </c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 spans="1:26" ht="15.75" customHeight="1" x14ac:dyDescent="0.2">
      <c r="A1855" s="1">
        <v>399</v>
      </c>
      <c r="B1855" s="13" t="s">
        <v>1883</v>
      </c>
      <c r="C1855" s="14" t="s">
        <v>1884</v>
      </c>
      <c r="D1855" s="14" t="s">
        <v>1885</v>
      </c>
      <c r="E1855" s="14"/>
      <c r="F1855" s="14" t="s">
        <v>1886</v>
      </c>
      <c r="G1855" s="14" t="s">
        <v>1882</v>
      </c>
      <c r="H1855" s="4"/>
      <c r="I1855" s="4">
        <f t="shared" si="162"/>
        <v>0</v>
      </c>
      <c r="J1855" s="4"/>
      <c r="K1855" s="4">
        <f t="shared" si="150"/>
        <v>0</v>
      </c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 spans="1:26" ht="15.75" customHeight="1" x14ac:dyDescent="0.2">
      <c r="A1856" s="1"/>
      <c r="B1856" s="2" t="s">
        <v>807</v>
      </c>
      <c r="C1856" s="3" t="s">
        <v>1887</v>
      </c>
      <c r="D1856" s="3" t="s">
        <v>275</v>
      </c>
      <c r="E1856" s="3" t="s">
        <v>1888</v>
      </c>
      <c r="F1856" s="3" t="s">
        <v>1886</v>
      </c>
      <c r="G1856" s="3" t="s">
        <v>1882</v>
      </c>
      <c r="H1856" s="4">
        <v>2</v>
      </c>
      <c r="I1856" s="4">
        <f t="shared" ref="I1856:I1866" si="163">H1856*1800</f>
        <v>3600</v>
      </c>
      <c r="J1856" s="4"/>
      <c r="K1856" s="4">
        <f t="shared" si="150"/>
        <v>0</v>
      </c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 spans="1:26" ht="15.75" customHeight="1" x14ac:dyDescent="0.2">
      <c r="A1857" s="1"/>
      <c r="B1857" s="2" t="s">
        <v>815</v>
      </c>
      <c r="C1857" s="3" t="s">
        <v>1887</v>
      </c>
      <c r="D1857" s="3" t="s">
        <v>1889</v>
      </c>
      <c r="E1857" s="3" t="s">
        <v>1890</v>
      </c>
      <c r="F1857" s="3" t="s">
        <v>1886</v>
      </c>
      <c r="G1857" s="3" t="s">
        <v>1882</v>
      </c>
      <c r="H1857" s="4"/>
      <c r="I1857" s="4">
        <f t="shared" si="163"/>
        <v>0</v>
      </c>
      <c r="J1857" s="4"/>
      <c r="K1857" s="4">
        <f t="shared" si="150"/>
        <v>0</v>
      </c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 spans="1:26" ht="15.75" customHeight="1" x14ac:dyDescent="0.2">
      <c r="A1858" s="1"/>
      <c r="B1858" s="2" t="s">
        <v>336</v>
      </c>
      <c r="C1858" s="3" t="s">
        <v>1891</v>
      </c>
      <c r="D1858" s="3" t="s">
        <v>1068</v>
      </c>
      <c r="E1858" s="3" t="s">
        <v>676</v>
      </c>
      <c r="F1858" s="3" t="s">
        <v>1892</v>
      </c>
      <c r="G1858" s="3" t="s">
        <v>1893</v>
      </c>
      <c r="H1858" s="4"/>
      <c r="I1858" s="4">
        <f t="shared" si="163"/>
        <v>0</v>
      </c>
      <c r="J1858" s="4"/>
      <c r="K1858" s="4">
        <f t="shared" si="150"/>
        <v>0</v>
      </c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 spans="1:26" ht="15.75" customHeight="1" x14ac:dyDescent="0.2">
      <c r="A1859" s="1"/>
      <c r="B1859" s="2" t="s">
        <v>45</v>
      </c>
      <c r="C1859" s="3" t="s">
        <v>1891</v>
      </c>
      <c r="D1859" s="3" t="s">
        <v>1068</v>
      </c>
      <c r="E1859" s="3" t="s">
        <v>676</v>
      </c>
      <c r="F1859" s="3" t="s">
        <v>1892</v>
      </c>
      <c r="G1859" s="3" t="s">
        <v>1893</v>
      </c>
      <c r="H1859" s="4"/>
      <c r="I1859" s="4">
        <f t="shared" si="163"/>
        <v>0</v>
      </c>
      <c r="J1859" s="4"/>
      <c r="K1859" s="4">
        <f t="shared" si="150"/>
        <v>0</v>
      </c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 spans="1:26" ht="15.75" customHeight="1" x14ac:dyDescent="0.2">
      <c r="A1860" s="1"/>
      <c r="B1860" s="2" t="s">
        <v>26</v>
      </c>
      <c r="C1860" s="3" t="s">
        <v>1894</v>
      </c>
      <c r="D1860" s="3" t="s">
        <v>309</v>
      </c>
      <c r="E1860" s="3" t="s">
        <v>637</v>
      </c>
      <c r="F1860" s="3" t="s">
        <v>1895</v>
      </c>
      <c r="G1860" s="3" t="s">
        <v>1893</v>
      </c>
      <c r="H1860" s="4"/>
      <c r="I1860" s="4">
        <f t="shared" si="163"/>
        <v>0</v>
      </c>
      <c r="J1860" s="4"/>
      <c r="K1860" s="4">
        <f t="shared" si="150"/>
        <v>0</v>
      </c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 spans="1:26" ht="15.75" customHeight="1" x14ac:dyDescent="0.2">
      <c r="A1861" s="1"/>
      <c r="B1861" s="2" t="s">
        <v>71</v>
      </c>
      <c r="C1861" s="3" t="s">
        <v>57</v>
      </c>
      <c r="D1861" s="3" t="s">
        <v>554</v>
      </c>
      <c r="E1861" s="3" t="s">
        <v>87</v>
      </c>
      <c r="F1861" s="3" t="s">
        <v>1895</v>
      </c>
      <c r="G1861" s="3" t="s">
        <v>1893</v>
      </c>
      <c r="H1861" s="4"/>
      <c r="I1861" s="4">
        <f t="shared" si="163"/>
        <v>0</v>
      </c>
      <c r="J1861" s="4"/>
      <c r="K1861" s="4">
        <f t="shared" si="150"/>
        <v>0</v>
      </c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 spans="1:26" ht="15.75" customHeight="1" x14ac:dyDescent="0.2">
      <c r="A1862" s="1"/>
      <c r="B1862" s="2" t="s">
        <v>45</v>
      </c>
      <c r="C1862" s="3" t="s">
        <v>1896</v>
      </c>
      <c r="D1862" s="3" t="s">
        <v>1897</v>
      </c>
      <c r="E1862" s="3" t="s">
        <v>306</v>
      </c>
      <c r="F1862" s="3" t="s">
        <v>1898</v>
      </c>
      <c r="G1862" s="3" t="s">
        <v>1893</v>
      </c>
      <c r="H1862" s="4"/>
      <c r="I1862" s="4">
        <f t="shared" si="163"/>
        <v>0</v>
      </c>
      <c r="J1862" s="4"/>
      <c r="K1862" s="4">
        <f t="shared" si="150"/>
        <v>0</v>
      </c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 spans="1:26" ht="15.75" customHeight="1" x14ac:dyDescent="0.2">
      <c r="A1863" s="1"/>
      <c r="B1863" s="2" t="s">
        <v>114</v>
      </c>
      <c r="C1863" s="3" t="s">
        <v>1899</v>
      </c>
      <c r="D1863" s="3" t="s">
        <v>124</v>
      </c>
      <c r="E1863" s="3" t="s">
        <v>87</v>
      </c>
      <c r="F1863" s="3" t="s">
        <v>1900</v>
      </c>
      <c r="G1863" s="3" t="s">
        <v>1893</v>
      </c>
      <c r="H1863" s="4"/>
      <c r="I1863" s="4">
        <f t="shared" si="163"/>
        <v>0</v>
      </c>
      <c r="J1863" s="4"/>
      <c r="K1863" s="4">
        <f t="shared" si="150"/>
        <v>0</v>
      </c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 spans="1:26" ht="15.75" customHeight="1" x14ac:dyDescent="0.2">
      <c r="A1864" s="1"/>
      <c r="B1864" s="2" t="s">
        <v>46</v>
      </c>
      <c r="C1864" s="3" t="s">
        <v>1901</v>
      </c>
      <c r="D1864" s="3" t="s">
        <v>39</v>
      </c>
      <c r="E1864" s="3" t="s">
        <v>32</v>
      </c>
      <c r="F1864" s="3" t="s">
        <v>1902</v>
      </c>
      <c r="G1864" s="3" t="s">
        <v>1893</v>
      </c>
      <c r="H1864" s="4"/>
      <c r="I1864" s="4">
        <f t="shared" si="163"/>
        <v>0</v>
      </c>
      <c r="J1864" s="4"/>
      <c r="K1864" s="4">
        <f t="shared" si="150"/>
        <v>0</v>
      </c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 spans="1:26" ht="15.75" customHeight="1" x14ac:dyDescent="0.2">
      <c r="A1865" s="1"/>
      <c r="B1865" s="2" t="s">
        <v>45</v>
      </c>
      <c r="C1865" s="3" t="s">
        <v>1901</v>
      </c>
      <c r="D1865" s="3" t="s">
        <v>39</v>
      </c>
      <c r="E1865" s="3" t="s">
        <v>32</v>
      </c>
      <c r="F1865" s="3" t="s">
        <v>1902</v>
      </c>
      <c r="G1865" s="3" t="s">
        <v>1893</v>
      </c>
      <c r="H1865" s="4"/>
      <c r="I1865" s="4">
        <f t="shared" si="163"/>
        <v>0</v>
      </c>
      <c r="J1865" s="4"/>
      <c r="K1865" s="4">
        <f t="shared" si="150"/>
        <v>0</v>
      </c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 spans="1:26" ht="15.75" customHeight="1" x14ac:dyDescent="0.2">
      <c r="A1866" s="1"/>
      <c r="B1866" s="2" t="s">
        <v>80</v>
      </c>
      <c r="C1866" s="3" t="s">
        <v>1444</v>
      </c>
      <c r="D1866" s="3" t="s">
        <v>600</v>
      </c>
      <c r="E1866" s="3" t="s">
        <v>348</v>
      </c>
      <c r="F1866" s="3" t="s">
        <v>1902</v>
      </c>
      <c r="G1866" s="3" t="s">
        <v>1893</v>
      </c>
      <c r="H1866" s="4"/>
      <c r="I1866" s="4">
        <f t="shared" si="163"/>
        <v>0</v>
      </c>
      <c r="J1866" s="4"/>
      <c r="K1866" s="4">
        <f t="shared" si="150"/>
        <v>0</v>
      </c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 spans="1:26" ht="15.75" customHeight="1" x14ac:dyDescent="0.2">
      <c r="A1867" s="1">
        <v>247</v>
      </c>
      <c r="B1867" s="13" t="s">
        <v>178</v>
      </c>
      <c r="C1867" s="14" t="s">
        <v>1903</v>
      </c>
      <c r="D1867" s="14" t="s">
        <v>1904</v>
      </c>
      <c r="E1867" s="14" t="s">
        <v>1905</v>
      </c>
      <c r="F1867" s="14" t="s">
        <v>1906</v>
      </c>
      <c r="G1867" s="14" t="s">
        <v>1893</v>
      </c>
      <c r="H1867" s="4"/>
      <c r="I1867" s="4">
        <f t="shared" ref="I1867:I1891" si="164">H1867*2300</f>
        <v>0</v>
      </c>
      <c r="J1867" s="4"/>
      <c r="K1867" s="4">
        <f t="shared" si="150"/>
        <v>0</v>
      </c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 spans="1:26" ht="15.75" customHeight="1" x14ac:dyDescent="0.2">
      <c r="A1868" s="1">
        <v>133</v>
      </c>
      <c r="B1868" s="13" t="s">
        <v>504</v>
      </c>
      <c r="C1868" s="14" t="s">
        <v>1907</v>
      </c>
      <c r="D1868" s="14" t="s">
        <v>309</v>
      </c>
      <c r="E1868" s="14" t="s">
        <v>125</v>
      </c>
      <c r="F1868" s="14" t="s">
        <v>1908</v>
      </c>
      <c r="G1868" s="14" t="s">
        <v>1909</v>
      </c>
      <c r="H1868" s="4"/>
      <c r="I1868" s="4">
        <f t="shared" si="164"/>
        <v>0</v>
      </c>
      <c r="J1868" s="4"/>
      <c r="K1868" s="4">
        <f t="shared" si="150"/>
        <v>0</v>
      </c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 spans="1:26" ht="15.75" customHeight="1" x14ac:dyDescent="0.2">
      <c r="A1869" s="1">
        <v>223</v>
      </c>
      <c r="B1869" s="13" t="s">
        <v>946</v>
      </c>
      <c r="C1869" s="14" t="s">
        <v>1910</v>
      </c>
      <c r="D1869" s="14" t="s">
        <v>1461</v>
      </c>
      <c r="E1869" s="14" t="s">
        <v>1911</v>
      </c>
      <c r="F1869" s="14" t="s">
        <v>1908</v>
      </c>
      <c r="G1869" s="14" t="s">
        <v>1909</v>
      </c>
      <c r="H1869" s="4"/>
      <c r="I1869" s="4">
        <f t="shared" si="164"/>
        <v>0</v>
      </c>
      <c r="J1869" s="4"/>
      <c r="K1869" s="4">
        <f t="shared" si="150"/>
        <v>0</v>
      </c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 spans="1:26" ht="15.75" customHeight="1" x14ac:dyDescent="0.2">
      <c r="A1870" s="1">
        <v>225</v>
      </c>
      <c r="B1870" s="13" t="s">
        <v>946</v>
      </c>
      <c r="C1870" s="14" t="s">
        <v>1912</v>
      </c>
      <c r="D1870" s="14" t="s">
        <v>1234</v>
      </c>
      <c r="E1870" s="14" t="s">
        <v>1913</v>
      </c>
      <c r="F1870" s="14" t="s">
        <v>1908</v>
      </c>
      <c r="G1870" s="14" t="s">
        <v>1909</v>
      </c>
      <c r="H1870" s="4"/>
      <c r="I1870" s="4">
        <f t="shared" si="164"/>
        <v>0</v>
      </c>
      <c r="J1870" s="4"/>
      <c r="K1870" s="4">
        <f t="shared" si="150"/>
        <v>0</v>
      </c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 spans="1:26" ht="15.75" customHeight="1" x14ac:dyDescent="0.2">
      <c r="A1871" s="1">
        <v>943</v>
      </c>
      <c r="B1871" s="13" t="s">
        <v>709</v>
      </c>
      <c r="C1871" s="14" t="s">
        <v>1914</v>
      </c>
      <c r="D1871" s="14" t="s">
        <v>1436</v>
      </c>
      <c r="E1871" s="14" t="s">
        <v>52</v>
      </c>
      <c r="F1871" s="14" t="s">
        <v>1908</v>
      </c>
      <c r="G1871" s="14" t="s">
        <v>1909</v>
      </c>
      <c r="H1871" s="4"/>
      <c r="I1871" s="4">
        <f t="shared" si="164"/>
        <v>0</v>
      </c>
      <c r="J1871" s="4"/>
      <c r="K1871" s="4">
        <f t="shared" si="150"/>
        <v>0</v>
      </c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 spans="1:26" ht="15.75" customHeight="1" x14ac:dyDescent="0.2">
      <c r="A1872" s="1">
        <v>1053</v>
      </c>
      <c r="B1872" s="13" t="s">
        <v>464</v>
      </c>
      <c r="C1872" s="14" t="s">
        <v>1907</v>
      </c>
      <c r="D1872" s="14" t="s">
        <v>309</v>
      </c>
      <c r="E1872" s="14" t="s">
        <v>125</v>
      </c>
      <c r="F1872" s="14" t="s">
        <v>1908</v>
      </c>
      <c r="G1872" s="14" t="s">
        <v>1909</v>
      </c>
      <c r="H1872" s="4"/>
      <c r="I1872" s="4">
        <f t="shared" si="164"/>
        <v>0</v>
      </c>
      <c r="J1872" s="4"/>
      <c r="K1872" s="4">
        <f t="shared" si="150"/>
        <v>0</v>
      </c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 spans="1:26" ht="15.75" customHeight="1" x14ac:dyDescent="0.2">
      <c r="A1873" s="1">
        <v>1255</v>
      </c>
      <c r="B1873" s="13" t="s">
        <v>699</v>
      </c>
      <c r="C1873" s="14" t="s">
        <v>1912</v>
      </c>
      <c r="D1873" s="14" t="s">
        <v>1234</v>
      </c>
      <c r="E1873" s="14" t="s">
        <v>1913</v>
      </c>
      <c r="F1873" s="14" t="s">
        <v>1908</v>
      </c>
      <c r="G1873" s="14" t="s">
        <v>1909</v>
      </c>
      <c r="H1873" s="4"/>
      <c r="I1873" s="4">
        <f t="shared" si="164"/>
        <v>0</v>
      </c>
      <c r="J1873" s="4"/>
      <c r="K1873" s="4">
        <f t="shared" si="150"/>
        <v>0</v>
      </c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 spans="1:26" ht="15.75" customHeight="1" x14ac:dyDescent="0.2">
      <c r="A1874" s="1">
        <v>1289</v>
      </c>
      <c r="B1874" s="13" t="s">
        <v>453</v>
      </c>
      <c r="C1874" s="14" t="s">
        <v>1915</v>
      </c>
      <c r="D1874" s="14" t="s">
        <v>1916</v>
      </c>
      <c r="E1874" s="14" t="s">
        <v>478</v>
      </c>
      <c r="F1874" s="14" t="s">
        <v>1908</v>
      </c>
      <c r="G1874" s="14" t="s">
        <v>1909</v>
      </c>
      <c r="H1874" s="4"/>
      <c r="I1874" s="4">
        <f t="shared" si="164"/>
        <v>0</v>
      </c>
      <c r="J1874" s="4"/>
      <c r="K1874" s="4">
        <f t="shared" si="150"/>
        <v>0</v>
      </c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 spans="1:26" ht="15.75" customHeight="1" x14ac:dyDescent="0.2">
      <c r="A1875" s="1">
        <v>1317</v>
      </c>
      <c r="B1875" s="13" t="s">
        <v>936</v>
      </c>
      <c r="C1875" s="14" t="s">
        <v>1910</v>
      </c>
      <c r="D1875" s="14" t="s">
        <v>1461</v>
      </c>
      <c r="E1875" s="14" t="s">
        <v>1911</v>
      </c>
      <c r="F1875" s="14" t="s">
        <v>1908</v>
      </c>
      <c r="G1875" s="14" t="s">
        <v>1909</v>
      </c>
      <c r="H1875" s="4"/>
      <c r="I1875" s="4">
        <f t="shared" si="164"/>
        <v>0</v>
      </c>
      <c r="J1875" s="4"/>
      <c r="K1875" s="4">
        <f t="shared" si="150"/>
        <v>0</v>
      </c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 spans="1:26" ht="15.75" customHeight="1" x14ac:dyDescent="0.2">
      <c r="A1876" s="1">
        <v>2079</v>
      </c>
      <c r="B1876" s="13" t="s">
        <v>653</v>
      </c>
      <c r="C1876" s="14" t="s">
        <v>1907</v>
      </c>
      <c r="D1876" s="14" t="s">
        <v>309</v>
      </c>
      <c r="E1876" s="14" t="s">
        <v>125</v>
      </c>
      <c r="F1876" s="14" t="s">
        <v>1908</v>
      </c>
      <c r="G1876" s="14" t="s">
        <v>1909</v>
      </c>
      <c r="H1876" s="4"/>
      <c r="I1876" s="4">
        <f t="shared" si="164"/>
        <v>0</v>
      </c>
      <c r="J1876" s="4"/>
      <c r="K1876" s="4">
        <f t="shared" si="150"/>
        <v>0</v>
      </c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 spans="1:26" ht="15.75" customHeight="1" x14ac:dyDescent="0.2">
      <c r="A1877" s="1">
        <v>2123</v>
      </c>
      <c r="B1877" s="13" t="s">
        <v>280</v>
      </c>
      <c r="C1877" s="14" t="s">
        <v>1912</v>
      </c>
      <c r="D1877" s="14" t="s">
        <v>1234</v>
      </c>
      <c r="E1877" s="14" t="s">
        <v>1913</v>
      </c>
      <c r="F1877" s="14" t="s">
        <v>1908</v>
      </c>
      <c r="G1877" s="14" t="s">
        <v>1909</v>
      </c>
      <c r="H1877" s="4"/>
      <c r="I1877" s="4">
        <f t="shared" si="164"/>
        <v>0</v>
      </c>
      <c r="J1877" s="4"/>
      <c r="K1877" s="4">
        <f t="shared" si="150"/>
        <v>0</v>
      </c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 spans="1:26" ht="15.75" customHeight="1" x14ac:dyDescent="0.2">
      <c r="A1878" s="1">
        <v>2125</v>
      </c>
      <c r="B1878" s="13" t="s">
        <v>280</v>
      </c>
      <c r="C1878" s="14" t="s">
        <v>1915</v>
      </c>
      <c r="D1878" s="14" t="s">
        <v>1916</v>
      </c>
      <c r="E1878" s="14" t="s">
        <v>478</v>
      </c>
      <c r="F1878" s="14" t="s">
        <v>1908</v>
      </c>
      <c r="G1878" s="14" t="s">
        <v>1909</v>
      </c>
      <c r="H1878" s="4"/>
      <c r="I1878" s="4">
        <f t="shared" si="164"/>
        <v>0</v>
      </c>
      <c r="J1878" s="4"/>
      <c r="K1878" s="4">
        <f t="shared" si="150"/>
        <v>0</v>
      </c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 spans="1:26" ht="15.75" customHeight="1" x14ac:dyDescent="0.2">
      <c r="A1879" s="1">
        <v>2635</v>
      </c>
      <c r="B1879" s="13" t="s">
        <v>702</v>
      </c>
      <c r="C1879" s="14" t="s">
        <v>1914</v>
      </c>
      <c r="D1879" s="14" t="s">
        <v>1436</v>
      </c>
      <c r="E1879" s="14" t="s">
        <v>52</v>
      </c>
      <c r="F1879" s="14" t="s">
        <v>1908</v>
      </c>
      <c r="G1879" s="14" t="s">
        <v>1909</v>
      </c>
      <c r="H1879" s="4"/>
      <c r="I1879" s="4">
        <f t="shared" si="164"/>
        <v>0</v>
      </c>
      <c r="J1879" s="4"/>
      <c r="K1879" s="4">
        <f t="shared" si="150"/>
        <v>0</v>
      </c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 spans="1:26" ht="15.75" customHeight="1" x14ac:dyDescent="0.2">
      <c r="A1880" s="1">
        <v>375</v>
      </c>
      <c r="B1880" s="13" t="s">
        <v>246</v>
      </c>
      <c r="C1880" s="14" t="s">
        <v>1917</v>
      </c>
      <c r="D1880" s="14" t="s">
        <v>494</v>
      </c>
      <c r="E1880" s="14" t="s">
        <v>1490</v>
      </c>
      <c r="F1880" s="14" t="s">
        <v>1918</v>
      </c>
      <c r="G1880" s="14" t="s">
        <v>1909</v>
      </c>
      <c r="H1880" s="4">
        <v>30</v>
      </c>
      <c r="I1880" s="4">
        <f t="shared" si="164"/>
        <v>69000</v>
      </c>
      <c r="J1880" s="4">
        <v>5</v>
      </c>
      <c r="K1880" s="4">
        <f t="shared" si="150"/>
        <v>20000</v>
      </c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 spans="1:26" ht="15.75" customHeight="1" x14ac:dyDescent="0.2">
      <c r="A1881" s="1">
        <v>1871</v>
      </c>
      <c r="B1881" s="13" t="s">
        <v>711</v>
      </c>
      <c r="C1881" s="14" t="s">
        <v>1917</v>
      </c>
      <c r="D1881" s="14" t="s">
        <v>494</v>
      </c>
      <c r="E1881" s="14" t="s">
        <v>1490</v>
      </c>
      <c r="F1881" s="14" t="s">
        <v>1918</v>
      </c>
      <c r="G1881" s="14" t="s">
        <v>1909</v>
      </c>
      <c r="H1881" s="4"/>
      <c r="I1881" s="4">
        <f t="shared" si="164"/>
        <v>0</v>
      </c>
      <c r="J1881" s="4"/>
      <c r="K1881" s="4">
        <f t="shared" si="150"/>
        <v>0</v>
      </c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 spans="1:26" ht="15.75" customHeight="1" x14ac:dyDescent="0.2">
      <c r="A1882" s="1">
        <v>423</v>
      </c>
      <c r="B1882" s="13" t="s">
        <v>672</v>
      </c>
      <c r="C1882" s="14" t="s">
        <v>1919</v>
      </c>
      <c r="D1882" s="14" t="s">
        <v>104</v>
      </c>
      <c r="E1882" s="14" t="s">
        <v>1492</v>
      </c>
      <c r="F1882" s="14" t="s">
        <v>1918</v>
      </c>
      <c r="G1882" s="14" t="s">
        <v>1909</v>
      </c>
      <c r="H1882" s="4"/>
      <c r="I1882" s="4">
        <f t="shared" si="164"/>
        <v>0</v>
      </c>
      <c r="J1882" s="4"/>
      <c r="K1882" s="4">
        <f t="shared" si="150"/>
        <v>0</v>
      </c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 spans="1:26" ht="15.75" customHeight="1" x14ac:dyDescent="0.2">
      <c r="A1883" s="1">
        <v>959</v>
      </c>
      <c r="B1883" s="13" t="s">
        <v>698</v>
      </c>
      <c r="C1883" s="14" t="s">
        <v>1919</v>
      </c>
      <c r="D1883" s="14" t="s">
        <v>104</v>
      </c>
      <c r="E1883" s="14" t="s">
        <v>1492</v>
      </c>
      <c r="F1883" s="14" t="s">
        <v>1918</v>
      </c>
      <c r="G1883" s="14" t="s">
        <v>1909</v>
      </c>
      <c r="H1883" s="4"/>
      <c r="I1883" s="4">
        <f t="shared" si="164"/>
        <v>0</v>
      </c>
      <c r="J1883" s="4"/>
      <c r="K1883" s="4">
        <f t="shared" si="150"/>
        <v>0</v>
      </c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 spans="1:26" ht="15.75" customHeight="1" x14ac:dyDescent="0.2">
      <c r="A1884" s="1">
        <v>637</v>
      </c>
      <c r="B1884" s="13" t="s">
        <v>248</v>
      </c>
      <c r="C1884" s="14" t="s">
        <v>1920</v>
      </c>
      <c r="D1884" s="14" t="s">
        <v>1522</v>
      </c>
      <c r="E1884" s="14" t="s">
        <v>1411</v>
      </c>
      <c r="F1884" s="14" t="s">
        <v>1918</v>
      </c>
      <c r="G1884" s="14" t="s">
        <v>1909</v>
      </c>
      <c r="H1884" s="4"/>
      <c r="I1884" s="4">
        <f t="shared" si="164"/>
        <v>0</v>
      </c>
      <c r="J1884" s="4"/>
      <c r="K1884" s="4">
        <f t="shared" si="150"/>
        <v>0</v>
      </c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 spans="1:26" ht="15.75" customHeight="1" x14ac:dyDescent="0.2">
      <c r="A1885" s="1">
        <v>1553</v>
      </c>
      <c r="B1885" s="13" t="s">
        <v>377</v>
      </c>
      <c r="C1885" s="14" t="s">
        <v>1920</v>
      </c>
      <c r="D1885" s="14" t="s">
        <v>1522</v>
      </c>
      <c r="E1885" s="14" t="s">
        <v>1411</v>
      </c>
      <c r="F1885" s="14" t="s">
        <v>1918</v>
      </c>
      <c r="G1885" s="14" t="s">
        <v>1909</v>
      </c>
      <c r="H1885" s="4"/>
      <c r="I1885" s="4">
        <f t="shared" si="164"/>
        <v>0</v>
      </c>
      <c r="J1885" s="4"/>
      <c r="K1885" s="4">
        <f t="shared" si="150"/>
        <v>0</v>
      </c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 spans="1:26" ht="15.75" customHeight="1" x14ac:dyDescent="0.2">
      <c r="A1886" s="1">
        <v>247</v>
      </c>
      <c r="B1886" s="13" t="s">
        <v>243</v>
      </c>
      <c r="C1886" s="14" t="s">
        <v>1921</v>
      </c>
      <c r="D1886" s="14" t="s">
        <v>1453</v>
      </c>
      <c r="E1886" s="14" t="s">
        <v>902</v>
      </c>
      <c r="F1886" s="14" t="s">
        <v>1918</v>
      </c>
      <c r="G1886" s="14" t="s">
        <v>1909</v>
      </c>
      <c r="H1886" s="4"/>
      <c r="I1886" s="4">
        <f t="shared" si="164"/>
        <v>0</v>
      </c>
      <c r="J1886" s="4"/>
      <c r="K1886" s="4">
        <f t="shared" si="150"/>
        <v>0</v>
      </c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 spans="1:26" ht="15.75" customHeight="1" x14ac:dyDescent="0.2">
      <c r="A1887" s="1">
        <v>1227</v>
      </c>
      <c r="B1887" s="13" t="s">
        <v>699</v>
      </c>
      <c r="C1887" s="14" t="s">
        <v>1921</v>
      </c>
      <c r="D1887" s="14" t="s">
        <v>1453</v>
      </c>
      <c r="E1887" s="14" t="s">
        <v>902</v>
      </c>
      <c r="F1887" s="14" t="s">
        <v>1918</v>
      </c>
      <c r="G1887" s="14" t="s">
        <v>1909</v>
      </c>
      <c r="H1887" s="4"/>
      <c r="I1887" s="4">
        <f t="shared" si="164"/>
        <v>0</v>
      </c>
      <c r="J1887" s="4"/>
      <c r="K1887" s="4">
        <f t="shared" si="150"/>
        <v>0</v>
      </c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 spans="1:26" ht="15.75" customHeight="1" x14ac:dyDescent="0.2">
      <c r="A1888" s="25">
        <v>1605</v>
      </c>
      <c r="B1888" s="26" t="s">
        <v>264</v>
      </c>
      <c r="C1888" s="27" t="s">
        <v>1921</v>
      </c>
      <c r="D1888" s="27" t="s">
        <v>203</v>
      </c>
      <c r="E1888" s="27" t="s">
        <v>902</v>
      </c>
      <c r="F1888" s="27" t="s">
        <v>1918</v>
      </c>
      <c r="G1888" s="27" t="s">
        <v>1909</v>
      </c>
      <c r="H1888" s="24"/>
      <c r="I1888" s="24">
        <f t="shared" si="164"/>
        <v>0</v>
      </c>
      <c r="J1888" s="24"/>
      <c r="K1888" s="24">
        <f t="shared" si="150"/>
        <v>0</v>
      </c>
      <c r="L1888" s="28" t="s">
        <v>1922</v>
      </c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</row>
    <row r="1889" spans="1:26" ht="15.75" customHeight="1" x14ac:dyDescent="0.2">
      <c r="A1889" s="1">
        <v>2775</v>
      </c>
      <c r="B1889" s="13" t="s">
        <v>623</v>
      </c>
      <c r="C1889" s="14" t="s">
        <v>1921</v>
      </c>
      <c r="D1889" s="14" t="s">
        <v>203</v>
      </c>
      <c r="E1889" s="14" t="s">
        <v>902</v>
      </c>
      <c r="F1889" s="14" t="s">
        <v>1918</v>
      </c>
      <c r="G1889" s="14" t="s">
        <v>1909</v>
      </c>
      <c r="H1889" s="4"/>
      <c r="I1889" s="4">
        <f t="shared" si="164"/>
        <v>0</v>
      </c>
      <c r="J1889" s="4"/>
      <c r="K1889" s="4">
        <f t="shared" si="150"/>
        <v>0</v>
      </c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 spans="1:26" ht="15.75" customHeight="1" x14ac:dyDescent="0.2">
      <c r="A1890" s="1">
        <v>2917</v>
      </c>
      <c r="B1890" s="13" t="s">
        <v>722</v>
      </c>
      <c r="C1890" s="14" t="s">
        <v>1921</v>
      </c>
      <c r="D1890" s="14" t="s">
        <v>1453</v>
      </c>
      <c r="E1890" s="14" t="s">
        <v>902</v>
      </c>
      <c r="F1890" s="14" t="s">
        <v>1918</v>
      </c>
      <c r="G1890" s="14" t="s">
        <v>1909</v>
      </c>
      <c r="H1890" s="4"/>
      <c r="I1890" s="4">
        <f t="shared" si="164"/>
        <v>0</v>
      </c>
      <c r="J1890" s="4"/>
      <c r="K1890" s="4">
        <f t="shared" si="150"/>
        <v>0</v>
      </c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 spans="1:26" ht="15.75" customHeight="1" x14ac:dyDescent="0.2">
      <c r="A1891" s="20">
        <v>3001</v>
      </c>
      <c r="B1891" s="21" t="s">
        <v>290</v>
      </c>
      <c r="C1891" s="22" t="s">
        <v>1921</v>
      </c>
      <c r="D1891" s="22" t="s">
        <v>203</v>
      </c>
      <c r="E1891" s="22" t="s">
        <v>902</v>
      </c>
      <c r="F1891" s="14" t="s">
        <v>1918</v>
      </c>
      <c r="G1891" s="14" t="s">
        <v>1909</v>
      </c>
      <c r="H1891" s="4"/>
      <c r="I1891" s="4">
        <f t="shared" si="164"/>
        <v>0</v>
      </c>
      <c r="J1891" s="4"/>
      <c r="K1891" s="4">
        <f t="shared" si="150"/>
        <v>0</v>
      </c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 spans="1:26" ht="15.75" customHeight="1" x14ac:dyDescent="0.2">
      <c r="A1892" s="1"/>
      <c r="B1892" s="2" t="s">
        <v>118</v>
      </c>
      <c r="C1892" s="3" t="s">
        <v>1923</v>
      </c>
      <c r="D1892" s="3" t="s">
        <v>1924</v>
      </c>
      <c r="E1892" s="3" t="s">
        <v>1925</v>
      </c>
      <c r="F1892" s="3" t="s">
        <v>1918</v>
      </c>
      <c r="G1892" s="3" t="s">
        <v>1909</v>
      </c>
      <c r="H1892" s="4"/>
      <c r="I1892" s="4">
        <f t="shared" ref="I1892:I1893" si="165">H1892*1800</f>
        <v>0</v>
      </c>
      <c r="J1892" s="4"/>
      <c r="K1892" s="4">
        <f t="shared" si="150"/>
        <v>0</v>
      </c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 spans="1:26" ht="15.75" customHeight="1" x14ac:dyDescent="0.2">
      <c r="A1893" s="1"/>
      <c r="B1893" s="2" t="s">
        <v>94</v>
      </c>
      <c r="C1893" s="3" t="s">
        <v>1923</v>
      </c>
      <c r="D1893" s="3" t="s">
        <v>1924</v>
      </c>
      <c r="E1893" s="3" t="s">
        <v>1925</v>
      </c>
      <c r="F1893" s="3" t="s">
        <v>1918</v>
      </c>
      <c r="G1893" s="3" t="s">
        <v>1909</v>
      </c>
      <c r="H1893" s="4"/>
      <c r="I1893" s="4">
        <f t="shared" si="165"/>
        <v>0</v>
      </c>
      <c r="J1893" s="4"/>
      <c r="K1893" s="4">
        <f t="shared" si="150"/>
        <v>0</v>
      </c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 spans="1:26" ht="15.75" customHeight="1" x14ac:dyDescent="0.2">
      <c r="A1894" s="1">
        <v>613</v>
      </c>
      <c r="B1894" s="13" t="s">
        <v>428</v>
      </c>
      <c r="C1894" s="14" t="s">
        <v>1926</v>
      </c>
      <c r="D1894" s="14" t="s">
        <v>1595</v>
      </c>
      <c r="E1894" s="14" t="s">
        <v>1927</v>
      </c>
      <c r="F1894" s="14" t="s">
        <v>1918</v>
      </c>
      <c r="G1894" s="14" t="s">
        <v>1909</v>
      </c>
      <c r="H1894" s="4"/>
      <c r="I1894" s="4">
        <f t="shared" ref="I1894:I1912" si="166">H1894*2300</f>
        <v>0</v>
      </c>
      <c r="J1894" s="4"/>
      <c r="K1894" s="4">
        <f t="shared" si="150"/>
        <v>0</v>
      </c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 spans="1:26" ht="15.75" customHeight="1" x14ac:dyDescent="0.2">
      <c r="A1895" s="1">
        <v>1583</v>
      </c>
      <c r="B1895" s="13" t="s">
        <v>585</v>
      </c>
      <c r="C1895" s="14" t="s">
        <v>1926</v>
      </c>
      <c r="D1895" s="14" t="s">
        <v>1595</v>
      </c>
      <c r="E1895" s="14" t="s">
        <v>1927</v>
      </c>
      <c r="F1895" s="14" t="s">
        <v>1918</v>
      </c>
      <c r="G1895" s="14" t="s">
        <v>1909</v>
      </c>
      <c r="H1895" s="4"/>
      <c r="I1895" s="4">
        <f t="shared" si="166"/>
        <v>0</v>
      </c>
      <c r="J1895" s="4"/>
      <c r="K1895" s="4">
        <f t="shared" si="150"/>
        <v>0</v>
      </c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 spans="1:26" ht="15.75" customHeight="1" x14ac:dyDescent="0.2">
      <c r="A1896" s="1">
        <v>1359</v>
      </c>
      <c r="B1896" s="13" t="s">
        <v>601</v>
      </c>
      <c r="C1896" s="14" t="s">
        <v>1928</v>
      </c>
      <c r="D1896" s="14" t="s">
        <v>1461</v>
      </c>
      <c r="E1896" s="14" t="s">
        <v>1274</v>
      </c>
      <c r="F1896" s="14" t="s">
        <v>1918</v>
      </c>
      <c r="G1896" s="14" t="s">
        <v>1909</v>
      </c>
      <c r="H1896" s="4"/>
      <c r="I1896" s="4">
        <f t="shared" si="166"/>
        <v>0</v>
      </c>
      <c r="J1896" s="4"/>
      <c r="K1896" s="4">
        <f t="shared" si="150"/>
        <v>0</v>
      </c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 spans="1:26" ht="15.75" customHeight="1" x14ac:dyDescent="0.2">
      <c r="A1897" s="1">
        <v>2685</v>
      </c>
      <c r="B1897" s="13" t="s">
        <v>1098</v>
      </c>
      <c r="C1897" s="14" t="s">
        <v>1928</v>
      </c>
      <c r="D1897" s="14" t="s">
        <v>1461</v>
      </c>
      <c r="E1897" s="14" t="s">
        <v>1274</v>
      </c>
      <c r="F1897" s="14" t="s">
        <v>1918</v>
      </c>
      <c r="G1897" s="14" t="s">
        <v>1909</v>
      </c>
      <c r="H1897" s="4"/>
      <c r="I1897" s="4">
        <f t="shared" si="166"/>
        <v>0</v>
      </c>
      <c r="J1897" s="4"/>
      <c r="K1897" s="4">
        <f t="shared" si="150"/>
        <v>0</v>
      </c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 spans="1:26" ht="15.75" customHeight="1" x14ac:dyDescent="0.2">
      <c r="A1898" s="1">
        <v>79</v>
      </c>
      <c r="B1898" s="13" t="s">
        <v>1301</v>
      </c>
      <c r="C1898" s="14" t="s">
        <v>1929</v>
      </c>
      <c r="D1898" s="14" t="s">
        <v>186</v>
      </c>
      <c r="E1898" s="14" t="s">
        <v>306</v>
      </c>
      <c r="F1898" s="14" t="s">
        <v>1918</v>
      </c>
      <c r="G1898" s="14" t="s">
        <v>1909</v>
      </c>
      <c r="H1898" s="4"/>
      <c r="I1898" s="4">
        <f t="shared" si="166"/>
        <v>0</v>
      </c>
      <c r="J1898" s="4"/>
      <c r="K1898" s="4">
        <f t="shared" si="150"/>
        <v>0</v>
      </c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 spans="1:26" ht="15.75" customHeight="1" x14ac:dyDescent="0.2">
      <c r="A1899" s="1">
        <v>947</v>
      </c>
      <c r="B1899" s="13" t="s">
        <v>709</v>
      </c>
      <c r="C1899" s="14" t="s">
        <v>1929</v>
      </c>
      <c r="D1899" s="14" t="s">
        <v>186</v>
      </c>
      <c r="E1899" s="14" t="s">
        <v>306</v>
      </c>
      <c r="F1899" s="14" t="s">
        <v>1918</v>
      </c>
      <c r="G1899" s="14" t="s">
        <v>1909</v>
      </c>
      <c r="H1899" s="4"/>
      <c r="I1899" s="4">
        <f t="shared" si="166"/>
        <v>0</v>
      </c>
      <c r="J1899" s="4"/>
      <c r="K1899" s="4">
        <f t="shared" si="150"/>
        <v>0</v>
      </c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 spans="1:26" ht="15.75" customHeight="1" x14ac:dyDescent="0.2">
      <c r="A1900" s="1">
        <v>593</v>
      </c>
      <c r="B1900" s="13" t="s">
        <v>428</v>
      </c>
      <c r="C1900" s="14" t="s">
        <v>1930</v>
      </c>
      <c r="D1900" s="14" t="s">
        <v>1931</v>
      </c>
      <c r="E1900" s="14" t="s">
        <v>1619</v>
      </c>
      <c r="F1900" s="14" t="s">
        <v>1918</v>
      </c>
      <c r="G1900" s="14" t="s">
        <v>1909</v>
      </c>
      <c r="H1900" s="4"/>
      <c r="I1900" s="4">
        <f t="shared" si="166"/>
        <v>0</v>
      </c>
      <c r="J1900" s="4"/>
      <c r="K1900" s="4">
        <f t="shared" si="150"/>
        <v>0</v>
      </c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 spans="1:26" ht="15.75" customHeight="1" x14ac:dyDescent="0.2">
      <c r="A1901" s="1">
        <v>2881</v>
      </c>
      <c r="B1901" s="13" t="s">
        <v>378</v>
      </c>
      <c r="C1901" s="14" t="s">
        <v>1930</v>
      </c>
      <c r="D1901" s="14" t="s">
        <v>1931</v>
      </c>
      <c r="E1901" s="14" t="s">
        <v>1619</v>
      </c>
      <c r="F1901" s="14" t="s">
        <v>1918</v>
      </c>
      <c r="G1901" s="14" t="s">
        <v>1909</v>
      </c>
      <c r="H1901" s="4"/>
      <c r="I1901" s="4">
        <f t="shared" si="166"/>
        <v>0</v>
      </c>
      <c r="J1901" s="4"/>
      <c r="K1901" s="4">
        <f t="shared" si="150"/>
        <v>0</v>
      </c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 spans="1:26" ht="15.75" customHeight="1" x14ac:dyDescent="0.2">
      <c r="A1902" s="1">
        <v>609</v>
      </c>
      <c r="B1902" s="13" t="s">
        <v>428</v>
      </c>
      <c r="C1902" s="14" t="s">
        <v>1932</v>
      </c>
      <c r="D1902" s="14" t="s">
        <v>1933</v>
      </c>
      <c r="E1902" s="14" t="s">
        <v>259</v>
      </c>
      <c r="F1902" s="14" t="s">
        <v>1918</v>
      </c>
      <c r="G1902" s="14" t="s">
        <v>1909</v>
      </c>
      <c r="H1902" s="4"/>
      <c r="I1902" s="4">
        <f t="shared" si="166"/>
        <v>0</v>
      </c>
      <c r="J1902" s="4"/>
      <c r="K1902" s="4">
        <f t="shared" si="150"/>
        <v>0</v>
      </c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 spans="1:26" ht="15.75" customHeight="1" x14ac:dyDescent="0.2">
      <c r="A1903" s="1">
        <v>2587</v>
      </c>
      <c r="B1903" s="13" t="s">
        <v>287</v>
      </c>
      <c r="C1903" s="14" t="s">
        <v>1932</v>
      </c>
      <c r="D1903" s="14" t="s">
        <v>1933</v>
      </c>
      <c r="E1903" s="14" t="s">
        <v>259</v>
      </c>
      <c r="F1903" s="14" t="s">
        <v>1918</v>
      </c>
      <c r="G1903" s="14" t="s">
        <v>1909</v>
      </c>
      <c r="H1903" s="4"/>
      <c r="I1903" s="4">
        <f t="shared" si="166"/>
        <v>0</v>
      </c>
      <c r="J1903" s="4"/>
      <c r="K1903" s="4">
        <f t="shared" si="150"/>
        <v>0</v>
      </c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 spans="1:26" ht="15.75" customHeight="1" x14ac:dyDescent="0.2">
      <c r="A1904" s="1">
        <v>2863</v>
      </c>
      <c r="B1904" s="13" t="s">
        <v>519</v>
      </c>
      <c r="C1904" s="14" t="s">
        <v>1932</v>
      </c>
      <c r="D1904" s="14" t="s">
        <v>1933</v>
      </c>
      <c r="E1904" s="14" t="s">
        <v>259</v>
      </c>
      <c r="F1904" s="14" t="s">
        <v>1918</v>
      </c>
      <c r="G1904" s="14" t="s">
        <v>1909</v>
      </c>
      <c r="H1904" s="4"/>
      <c r="I1904" s="4">
        <f t="shared" si="166"/>
        <v>0</v>
      </c>
      <c r="J1904" s="4"/>
      <c r="K1904" s="4">
        <f t="shared" si="150"/>
        <v>0</v>
      </c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 spans="1:26" ht="15.75" customHeight="1" x14ac:dyDescent="0.2">
      <c r="A1905" s="1">
        <v>1637</v>
      </c>
      <c r="B1905" s="13" t="s">
        <v>267</v>
      </c>
      <c r="C1905" s="14" t="s">
        <v>1934</v>
      </c>
      <c r="D1905" s="14" t="s">
        <v>1627</v>
      </c>
      <c r="E1905" s="14" t="s">
        <v>1935</v>
      </c>
      <c r="F1905" s="14" t="s">
        <v>1918</v>
      </c>
      <c r="G1905" s="14" t="s">
        <v>1909</v>
      </c>
      <c r="H1905" s="4"/>
      <c r="I1905" s="4">
        <f t="shared" si="166"/>
        <v>0</v>
      </c>
      <c r="J1905" s="4"/>
      <c r="K1905" s="4">
        <f t="shared" si="150"/>
        <v>0</v>
      </c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 spans="1:26" ht="15.75" customHeight="1" x14ac:dyDescent="0.2">
      <c r="A1906" s="20">
        <v>3003</v>
      </c>
      <c r="B1906" s="21" t="s">
        <v>290</v>
      </c>
      <c r="C1906" s="22" t="s">
        <v>1934</v>
      </c>
      <c r="D1906" s="22" t="s">
        <v>1627</v>
      </c>
      <c r="E1906" s="22" t="s">
        <v>1935</v>
      </c>
      <c r="F1906" s="14" t="s">
        <v>1918</v>
      </c>
      <c r="G1906" s="14" t="s">
        <v>1909</v>
      </c>
      <c r="H1906" s="4"/>
      <c r="I1906" s="4">
        <f t="shared" si="166"/>
        <v>0</v>
      </c>
      <c r="J1906" s="4"/>
      <c r="K1906" s="4">
        <f t="shared" si="150"/>
        <v>0</v>
      </c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 spans="1:26" ht="15.75" customHeight="1" x14ac:dyDescent="0.2">
      <c r="A1907" s="18">
        <v>1127</v>
      </c>
      <c r="B1907" s="13" t="s">
        <v>449</v>
      </c>
      <c r="C1907" s="14" t="s">
        <v>1936</v>
      </c>
      <c r="D1907" s="14" t="s">
        <v>1937</v>
      </c>
      <c r="E1907" s="14" t="s">
        <v>1408</v>
      </c>
      <c r="F1907" s="14" t="s">
        <v>1918</v>
      </c>
      <c r="G1907" s="14" t="s">
        <v>1909</v>
      </c>
      <c r="H1907" s="4"/>
      <c r="I1907" s="4">
        <f t="shared" si="166"/>
        <v>0</v>
      </c>
      <c r="J1907" s="4"/>
      <c r="K1907" s="4">
        <f t="shared" si="150"/>
        <v>0</v>
      </c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 spans="1:26" ht="15.75" customHeight="1" x14ac:dyDescent="0.2">
      <c r="A1908" s="1">
        <v>2831</v>
      </c>
      <c r="B1908" s="13" t="s">
        <v>518</v>
      </c>
      <c r="C1908" s="14" t="s">
        <v>1936</v>
      </c>
      <c r="D1908" s="14" t="s">
        <v>1937</v>
      </c>
      <c r="E1908" s="14" t="s">
        <v>1408</v>
      </c>
      <c r="F1908" s="14" t="s">
        <v>1918</v>
      </c>
      <c r="G1908" s="14" t="s">
        <v>1909</v>
      </c>
      <c r="H1908" s="4"/>
      <c r="I1908" s="4">
        <f t="shared" si="166"/>
        <v>0</v>
      </c>
      <c r="J1908" s="4"/>
      <c r="K1908" s="4">
        <f t="shared" si="150"/>
        <v>0</v>
      </c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 spans="1:26" ht="15.75" customHeight="1" x14ac:dyDescent="0.2">
      <c r="A1909" s="1">
        <v>437</v>
      </c>
      <c r="B1909" s="13" t="s">
        <v>672</v>
      </c>
      <c r="C1909" s="14" t="s">
        <v>1938</v>
      </c>
      <c r="D1909" s="14" t="s">
        <v>526</v>
      </c>
      <c r="E1909" s="14" t="s">
        <v>314</v>
      </c>
      <c r="F1909" s="14" t="s">
        <v>1918</v>
      </c>
      <c r="G1909" s="14" t="s">
        <v>1909</v>
      </c>
      <c r="H1909" s="4"/>
      <c r="I1909" s="4">
        <f t="shared" si="166"/>
        <v>0</v>
      </c>
      <c r="J1909" s="4"/>
      <c r="K1909" s="4">
        <f t="shared" si="150"/>
        <v>0</v>
      </c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 spans="1:26" ht="15.75" customHeight="1" x14ac:dyDescent="0.2">
      <c r="A1910" s="1">
        <v>977</v>
      </c>
      <c r="B1910" s="13" t="s">
        <v>698</v>
      </c>
      <c r="C1910" s="14" t="s">
        <v>1938</v>
      </c>
      <c r="D1910" s="14" t="s">
        <v>526</v>
      </c>
      <c r="E1910" s="14" t="s">
        <v>314</v>
      </c>
      <c r="F1910" s="14" t="s">
        <v>1918</v>
      </c>
      <c r="G1910" s="14" t="s">
        <v>1909</v>
      </c>
      <c r="H1910" s="4"/>
      <c r="I1910" s="4">
        <f t="shared" si="166"/>
        <v>0</v>
      </c>
      <c r="J1910" s="4"/>
      <c r="K1910" s="4">
        <f t="shared" si="150"/>
        <v>0</v>
      </c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 spans="1:26" ht="15.75" customHeight="1" x14ac:dyDescent="0.2">
      <c r="A1911" s="1">
        <v>2255</v>
      </c>
      <c r="B1911" s="13" t="s">
        <v>627</v>
      </c>
      <c r="C1911" s="14" t="s">
        <v>1938</v>
      </c>
      <c r="D1911" s="14" t="s">
        <v>526</v>
      </c>
      <c r="E1911" s="14" t="s">
        <v>314</v>
      </c>
      <c r="F1911" s="14" t="s">
        <v>1918</v>
      </c>
      <c r="G1911" s="14" t="s">
        <v>1909</v>
      </c>
      <c r="H1911" s="4"/>
      <c r="I1911" s="4">
        <f t="shared" si="166"/>
        <v>0</v>
      </c>
      <c r="J1911" s="4"/>
      <c r="K1911" s="4">
        <f t="shared" si="150"/>
        <v>0</v>
      </c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 spans="1:26" ht="15.75" customHeight="1" x14ac:dyDescent="0.2">
      <c r="A1912" s="1">
        <v>241</v>
      </c>
      <c r="B1912" s="13" t="s">
        <v>178</v>
      </c>
      <c r="C1912" s="14" t="s">
        <v>1939</v>
      </c>
      <c r="D1912" s="14" t="s">
        <v>1385</v>
      </c>
      <c r="E1912" s="14" t="s">
        <v>1940</v>
      </c>
      <c r="F1912" s="14" t="s">
        <v>1941</v>
      </c>
      <c r="G1912" s="14" t="s">
        <v>1909</v>
      </c>
      <c r="H1912" s="4">
        <v>2</v>
      </c>
      <c r="I1912" s="4">
        <f t="shared" si="166"/>
        <v>4600</v>
      </c>
      <c r="J1912" s="4"/>
      <c r="K1912" s="4">
        <f t="shared" si="150"/>
        <v>0</v>
      </c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 spans="1:26" ht="15.75" customHeight="1" x14ac:dyDescent="0.2">
      <c r="A1913" s="1"/>
      <c r="B1913" s="2" t="s">
        <v>45</v>
      </c>
      <c r="C1913" s="3" t="s">
        <v>1939</v>
      </c>
      <c r="D1913" s="3" t="s">
        <v>1385</v>
      </c>
      <c r="E1913" s="3" t="s">
        <v>1940</v>
      </c>
      <c r="F1913" s="3" t="s">
        <v>1941</v>
      </c>
      <c r="G1913" s="3" t="s">
        <v>1909</v>
      </c>
      <c r="H1913" s="4"/>
      <c r="I1913" s="4">
        <f t="shared" ref="I1913:I1919" si="167">H1913*1800</f>
        <v>0</v>
      </c>
      <c r="J1913" s="4"/>
      <c r="K1913" s="4">
        <f t="shared" si="150"/>
        <v>0</v>
      </c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 spans="1:26" ht="15.75" customHeight="1" x14ac:dyDescent="0.2">
      <c r="A1914" s="1"/>
      <c r="B1914" s="2" t="s">
        <v>37</v>
      </c>
      <c r="C1914" s="3" t="s">
        <v>1942</v>
      </c>
      <c r="D1914" s="3" t="s">
        <v>557</v>
      </c>
      <c r="E1914" s="3" t="s">
        <v>393</v>
      </c>
      <c r="F1914" s="3" t="s">
        <v>1941</v>
      </c>
      <c r="G1914" s="3" t="s">
        <v>1909</v>
      </c>
      <c r="H1914" s="4">
        <v>17</v>
      </c>
      <c r="I1914" s="4">
        <f t="shared" si="167"/>
        <v>30600</v>
      </c>
      <c r="J1914" s="4"/>
      <c r="K1914" s="4">
        <f t="shared" si="150"/>
        <v>0</v>
      </c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 spans="1:26" ht="15.75" customHeight="1" x14ac:dyDescent="0.2">
      <c r="A1915" s="1"/>
      <c r="B1915" s="2" t="s">
        <v>45</v>
      </c>
      <c r="C1915" s="3" t="s">
        <v>1942</v>
      </c>
      <c r="D1915" s="3" t="s">
        <v>557</v>
      </c>
      <c r="E1915" s="3" t="s">
        <v>393</v>
      </c>
      <c r="F1915" s="3" t="s">
        <v>1941</v>
      </c>
      <c r="G1915" s="3" t="s">
        <v>1909</v>
      </c>
      <c r="H1915" s="4"/>
      <c r="I1915" s="4">
        <f t="shared" si="167"/>
        <v>0</v>
      </c>
      <c r="J1915" s="4"/>
      <c r="K1915" s="4">
        <f t="shared" si="150"/>
        <v>0</v>
      </c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 spans="1:26" ht="15.75" customHeight="1" x14ac:dyDescent="0.2">
      <c r="A1916" s="1"/>
      <c r="B1916" s="2" t="s">
        <v>80</v>
      </c>
      <c r="C1916" s="3" t="s">
        <v>1943</v>
      </c>
      <c r="D1916" s="3" t="s">
        <v>1439</v>
      </c>
      <c r="E1916" s="3" t="s">
        <v>567</v>
      </c>
      <c r="F1916" s="3" t="s">
        <v>1941</v>
      </c>
      <c r="G1916" s="3" t="s">
        <v>1909</v>
      </c>
      <c r="H1916" s="4"/>
      <c r="I1916" s="4">
        <f t="shared" si="167"/>
        <v>0</v>
      </c>
      <c r="J1916" s="4"/>
      <c r="K1916" s="4">
        <f t="shared" si="150"/>
        <v>0</v>
      </c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 spans="1:26" ht="15.75" customHeight="1" x14ac:dyDescent="0.2">
      <c r="A1917" s="1"/>
      <c r="B1917" s="2" t="s">
        <v>45</v>
      </c>
      <c r="C1917" s="3" t="s">
        <v>1943</v>
      </c>
      <c r="D1917" s="3" t="s">
        <v>1439</v>
      </c>
      <c r="E1917" s="3" t="s">
        <v>567</v>
      </c>
      <c r="F1917" s="3" t="s">
        <v>1941</v>
      </c>
      <c r="G1917" s="3" t="s">
        <v>1909</v>
      </c>
      <c r="H1917" s="4"/>
      <c r="I1917" s="4">
        <f t="shared" si="167"/>
        <v>0</v>
      </c>
      <c r="J1917" s="4"/>
      <c r="K1917" s="4">
        <f t="shared" si="150"/>
        <v>0</v>
      </c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 spans="1:26" ht="15.75" customHeight="1" x14ac:dyDescent="0.2">
      <c r="A1918" s="1"/>
      <c r="B1918" s="2" t="s">
        <v>26</v>
      </c>
      <c r="C1918" s="3" t="s">
        <v>1944</v>
      </c>
      <c r="D1918" s="3" t="s">
        <v>51</v>
      </c>
      <c r="E1918" s="3" t="s">
        <v>567</v>
      </c>
      <c r="F1918" s="3" t="s">
        <v>1941</v>
      </c>
      <c r="G1918" s="3" t="s">
        <v>1909</v>
      </c>
      <c r="H1918" s="4"/>
      <c r="I1918" s="4">
        <f t="shared" si="167"/>
        <v>0</v>
      </c>
      <c r="J1918" s="4"/>
      <c r="K1918" s="4">
        <f t="shared" si="150"/>
        <v>0</v>
      </c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 spans="1:26" ht="15.75" customHeight="1" x14ac:dyDescent="0.2">
      <c r="A1919" s="1"/>
      <c r="B1919" s="2" t="s">
        <v>80</v>
      </c>
      <c r="C1919" s="3" t="s">
        <v>858</v>
      </c>
      <c r="D1919" s="3" t="s">
        <v>266</v>
      </c>
      <c r="E1919" s="3" t="s">
        <v>87</v>
      </c>
      <c r="F1919" s="3" t="s">
        <v>1941</v>
      </c>
      <c r="G1919" s="3" t="s">
        <v>1909</v>
      </c>
      <c r="H1919" s="4"/>
      <c r="I1919" s="4">
        <f t="shared" si="167"/>
        <v>0</v>
      </c>
      <c r="J1919" s="4"/>
      <c r="K1919" s="4">
        <f t="shared" si="150"/>
        <v>0</v>
      </c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 spans="1:26" ht="15.75" customHeight="1" x14ac:dyDescent="0.2">
      <c r="A1920" s="1">
        <v>2439</v>
      </c>
      <c r="B1920" s="13" t="s">
        <v>161</v>
      </c>
      <c r="C1920" s="14" t="s">
        <v>1144</v>
      </c>
      <c r="D1920" s="14" t="s">
        <v>116</v>
      </c>
      <c r="E1920" s="14" t="s">
        <v>87</v>
      </c>
      <c r="F1920" s="14" t="s">
        <v>1941</v>
      </c>
      <c r="G1920" s="14" t="s">
        <v>1909</v>
      </c>
      <c r="H1920" s="4"/>
      <c r="I1920" s="4">
        <f>H1920*2300</f>
        <v>0</v>
      </c>
      <c r="J1920" s="4"/>
      <c r="K1920" s="4">
        <f t="shared" si="150"/>
        <v>0</v>
      </c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 spans="1:26" ht="15.75" customHeight="1" x14ac:dyDescent="0.2">
      <c r="A1921" s="1"/>
      <c r="B1921" s="2" t="s">
        <v>46</v>
      </c>
      <c r="C1921" s="3" t="s">
        <v>1144</v>
      </c>
      <c r="D1921" s="3" t="s">
        <v>120</v>
      </c>
      <c r="E1921" s="3" t="s">
        <v>87</v>
      </c>
      <c r="F1921" s="3" t="s">
        <v>1941</v>
      </c>
      <c r="G1921" s="3" t="s">
        <v>1909</v>
      </c>
      <c r="H1921" s="4"/>
      <c r="I1921" s="4">
        <f>H1921*1800</f>
        <v>0</v>
      </c>
      <c r="J1921" s="4"/>
      <c r="K1921" s="4">
        <f t="shared" si="150"/>
        <v>0</v>
      </c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 spans="1:26" ht="15.75" customHeight="1" x14ac:dyDescent="0.2">
      <c r="A1922" s="1">
        <v>2365</v>
      </c>
      <c r="B1922" s="13" t="s">
        <v>137</v>
      </c>
      <c r="C1922" s="14" t="s">
        <v>63</v>
      </c>
      <c r="D1922" s="14" t="s">
        <v>75</v>
      </c>
      <c r="E1922" s="14" t="s">
        <v>306</v>
      </c>
      <c r="F1922" s="14" t="s">
        <v>1941</v>
      </c>
      <c r="G1922" s="14" t="s">
        <v>1909</v>
      </c>
      <c r="H1922" s="4"/>
      <c r="I1922" s="4">
        <f t="shared" ref="I1922:I1923" si="168">H1922*2300</f>
        <v>0</v>
      </c>
      <c r="J1922" s="4"/>
      <c r="K1922" s="4">
        <f t="shared" si="150"/>
        <v>0</v>
      </c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 spans="1:26" ht="15.75" customHeight="1" x14ac:dyDescent="0.2">
      <c r="A1923" s="1">
        <v>269</v>
      </c>
      <c r="B1923" s="13" t="s">
        <v>896</v>
      </c>
      <c r="C1923" s="14" t="s">
        <v>1945</v>
      </c>
      <c r="D1923" s="14" t="s">
        <v>124</v>
      </c>
      <c r="E1923" s="14" t="s">
        <v>40</v>
      </c>
      <c r="F1923" s="14" t="s">
        <v>1941</v>
      </c>
      <c r="G1923" s="14" t="s">
        <v>1909</v>
      </c>
      <c r="H1923" s="4"/>
      <c r="I1923" s="4">
        <f t="shared" si="168"/>
        <v>0</v>
      </c>
      <c r="J1923" s="4"/>
      <c r="K1923" s="4">
        <f t="shared" si="150"/>
        <v>0</v>
      </c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 spans="1:26" ht="15.75" customHeight="1" x14ac:dyDescent="0.2">
      <c r="A1924" s="1"/>
      <c r="B1924" s="2" t="s">
        <v>80</v>
      </c>
      <c r="C1924" s="3" t="s">
        <v>1945</v>
      </c>
      <c r="D1924" s="3" t="s">
        <v>124</v>
      </c>
      <c r="E1924" s="3" t="s">
        <v>40</v>
      </c>
      <c r="F1924" s="3" t="s">
        <v>1941</v>
      </c>
      <c r="G1924" s="3" t="s">
        <v>1909</v>
      </c>
      <c r="H1924" s="4"/>
      <c r="I1924" s="4">
        <f t="shared" ref="I1924:I1925" si="169">H1924*1800</f>
        <v>0</v>
      </c>
      <c r="J1924" s="4"/>
      <c r="K1924" s="4">
        <f t="shared" si="150"/>
        <v>0</v>
      </c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 spans="1:26" ht="15.75" customHeight="1" x14ac:dyDescent="0.2">
      <c r="A1925" s="1"/>
      <c r="B1925" s="2" t="s">
        <v>45</v>
      </c>
      <c r="C1925" s="3" t="s">
        <v>1945</v>
      </c>
      <c r="D1925" s="3" t="s">
        <v>124</v>
      </c>
      <c r="E1925" s="3" t="s">
        <v>40</v>
      </c>
      <c r="F1925" s="3" t="s">
        <v>1941</v>
      </c>
      <c r="G1925" s="3" t="s">
        <v>1909</v>
      </c>
      <c r="H1925" s="4"/>
      <c r="I1925" s="4">
        <f t="shared" si="169"/>
        <v>0</v>
      </c>
      <c r="J1925" s="4"/>
      <c r="K1925" s="4">
        <f t="shared" si="150"/>
        <v>0</v>
      </c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 spans="1:26" ht="15.75" customHeight="1" x14ac:dyDescent="0.2">
      <c r="A1926" s="1">
        <v>819</v>
      </c>
      <c r="B1926" s="13" t="s">
        <v>971</v>
      </c>
      <c r="C1926" s="14" t="s">
        <v>1946</v>
      </c>
      <c r="D1926" s="14" t="s">
        <v>1369</v>
      </c>
      <c r="E1926" s="14" t="s">
        <v>306</v>
      </c>
      <c r="F1926" s="14" t="s">
        <v>1941</v>
      </c>
      <c r="G1926" s="14" t="s">
        <v>1909</v>
      </c>
      <c r="H1926" s="4">
        <v>6</v>
      </c>
      <c r="I1926" s="4">
        <f t="shared" ref="I1926:I1927" si="170">H1926*2300</f>
        <v>13800</v>
      </c>
      <c r="J1926" s="4"/>
      <c r="K1926" s="4">
        <f t="shared" si="150"/>
        <v>0</v>
      </c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 spans="1:26" ht="15.75" customHeight="1" x14ac:dyDescent="0.2">
      <c r="A1927" s="1">
        <v>2441</v>
      </c>
      <c r="B1927" s="13" t="s">
        <v>161</v>
      </c>
      <c r="C1927" s="14" t="s">
        <v>1946</v>
      </c>
      <c r="D1927" s="14" t="s">
        <v>1369</v>
      </c>
      <c r="E1927" s="14" t="s">
        <v>306</v>
      </c>
      <c r="F1927" s="14" t="s">
        <v>1941</v>
      </c>
      <c r="G1927" s="14" t="s">
        <v>1909</v>
      </c>
      <c r="H1927" s="4"/>
      <c r="I1927" s="4">
        <f t="shared" si="170"/>
        <v>0</v>
      </c>
      <c r="J1927" s="4"/>
      <c r="K1927" s="4">
        <f t="shared" si="150"/>
        <v>0</v>
      </c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 spans="1:26" ht="15.75" customHeight="1" x14ac:dyDescent="0.2">
      <c r="A1928" s="1"/>
      <c r="B1928" s="2" t="s">
        <v>71</v>
      </c>
      <c r="C1928" s="3" t="s">
        <v>1946</v>
      </c>
      <c r="D1928" s="3" t="s">
        <v>441</v>
      </c>
      <c r="E1928" s="3" t="s">
        <v>306</v>
      </c>
      <c r="F1928" s="3" t="s">
        <v>1941</v>
      </c>
      <c r="G1928" s="3" t="s">
        <v>1909</v>
      </c>
      <c r="H1928" s="4"/>
      <c r="I1928" s="4">
        <f t="shared" ref="I1928:I1930" si="171">H1928*1800</f>
        <v>0</v>
      </c>
      <c r="J1928" s="4"/>
      <c r="K1928" s="4">
        <f t="shared" si="150"/>
        <v>0</v>
      </c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 spans="1:26" ht="15.75" customHeight="1" x14ac:dyDescent="0.2">
      <c r="A1929" s="1"/>
      <c r="B1929" s="2" t="s">
        <v>45</v>
      </c>
      <c r="C1929" s="3" t="s">
        <v>1946</v>
      </c>
      <c r="D1929" s="3" t="s">
        <v>441</v>
      </c>
      <c r="E1929" s="3" t="s">
        <v>306</v>
      </c>
      <c r="F1929" s="3" t="s">
        <v>1941</v>
      </c>
      <c r="G1929" s="3" t="s">
        <v>1909</v>
      </c>
      <c r="H1929" s="4"/>
      <c r="I1929" s="4">
        <f t="shared" si="171"/>
        <v>0</v>
      </c>
      <c r="J1929" s="4"/>
      <c r="K1929" s="4">
        <f t="shared" si="150"/>
        <v>0</v>
      </c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 spans="1:26" ht="15.75" customHeight="1" x14ac:dyDescent="0.2">
      <c r="A1930" s="1"/>
      <c r="B1930" s="2" t="s">
        <v>336</v>
      </c>
      <c r="C1930" s="3" t="s">
        <v>1459</v>
      </c>
      <c r="D1930" s="3" t="s">
        <v>1430</v>
      </c>
      <c r="E1930" s="3" t="s">
        <v>1215</v>
      </c>
      <c r="F1930" s="3" t="s">
        <v>1941</v>
      </c>
      <c r="G1930" s="3" t="s">
        <v>1909</v>
      </c>
      <c r="H1930" s="4"/>
      <c r="I1930" s="4">
        <f t="shared" si="171"/>
        <v>0</v>
      </c>
      <c r="J1930" s="4"/>
      <c r="K1930" s="4">
        <f t="shared" si="150"/>
        <v>0</v>
      </c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 spans="1:26" ht="15.75" customHeight="1" x14ac:dyDescent="0.2">
      <c r="A1931" s="1">
        <v>859</v>
      </c>
      <c r="B1931" s="13" t="s">
        <v>975</v>
      </c>
      <c r="C1931" s="14" t="s">
        <v>1947</v>
      </c>
      <c r="D1931" s="14" t="s">
        <v>1948</v>
      </c>
      <c r="E1931" s="14" t="s">
        <v>319</v>
      </c>
      <c r="F1931" s="14" t="s">
        <v>1941</v>
      </c>
      <c r="G1931" s="14" t="s">
        <v>1909</v>
      </c>
      <c r="H1931" s="4"/>
      <c r="I1931" s="4">
        <f t="shared" ref="I1931:I1932" si="172">H1931*2300</f>
        <v>0</v>
      </c>
      <c r="J1931" s="4"/>
      <c r="K1931" s="4">
        <f t="shared" si="150"/>
        <v>0</v>
      </c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 spans="1:26" ht="15.75" customHeight="1" x14ac:dyDescent="0.2">
      <c r="A1932" s="1">
        <v>2481</v>
      </c>
      <c r="B1932" s="13" t="s">
        <v>16</v>
      </c>
      <c r="C1932" s="14" t="s">
        <v>1947</v>
      </c>
      <c r="D1932" s="14" t="s">
        <v>1948</v>
      </c>
      <c r="E1932" s="14" t="s">
        <v>319</v>
      </c>
      <c r="F1932" s="14" t="s">
        <v>1941</v>
      </c>
      <c r="G1932" s="14" t="s">
        <v>1909</v>
      </c>
      <c r="H1932" s="4"/>
      <c r="I1932" s="4">
        <f t="shared" si="172"/>
        <v>0</v>
      </c>
      <c r="J1932" s="4"/>
      <c r="K1932" s="4">
        <f t="shared" si="150"/>
        <v>0</v>
      </c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 spans="1:26" ht="15.75" customHeight="1" x14ac:dyDescent="0.2">
      <c r="A1933" s="1"/>
      <c r="B1933" s="2" t="s">
        <v>71</v>
      </c>
      <c r="C1933" s="3" t="s">
        <v>1949</v>
      </c>
      <c r="D1933" s="3" t="s">
        <v>39</v>
      </c>
      <c r="E1933" s="3" t="s">
        <v>32</v>
      </c>
      <c r="F1933" s="3" t="s">
        <v>1941</v>
      </c>
      <c r="G1933" s="3" t="s">
        <v>1909</v>
      </c>
      <c r="H1933" s="4"/>
      <c r="I1933" s="4">
        <f t="shared" ref="I1933:I1939" si="173">H1933*1800</f>
        <v>0</v>
      </c>
      <c r="J1933" s="4"/>
      <c r="K1933" s="4">
        <f t="shared" si="150"/>
        <v>0</v>
      </c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 spans="1:26" ht="15.75" customHeight="1" x14ac:dyDescent="0.2">
      <c r="A1934" s="1"/>
      <c r="B1934" s="2" t="s">
        <v>45</v>
      </c>
      <c r="C1934" s="3" t="s">
        <v>1949</v>
      </c>
      <c r="D1934" s="3" t="s">
        <v>39</v>
      </c>
      <c r="E1934" s="3" t="s">
        <v>32</v>
      </c>
      <c r="F1934" s="3" t="s">
        <v>1941</v>
      </c>
      <c r="G1934" s="3" t="s">
        <v>1909</v>
      </c>
      <c r="H1934" s="4"/>
      <c r="I1934" s="4">
        <f t="shared" si="173"/>
        <v>0</v>
      </c>
      <c r="J1934" s="4"/>
      <c r="K1934" s="4">
        <f t="shared" si="150"/>
        <v>0</v>
      </c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 spans="1:26" ht="15.75" customHeight="1" x14ac:dyDescent="0.2">
      <c r="A1935" s="1"/>
      <c r="B1935" s="2" t="s">
        <v>84</v>
      </c>
      <c r="C1935" s="3" t="s">
        <v>1950</v>
      </c>
      <c r="D1935" s="3" t="s">
        <v>574</v>
      </c>
      <c r="E1935" s="3" t="s">
        <v>1951</v>
      </c>
      <c r="F1935" s="3" t="s">
        <v>1941</v>
      </c>
      <c r="G1935" s="3" t="s">
        <v>1909</v>
      </c>
      <c r="H1935" s="4"/>
      <c r="I1935" s="4">
        <f t="shared" si="173"/>
        <v>0</v>
      </c>
      <c r="J1935" s="4"/>
      <c r="K1935" s="4">
        <f t="shared" si="150"/>
        <v>0</v>
      </c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 spans="1:26" ht="15.75" customHeight="1" x14ac:dyDescent="0.2">
      <c r="A1936" s="1"/>
      <c r="B1936" s="2" t="s">
        <v>45</v>
      </c>
      <c r="C1936" s="3" t="s">
        <v>1950</v>
      </c>
      <c r="D1936" s="3" t="s">
        <v>574</v>
      </c>
      <c r="E1936" s="3" t="s">
        <v>1951</v>
      </c>
      <c r="F1936" s="3" t="s">
        <v>1941</v>
      </c>
      <c r="G1936" s="3" t="s">
        <v>1909</v>
      </c>
      <c r="H1936" s="4"/>
      <c r="I1936" s="4">
        <f t="shared" si="173"/>
        <v>0</v>
      </c>
      <c r="J1936" s="4"/>
      <c r="K1936" s="4">
        <f t="shared" si="150"/>
        <v>0</v>
      </c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 spans="1:26" ht="15.75" customHeight="1" x14ac:dyDescent="0.2">
      <c r="A1937" s="1"/>
      <c r="B1937" s="2" t="s">
        <v>26</v>
      </c>
      <c r="C1937" s="3" t="s">
        <v>1464</v>
      </c>
      <c r="D1937" s="3" t="s">
        <v>1952</v>
      </c>
      <c r="E1937" s="3" t="s">
        <v>70</v>
      </c>
      <c r="F1937" s="3" t="s">
        <v>1941</v>
      </c>
      <c r="G1937" s="3" t="s">
        <v>1909</v>
      </c>
      <c r="H1937" s="4"/>
      <c r="I1937" s="4">
        <f t="shared" si="173"/>
        <v>0</v>
      </c>
      <c r="J1937" s="4"/>
      <c r="K1937" s="4">
        <f t="shared" si="150"/>
        <v>0</v>
      </c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 spans="1:26" ht="15.75" customHeight="1" x14ac:dyDescent="0.2">
      <c r="A1938" s="1"/>
      <c r="B1938" s="2" t="s">
        <v>45</v>
      </c>
      <c r="C1938" s="3" t="s">
        <v>1464</v>
      </c>
      <c r="D1938" s="3" t="s">
        <v>1952</v>
      </c>
      <c r="E1938" s="3" t="s">
        <v>70</v>
      </c>
      <c r="F1938" s="3" t="s">
        <v>1941</v>
      </c>
      <c r="G1938" s="3" t="s">
        <v>1909</v>
      </c>
      <c r="H1938" s="4"/>
      <c r="I1938" s="4">
        <f t="shared" si="173"/>
        <v>0</v>
      </c>
      <c r="J1938" s="4"/>
      <c r="K1938" s="4">
        <f t="shared" si="150"/>
        <v>0</v>
      </c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 spans="1:26" ht="15.75" customHeight="1" x14ac:dyDescent="0.2">
      <c r="A1939" s="1"/>
      <c r="B1939" s="2" t="s">
        <v>84</v>
      </c>
      <c r="C1939" s="3" t="s">
        <v>1953</v>
      </c>
      <c r="D1939" s="3" t="s">
        <v>309</v>
      </c>
      <c r="E1939" s="3" t="s">
        <v>424</v>
      </c>
      <c r="F1939" s="3" t="s">
        <v>1941</v>
      </c>
      <c r="G1939" s="3" t="s">
        <v>1909</v>
      </c>
      <c r="H1939" s="4"/>
      <c r="I1939" s="4">
        <f t="shared" si="173"/>
        <v>0</v>
      </c>
      <c r="J1939" s="4"/>
      <c r="K1939" s="4">
        <f t="shared" si="150"/>
        <v>0</v>
      </c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 spans="1:26" ht="15.75" customHeight="1" x14ac:dyDescent="0.2">
      <c r="A1940" s="1">
        <v>2407</v>
      </c>
      <c r="B1940" s="13" t="s">
        <v>154</v>
      </c>
      <c r="C1940" s="14" t="s">
        <v>1954</v>
      </c>
      <c r="D1940" s="14" t="s">
        <v>1955</v>
      </c>
      <c r="E1940" s="14" t="s">
        <v>125</v>
      </c>
      <c r="F1940" s="14" t="s">
        <v>1956</v>
      </c>
      <c r="G1940" s="14" t="s">
        <v>1909</v>
      </c>
      <c r="H1940" s="4">
        <v>1</v>
      </c>
      <c r="I1940" s="4">
        <f t="shared" ref="I1940:I1942" si="174">H1940*2300</f>
        <v>2300</v>
      </c>
      <c r="J1940" s="4"/>
      <c r="K1940" s="4">
        <f t="shared" si="150"/>
        <v>0</v>
      </c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 spans="1:26" ht="15.75" customHeight="1" x14ac:dyDescent="0.2">
      <c r="A1941" s="1">
        <v>2409</v>
      </c>
      <c r="B1941" s="13" t="s">
        <v>154</v>
      </c>
      <c r="C1941" s="14" t="s">
        <v>1929</v>
      </c>
      <c r="D1941" s="14" t="s">
        <v>1957</v>
      </c>
      <c r="E1941" s="14" t="s">
        <v>1750</v>
      </c>
      <c r="F1941" s="14" t="s">
        <v>1956</v>
      </c>
      <c r="G1941" s="14" t="s">
        <v>1909</v>
      </c>
      <c r="H1941" s="4"/>
      <c r="I1941" s="4">
        <f t="shared" si="174"/>
        <v>0</v>
      </c>
      <c r="J1941" s="4"/>
      <c r="K1941" s="4">
        <f t="shared" si="150"/>
        <v>0</v>
      </c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 spans="1:26" ht="15.75" customHeight="1" x14ac:dyDescent="0.2">
      <c r="A1942" s="1">
        <v>231</v>
      </c>
      <c r="B1942" s="13" t="s">
        <v>19</v>
      </c>
      <c r="C1942" s="14" t="s">
        <v>1958</v>
      </c>
      <c r="D1942" s="14" t="s">
        <v>1959</v>
      </c>
      <c r="E1942" s="14" t="s">
        <v>1330</v>
      </c>
      <c r="F1942" s="14" t="s">
        <v>1956</v>
      </c>
      <c r="G1942" s="14" t="s">
        <v>1909</v>
      </c>
      <c r="H1942" s="4"/>
      <c r="I1942" s="4">
        <f t="shared" si="174"/>
        <v>0</v>
      </c>
      <c r="J1942" s="4"/>
      <c r="K1942" s="4">
        <f t="shared" si="150"/>
        <v>0</v>
      </c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 spans="1:26" ht="15.75" customHeight="1" x14ac:dyDescent="0.2">
      <c r="A1943" s="1"/>
      <c r="B1943" s="2" t="s">
        <v>41</v>
      </c>
      <c r="C1943" s="3" t="s">
        <v>1960</v>
      </c>
      <c r="D1943" s="3" t="s">
        <v>1020</v>
      </c>
      <c r="E1943" s="3" t="s">
        <v>1961</v>
      </c>
      <c r="F1943" s="3" t="s">
        <v>1956</v>
      </c>
      <c r="G1943" s="3" t="s">
        <v>1909</v>
      </c>
      <c r="H1943" s="4"/>
      <c r="I1943" s="4">
        <f t="shared" ref="I1943:I1946" si="175">H1943*1800</f>
        <v>0</v>
      </c>
      <c r="J1943" s="4"/>
      <c r="K1943" s="4">
        <f t="shared" si="150"/>
        <v>0</v>
      </c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 spans="1:26" ht="15.75" customHeight="1" x14ac:dyDescent="0.2">
      <c r="A1944" s="1"/>
      <c r="B1944" s="2" t="s">
        <v>41</v>
      </c>
      <c r="C1944" s="3" t="s">
        <v>1960</v>
      </c>
      <c r="D1944" s="3" t="s">
        <v>1020</v>
      </c>
      <c r="E1944" s="3" t="s">
        <v>1961</v>
      </c>
      <c r="F1944" s="3" t="s">
        <v>1956</v>
      </c>
      <c r="G1944" s="3" t="s">
        <v>1909</v>
      </c>
      <c r="H1944" s="4"/>
      <c r="I1944" s="4">
        <f t="shared" si="175"/>
        <v>0</v>
      </c>
      <c r="J1944" s="4"/>
      <c r="K1944" s="4">
        <f t="shared" si="150"/>
        <v>0</v>
      </c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 spans="1:26" ht="15.75" customHeight="1" x14ac:dyDescent="0.2">
      <c r="A1945" s="1"/>
      <c r="B1945" s="2" t="s">
        <v>71</v>
      </c>
      <c r="C1945" s="3" t="s">
        <v>1500</v>
      </c>
      <c r="D1945" s="3" t="s">
        <v>574</v>
      </c>
      <c r="E1945" s="3" t="s">
        <v>357</v>
      </c>
      <c r="F1945" s="3" t="s">
        <v>1956</v>
      </c>
      <c r="G1945" s="3" t="s">
        <v>1909</v>
      </c>
      <c r="H1945" s="4"/>
      <c r="I1945" s="4">
        <f t="shared" si="175"/>
        <v>0</v>
      </c>
      <c r="J1945" s="4"/>
      <c r="K1945" s="4">
        <f t="shared" si="150"/>
        <v>0</v>
      </c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 spans="1:26" ht="15.75" customHeight="1" x14ac:dyDescent="0.2">
      <c r="A1946" s="1"/>
      <c r="B1946" s="2" t="s">
        <v>45</v>
      </c>
      <c r="C1946" s="3" t="s">
        <v>1962</v>
      </c>
      <c r="D1946" s="3" t="s">
        <v>1401</v>
      </c>
      <c r="E1946" s="3" t="s">
        <v>129</v>
      </c>
      <c r="F1946" s="3" t="s">
        <v>1956</v>
      </c>
      <c r="G1946" s="3" t="s">
        <v>1909</v>
      </c>
      <c r="H1946" s="4"/>
      <c r="I1946" s="4">
        <f t="shared" si="175"/>
        <v>0</v>
      </c>
      <c r="J1946" s="4"/>
      <c r="K1946" s="4">
        <f t="shared" si="150"/>
        <v>0</v>
      </c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 spans="1:26" ht="15.75" customHeight="1" x14ac:dyDescent="0.2">
      <c r="A1947" s="1">
        <v>1251</v>
      </c>
      <c r="B1947" s="13" t="s">
        <v>699</v>
      </c>
      <c r="C1947" s="14" t="s">
        <v>1963</v>
      </c>
      <c r="D1947" s="14" t="s">
        <v>86</v>
      </c>
      <c r="E1947" s="14" t="s">
        <v>337</v>
      </c>
      <c r="F1947" s="14" t="s">
        <v>1964</v>
      </c>
      <c r="G1947" s="14" t="s">
        <v>1909</v>
      </c>
      <c r="H1947" s="4">
        <v>17</v>
      </c>
      <c r="I1947" s="4">
        <f t="shared" ref="I1947:I1963" si="176">H1947*2300</f>
        <v>39100</v>
      </c>
      <c r="J1947" s="4"/>
      <c r="K1947" s="4">
        <f t="shared" si="150"/>
        <v>0</v>
      </c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 spans="1:26" ht="15.75" customHeight="1" x14ac:dyDescent="0.2">
      <c r="A1948" s="1">
        <v>2747</v>
      </c>
      <c r="B1948" s="13" t="s">
        <v>944</v>
      </c>
      <c r="C1948" s="14" t="s">
        <v>1963</v>
      </c>
      <c r="D1948" s="14" t="s">
        <v>128</v>
      </c>
      <c r="E1948" s="14" t="s">
        <v>337</v>
      </c>
      <c r="F1948" s="14" t="s">
        <v>1964</v>
      </c>
      <c r="G1948" s="14" t="s">
        <v>1909</v>
      </c>
      <c r="H1948" s="4"/>
      <c r="I1948" s="4">
        <f t="shared" si="176"/>
        <v>0</v>
      </c>
      <c r="J1948" s="4"/>
      <c r="K1948" s="4">
        <f t="shared" si="150"/>
        <v>0</v>
      </c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 spans="1:26" ht="15.75" customHeight="1" x14ac:dyDescent="0.2">
      <c r="A1949" s="1">
        <v>1377</v>
      </c>
      <c r="B1949" s="13" t="s">
        <v>601</v>
      </c>
      <c r="C1949" s="14" t="s">
        <v>1965</v>
      </c>
      <c r="D1949" s="14" t="s">
        <v>1401</v>
      </c>
      <c r="E1949" s="14" t="s">
        <v>32</v>
      </c>
      <c r="F1949" s="14" t="s">
        <v>1964</v>
      </c>
      <c r="G1949" s="14" t="s">
        <v>1909</v>
      </c>
      <c r="H1949" s="4"/>
      <c r="I1949" s="4">
        <f t="shared" si="176"/>
        <v>0</v>
      </c>
      <c r="J1949" s="4"/>
      <c r="K1949" s="4">
        <f t="shared" si="150"/>
        <v>0</v>
      </c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 spans="1:26" ht="15.75" customHeight="1" x14ac:dyDescent="0.2">
      <c r="A1950" s="1">
        <v>1863</v>
      </c>
      <c r="B1950" s="13" t="s">
        <v>604</v>
      </c>
      <c r="C1950" s="14" t="s">
        <v>1965</v>
      </c>
      <c r="D1950" s="14" t="s">
        <v>1401</v>
      </c>
      <c r="E1950" s="14" t="s">
        <v>32</v>
      </c>
      <c r="F1950" s="14" t="s">
        <v>1964</v>
      </c>
      <c r="G1950" s="14" t="s">
        <v>1909</v>
      </c>
      <c r="H1950" s="4"/>
      <c r="I1950" s="4">
        <f t="shared" si="176"/>
        <v>0</v>
      </c>
      <c r="J1950" s="4"/>
      <c r="K1950" s="4">
        <f t="shared" si="150"/>
        <v>0</v>
      </c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 spans="1:26" ht="15.75" customHeight="1" x14ac:dyDescent="0.2">
      <c r="A1951" s="1">
        <v>2661</v>
      </c>
      <c r="B1951" s="13" t="s">
        <v>1055</v>
      </c>
      <c r="C1951" s="14" t="s">
        <v>1965</v>
      </c>
      <c r="D1951" s="14" t="s">
        <v>1401</v>
      </c>
      <c r="E1951" s="14" t="s">
        <v>32</v>
      </c>
      <c r="F1951" s="14" t="s">
        <v>1964</v>
      </c>
      <c r="G1951" s="14" t="s">
        <v>1909</v>
      </c>
      <c r="H1951" s="4"/>
      <c r="I1951" s="4">
        <f t="shared" si="176"/>
        <v>0</v>
      </c>
      <c r="J1951" s="4"/>
      <c r="K1951" s="4">
        <f t="shared" si="150"/>
        <v>0</v>
      </c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 spans="1:26" ht="15.75" customHeight="1" x14ac:dyDescent="0.2">
      <c r="A1952" s="1">
        <v>1557</v>
      </c>
      <c r="B1952" s="13" t="s">
        <v>377</v>
      </c>
      <c r="C1952" s="14" t="s">
        <v>1966</v>
      </c>
      <c r="D1952" s="14" t="s">
        <v>1967</v>
      </c>
      <c r="E1952" s="14" t="s">
        <v>1151</v>
      </c>
      <c r="F1952" s="14" t="s">
        <v>1964</v>
      </c>
      <c r="G1952" s="14" t="s">
        <v>1909</v>
      </c>
      <c r="H1952" s="4"/>
      <c r="I1952" s="4">
        <f t="shared" si="176"/>
        <v>0</v>
      </c>
      <c r="J1952" s="4"/>
      <c r="K1952" s="4">
        <f t="shared" si="150"/>
        <v>0</v>
      </c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 spans="1:26" ht="15.75" customHeight="1" x14ac:dyDescent="0.2">
      <c r="A1953" s="1">
        <v>2299</v>
      </c>
      <c r="B1953" s="13" t="s">
        <v>284</v>
      </c>
      <c r="C1953" s="14" t="s">
        <v>1966</v>
      </c>
      <c r="D1953" s="14" t="s">
        <v>1967</v>
      </c>
      <c r="E1953" s="14" t="s">
        <v>1151</v>
      </c>
      <c r="F1953" s="14" t="s">
        <v>1964</v>
      </c>
      <c r="G1953" s="14" t="s">
        <v>1909</v>
      </c>
      <c r="H1953" s="4"/>
      <c r="I1953" s="4">
        <f t="shared" si="176"/>
        <v>0</v>
      </c>
      <c r="J1953" s="4"/>
      <c r="K1953" s="4">
        <f t="shared" si="150"/>
        <v>0</v>
      </c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 spans="1:26" ht="15.75" customHeight="1" x14ac:dyDescent="0.2">
      <c r="A1954" s="1">
        <v>2591</v>
      </c>
      <c r="B1954" s="13" t="s">
        <v>287</v>
      </c>
      <c r="C1954" s="14" t="s">
        <v>1966</v>
      </c>
      <c r="D1954" s="14" t="s">
        <v>1967</v>
      </c>
      <c r="E1954" s="14" t="s">
        <v>1151</v>
      </c>
      <c r="F1954" s="14" t="s">
        <v>1964</v>
      </c>
      <c r="G1954" s="14" t="s">
        <v>1909</v>
      </c>
      <c r="H1954" s="4"/>
      <c r="I1954" s="4">
        <f t="shared" si="176"/>
        <v>0</v>
      </c>
      <c r="J1954" s="4"/>
      <c r="K1954" s="4">
        <f t="shared" si="150"/>
        <v>0</v>
      </c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 spans="1:26" ht="15.75" customHeight="1" x14ac:dyDescent="0.2">
      <c r="A1955" s="1">
        <v>125</v>
      </c>
      <c r="B1955" s="13" t="s">
        <v>504</v>
      </c>
      <c r="C1955" s="14" t="s">
        <v>1968</v>
      </c>
      <c r="D1955" s="14" t="s">
        <v>183</v>
      </c>
      <c r="E1955" s="14" t="s">
        <v>87</v>
      </c>
      <c r="F1955" s="14" t="s">
        <v>1964</v>
      </c>
      <c r="G1955" s="14" t="s">
        <v>1909</v>
      </c>
      <c r="H1955" s="4"/>
      <c r="I1955" s="4">
        <f t="shared" si="176"/>
        <v>0</v>
      </c>
      <c r="J1955" s="4"/>
      <c r="K1955" s="4">
        <f t="shared" si="150"/>
        <v>0</v>
      </c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 spans="1:26" ht="15.75" customHeight="1" x14ac:dyDescent="0.2">
      <c r="A1956" s="1">
        <v>1049</v>
      </c>
      <c r="B1956" s="13" t="s">
        <v>464</v>
      </c>
      <c r="C1956" s="14" t="s">
        <v>1968</v>
      </c>
      <c r="D1956" s="14" t="s">
        <v>183</v>
      </c>
      <c r="E1956" s="14" t="s">
        <v>87</v>
      </c>
      <c r="F1956" s="14" t="s">
        <v>1964</v>
      </c>
      <c r="G1956" s="14" t="s">
        <v>1909</v>
      </c>
      <c r="H1956" s="4"/>
      <c r="I1956" s="4">
        <f t="shared" si="176"/>
        <v>0</v>
      </c>
      <c r="J1956" s="4"/>
      <c r="K1956" s="4">
        <f t="shared" si="150"/>
        <v>0</v>
      </c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 spans="1:26" ht="15.75" customHeight="1" x14ac:dyDescent="0.2">
      <c r="A1957" s="1">
        <v>1761</v>
      </c>
      <c r="B1957" s="13" t="s">
        <v>459</v>
      </c>
      <c r="C1957" s="14" t="s">
        <v>1968</v>
      </c>
      <c r="D1957" s="14" t="s">
        <v>183</v>
      </c>
      <c r="E1957" s="14" t="s">
        <v>87</v>
      </c>
      <c r="F1957" s="14" t="s">
        <v>1964</v>
      </c>
      <c r="G1957" s="14" t="s">
        <v>1909</v>
      </c>
      <c r="H1957" s="4"/>
      <c r="I1957" s="4">
        <f t="shared" si="176"/>
        <v>0</v>
      </c>
      <c r="J1957" s="4"/>
      <c r="K1957" s="4">
        <f t="shared" si="150"/>
        <v>0</v>
      </c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 spans="1:26" ht="15.75" customHeight="1" x14ac:dyDescent="0.2">
      <c r="A1958" s="1">
        <v>1639</v>
      </c>
      <c r="B1958" s="13" t="s">
        <v>267</v>
      </c>
      <c r="C1958" s="14" t="s">
        <v>1969</v>
      </c>
      <c r="D1958" s="14" t="s">
        <v>1277</v>
      </c>
      <c r="E1958" s="14" t="s">
        <v>1395</v>
      </c>
      <c r="F1958" s="14" t="s">
        <v>1964</v>
      </c>
      <c r="G1958" s="14" t="s">
        <v>1909</v>
      </c>
      <c r="H1958" s="4"/>
      <c r="I1958" s="4">
        <f t="shared" si="176"/>
        <v>0</v>
      </c>
      <c r="J1958" s="4"/>
      <c r="K1958" s="4">
        <f t="shared" si="150"/>
        <v>0</v>
      </c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 spans="1:26" ht="15.75" customHeight="1" x14ac:dyDescent="0.2">
      <c r="A1959" s="1">
        <v>1951</v>
      </c>
      <c r="B1959" s="13" t="s">
        <v>278</v>
      </c>
      <c r="C1959" s="14" t="s">
        <v>1969</v>
      </c>
      <c r="D1959" s="14" t="s">
        <v>1277</v>
      </c>
      <c r="E1959" s="14" t="s">
        <v>1395</v>
      </c>
      <c r="F1959" s="14" t="s">
        <v>1964</v>
      </c>
      <c r="G1959" s="14" t="s">
        <v>1909</v>
      </c>
      <c r="H1959" s="4"/>
      <c r="I1959" s="4">
        <f t="shared" si="176"/>
        <v>0</v>
      </c>
      <c r="J1959" s="4"/>
      <c r="K1959" s="4">
        <f t="shared" si="150"/>
        <v>0</v>
      </c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 spans="1:26" ht="15.75" customHeight="1" x14ac:dyDescent="0.2">
      <c r="A1960" s="1">
        <v>1373</v>
      </c>
      <c r="B1960" s="13" t="s">
        <v>601</v>
      </c>
      <c r="C1960" s="14" t="s">
        <v>1970</v>
      </c>
      <c r="D1960" s="14" t="s">
        <v>1289</v>
      </c>
      <c r="E1960" s="14" t="s">
        <v>65</v>
      </c>
      <c r="F1960" s="14" t="s">
        <v>1964</v>
      </c>
      <c r="G1960" s="14" t="s">
        <v>1909</v>
      </c>
      <c r="H1960" s="4"/>
      <c r="I1960" s="4">
        <f t="shared" si="176"/>
        <v>0</v>
      </c>
      <c r="J1960" s="4"/>
      <c r="K1960" s="4">
        <f t="shared" si="150"/>
        <v>0</v>
      </c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 spans="1:26" ht="15.75" customHeight="1" x14ac:dyDescent="0.2">
      <c r="A1961" s="1">
        <v>1859</v>
      </c>
      <c r="B1961" s="13" t="s">
        <v>604</v>
      </c>
      <c r="C1961" s="14" t="s">
        <v>1970</v>
      </c>
      <c r="D1961" s="14" t="s">
        <v>1289</v>
      </c>
      <c r="E1961" s="14" t="s">
        <v>65</v>
      </c>
      <c r="F1961" s="14" t="s">
        <v>1964</v>
      </c>
      <c r="G1961" s="14" t="s">
        <v>1909</v>
      </c>
      <c r="H1961" s="4"/>
      <c r="I1961" s="4">
        <f t="shared" si="176"/>
        <v>0</v>
      </c>
      <c r="J1961" s="4"/>
      <c r="K1961" s="4">
        <f t="shared" si="150"/>
        <v>0</v>
      </c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 spans="1:26" ht="15.75" customHeight="1" x14ac:dyDescent="0.2">
      <c r="A1962" s="1">
        <v>1459</v>
      </c>
      <c r="B1962" s="13" t="s">
        <v>261</v>
      </c>
      <c r="C1962" s="14" t="s">
        <v>1971</v>
      </c>
      <c r="D1962" s="14" t="s">
        <v>75</v>
      </c>
      <c r="E1962" s="14" t="s">
        <v>65</v>
      </c>
      <c r="F1962" s="14" t="s">
        <v>1964</v>
      </c>
      <c r="G1962" s="14" t="s">
        <v>1909</v>
      </c>
      <c r="H1962" s="4"/>
      <c r="I1962" s="4">
        <f t="shared" si="176"/>
        <v>0</v>
      </c>
      <c r="J1962" s="4"/>
      <c r="K1962" s="4">
        <f t="shared" si="150"/>
        <v>0</v>
      </c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 spans="1:26" ht="15.75" customHeight="1" x14ac:dyDescent="0.2">
      <c r="A1963" s="1">
        <v>1905</v>
      </c>
      <c r="B1963" s="13" t="s">
        <v>277</v>
      </c>
      <c r="C1963" s="14" t="s">
        <v>1971</v>
      </c>
      <c r="D1963" s="14" t="s">
        <v>75</v>
      </c>
      <c r="E1963" s="14" t="s">
        <v>65</v>
      </c>
      <c r="F1963" s="14" t="s">
        <v>1964</v>
      </c>
      <c r="G1963" s="14" t="s">
        <v>1909</v>
      </c>
      <c r="H1963" s="4"/>
      <c r="I1963" s="4">
        <f t="shared" si="176"/>
        <v>0</v>
      </c>
      <c r="J1963" s="4"/>
      <c r="K1963" s="4">
        <f t="shared" si="150"/>
        <v>0</v>
      </c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 spans="1:26" ht="15.75" customHeight="1" x14ac:dyDescent="0.2">
      <c r="A1964" s="1"/>
      <c r="B1964" s="2" t="s">
        <v>815</v>
      </c>
      <c r="C1964" s="3" t="s">
        <v>1972</v>
      </c>
      <c r="D1964" s="3" t="s">
        <v>852</v>
      </c>
      <c r="E1964" s="3" t="s">
        <v>836</v>
      </c>
      <c r="F1964" s="3" t="s">
        <v>1973</v>
      </c>
      <c r="G1964" s="3" t="s">
        <v>1909</v>
      </c>
      <c r="H1964" s="4"/>
      <c r="I1964" s="4">
        <f t="shared" ref="I1964:I1974" si="177">H1964*1800</f>
        <v>0</v>
      </c>
      <c r="J1964" s="4"/>
      <c r="K1964" s="4">
        <f t="shared" si="150"/>
        <v>0</v>
      </c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 spans="1:26" ht="15.75" customHeight="1" x14ac:dyDescent="0.2">
      <c r="A1965" s="1"/>
      <c r="B1965" s="2" t="s">
        <v>523</v>
      </c>
      <c r="C1965" s="3" t="s">
        <v>1974</v>
      </c>
      <c r="D1965" s="3" t="s">
        <v>78</v>
      </c>
      <c r="E1965" s="3" t="s">
        <v>326</v>
      </c>
      <c r="F1965" s="3" t="s">
        <v>1973</v>
      </c>
      <c r="G1965" s="3" t="s">
        <v>1909</v>
      </c>
      <c r="H1965" s="4"/>
      <c r="I1965" s="4">
        <f t="shared" si="177"/>
        <v>0</v>
      </c>
      <c r="J1965" s="4"/>
      <c r="K1965" s="4">
        <f t="shared" si="150"/>
        <v>0</v>
      </c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 spans="1:26" ht="15.75" customHeight="1" x14ac:dyDescent="0.2">
      <c r="A1966" s="1"/>
      <c r="B1966" s="2" t="s">
        <v>1975</v>
      </c>
      <c r="C1966" s="3" t="s">
        <v>1976</v>
      </c>
      <c r="D1966" s="3" t="s">
        <v>78</v>
      </c>
      <c r="E1966" s="3" t="s">
        <v>306</v>
      </c>
      <c r="F1966" s="3" t="s">
        <v>1973</v>
      </c>
      <c r="G1966" s="3" t="s">
        <v>1909</v>
      </c>
      <c r="H1966" s="4"/>
      <c r="I1966" s="4">
        <f t="shared" si="177"/>
        <v>0</v>
      </c>
      <c r="J1966" s="4"/>
      <c r="K1966" s="4">
        <f t="shared" si="150"/>
        <v>0</v>
      </c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 spans="1:26" ht="15.75" customHeight="1" x14ac:dyDescent="0.2">
      <c r="A1967" s="1"/>
      <c r="B1967" s="2" t="s">
        <v>815</v>
      </c>
      <c r="C1967" s="3" t="s">
        <v>57</v>
      </c>
      <c r="D1967" s="3" t="s">
        <v>58</v>
      </c>
      <c r="E1967" s="3" t="s">
        <v>334</v>
      </c>
      <c r="F1967" s="3" t="s">
        <v>1973</v>
      </c>
      <c r="G1967" s="3" t="s">
        <v>1909</v>
      </c>
      <c r="H1967" s="4"/>
      <c r="I1967" s="4">
        <f t="shared" si="177"/>
        <v>0</v>
      </c>
      <c r="J1967" s="4"/>
      <c r="K1967" s="4">
        <f t="shared" si="150"/>
        <v>0</v>
      </c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 spans="1:26" ht="15.75" customHeight="1" x14ac:dyDescent="0.2">
      <c r="A1968" s="1"/>
      <c r="B1968" s="2" t="s">
        <v>807</v>
      </c>
      <c r="C1968" s="3" t="s">
        <v>1163</v>
      </c>
      <c r="D1968" s="3" t="s">
        <v>557</v>
      </c>
      <c r="E1968" s="3" t="s">
        <v>306</v>
      </c>
      <c r="F1968" s="3" t="s">
        <v>1973</v>
      </c>
      <c r="G1968" s="3" t="s">
        <v>1909</v>
      </c>
      <c r="H1968" s="4"/>
      <c r="I1968" s="4">
        <f t="shared" si="177"/>
        <v>0</v>
      </c>
      <c r="J1968" s="4"/>
      <c r="K1968" s="4">
        <f t="shared" si="150"/>
        <v>0</v>
      </c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 spans="1:26" ht="15.75" customHeight="1" x14ac:dyDescent="0.2">
      <c r="A1969" s="1"/>
      <c r="B1969" s="2" t="s">
        <v>736</v>
      </c>
      <c r="C1969" s="3" t="s">
        <v>1455</v>
      </c>
      <c r="D1969" s="3" t="s">
        <v>809</v>
      </c>
      <c r="E1969" s="3" t="s">
        <v>424</v>
      </c>
      <c r="F1969" s="3" t="s">
        <v>1973</v>
      </c>
      <c r="G1969" s="3" t="s">
        <v>1909</v>
      </c>
      <c r="H1969" s="4"/>
      <c r="I1969" s="4">
        <f t="shared" si="177"/>
        <v>0</v>
      </c>
      <c r="J1969" s="4"/>
      <c r="K1969" s="4">
        <f t="shared" si="150"/>
        <v>0</v>
      </c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 spans="1:26" ht="15.75" customHeight="1" x14ac:dyDescent="0.2">
      <c r="A1970" s="1"/>
      <c r="B1970" s="2" t="s">
        <v>1977</v>
      </c>
      <c r="C1970" s="3" t="s">
        <v>1978</v>
      </c>
      <c r="D1970" s="3" t="s">
        <v>21</v>
      </c>
      <c r="E1970" s="3" t="s">
        <v>571</v>
      </c>
      <c r="F1970" s="3" t="s">
        <v>1973</v>
      </c>
      <c r="G1970" s="3" t="s">
        <v>1909</v>
      </c>
      <c r="H1970" s="4"/>
      <c r="I1970" s="4">
        <f t="shared" si="177"/>
        <v>0</v>
      </c>
      <c r="J1970" s="4"/>
      <c r="K1970" s="4">
        <f t="shared" si="150"/>
        <v>0</v>
      </c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 spans="1:26" ht="15.75" customHeight="1" x14ac:dyDescent="0.2">
      <c r="A1971" s="1"/>
      <c r="B1971" s="2" t="s">
        <v>815</v>
      </c>
      <c r="C1971" s="3" t="s">
        <v>1979</v>
      </c>
      <c r="D1971" s="3" t="s">
        <v>1980</v>
      </c>
      <c r="E1971" s="3" t="s">
        <v>1981</v>
      </c>
      <c r="F1971" s="3" t="s">
        <v>1973</v>
      </c>
      <c r="G1971" s="3" t="s">
        <v>1909</v>
      </c>
      <c r="H1971" s="4"/>
      <c r="I1971" s="4">
        <f t="shared" si="177"/>
        <v>0</v>
      </c>
      <c r="J1971" s="4"/>
      <c r="K1971" s="4">
        <f t="shared" si="150"/>
        <v>0</v>
      </c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 spans="1:26" ht="15.75" customHeight="1" x14ac:dyDescent="0.2">
      <c r="A1972" s="1"/>
      <c r="B1972" s="2" t="s">
        <v>807</v>
      </c>
      <c r="C1972" s="3" t="s">
        <v>1982</v>
      </c>
      <c r="D1972" s="3" t="s">
        <v>266</v>
      </c>
      <c r="E1972" s="3" t="s">
        <v>567</v>
      </c>
      <c r="F1972" s="3" t="s">
        <v>1973</v>
      </c>
      <c r="G1972" s="3" t="s">
        <v>1909</v>
      </c>
      <c r="H1972" s="4"/>
      <c r="I1972" s="4">
        <f t="shared" si="177"/>
        <v>0</v>
      </c>
      <c r="J1972" s="4"/>
      <c r="K1972" s="4">
        <f t="shared" si="150"/>
        <v>0</v>
      </c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 spans="1:26" ht="15.75" customHeight="1" x14ac:dyDescent="0.2">
      <c r="A1973" s="1"/>
      <c r="B1973" s="2" t="s">
        <v>815</v>
      </c>
      <c r="C1973" s="3" t="s">
        <v>1983</v>
      </c>
      <c r="D1973" s="3" t="s">
        <v>28</v>
      </c>
      <c r="E1973" s="3" t="s">
        <v>1217</v>
      </c>
      <c r="F1973" s="3" t="s">
        <v>1973</v>
      </c>
      <c r="G1973" s="3" t="s">
        <v>1909</v>
      </c>
      <c r="H1973" s="4"/>
      <c r="I1973" s="4">
        <f t="shared" si="177"/>
        <v>0</v>
      </c>
      <c r="J1973" s="4"/>
      <c r="K1973" s="4">
        <f t="shared" si="150"/>
        <v>0</v>
      </c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 spans="1:26" ht="15.75" customHeight="1" x14ac:dyDescent="0.2">
      <c r="A1974" s="1"/>
      <c r="B1974" s="2" t="s">
        <v>736</v>
      </c>
      <c r="C1974" s="3" t="s">
        <v>366</v>
      </c>
      <c r="D1974" s="3" t="s">
        <v>186</v>
      </c>
      <c r="E1974" s="3" t="s">
        <v>237</v>
      </c>
      <c r="F1974" s="3" t="s">
        <v>1973</v>
      </c>
      <c r="G1974" s="3" t="s">
        <v>1909</v>
      </c>
      <c r="H1974" s="4"/>
      <c r="I1974" s="4">
        <f t="shared" si="177"/>
        <v>0</v>
      </c>
      <c r="J1974" s="4"/>
      <c r="K1974" s="4">
        <f t="shared" si="150"/>
        <v>0</v>
      </c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 spans="1:26" ht="15.75" customHeight="1" x14ac:dyDescent="0.2">
      <c r="A1975" s="1">
        <v>127</v>
      </c>
      <c r="B1975" s="13" t="s">
        <v>360</v>
      </c>
      <c r="C1975" s="14" t="s">
        <v>1343</v>
      </c>
      <c r="D1975" s="14" t="s">
        <v>1984</v>
      </c>
      <c r="E1975" s="14" t="s">
        <v>1985</v>
      </c>
      <c r="F1975" s="14" t="s">
        <v>1986</v>
      </c>
      <c r="G1975" s="14" t="s">
        <v>1909</v>
      </c>
      <c r="H1975" s="4"/>
      <c r="I1975" s="4">
        <f>H1975*2300</f>
        <v>0</v>
      </c>
      <c r="J1975" s="4"/>
      <c r="K1975" s="4">
        <f t="shared" si="150"/>
        <v>0</v>
      </c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 spans="1:26" ht="15.75" customHeight="1" x14ac:dyDescent="0.2">
      <c r="A1976" s="1"/>
      <c r="B1976" s="2" t="s">
        <v>114</v>
      </c>
      <c r="C1976" s="3" t="s">
        <v>1987</v>
      </c>
      <c r="D1976" s="3" t="s">
        <v>1627</v>
      </c>
      <c r="E1976" s="3" t="s">
        <v>1352</v>
      </c>
      <c r="F1976" s="3" t="s">
        <v>1986</v>
      </c>
      <c r="G1976" s="3" t="s">
        <v>1909</v>
      </c>
      <c r="H1976" s="4"/>
      <c r="I1976" s="4">
        <f t="shared" ref="I1976:I1992" si="178">H1976*1800</f>
        <v>0</v>
      </c>
      <c r="J1976" s="4"/>
      <c r="K1976" s="4">
        <f t="shared" si="150"/>
        <v>0</v>
      </c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 spans="1:26" ht="15.75" customHeight="1" x14ac:dyDescent="0.2">
      <c r="A1977" s="1"/>
      <c r="B1977" s="2" t="s">
        <v>300</v>
      </c>
      <c r="C1977" s="3" t="s">
        <v>1343</v>
      </c>
      <c r="D1977" s="3" t="s">
        <v>1984</v>
      </c>
      <c r="E1977" s="3" t="s">
        <v>1985</v>
      </c>
      <c r="F1977" s="3" t="s">
        <v>1986</v>
      </c>
      <c r="G1977" s="3" t="s">
        <v>1909</v>
      </c>
      <c r="H1977" s="4"/>
      <c r="I1977" s="4">
        <f t="shared" si="178"/>
        <v>0</v>
      </c>
      <c r="J1977" s="4"/>
      <c r="K1977" s="4">
        <f t="shared" si="150"/>
        <v>0</v>
      </c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 spans="1:26" ht="15.75" customHeight="1" x14ac:dyDescent="0.2">
      <c r="A1978" s="1"/>
      <c r="B1978" s="2" t="s">
        <v>102</v>
      </c>
      <c r="C1978" s="3" t="s">
        <v>1343</v>
      </c>
      <c r="D1978" s="3" t="s">
        <v>1984</v>
      </c>
      <c r="E1978" s="3" t="s">
        <v>1985</v>
      </c>
      <c r="F1978" s="3" t="s">
        <v>1986</v>
      </c>
      <c r="G1978" s="3" t="s">
        <v>1909</v>
      </c>
      <c r="H1978" s="4"/>
      <c r="I1978" s="4">
        <f t="shared" si="178"/>
        <v>0</v>
      </c>
      <c r="J1978" s="4"/>
      <c r="K1978" s="4">
        <f t="shared" si="150"/>
        <v>0</v>
      </c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 spans="1:26" ht="15.75" customHeight="1" x14ac:dyDescent="0.2">
      <c r="A1979" s="1"/>
      <c r="B1979" s="2" t="s">
        <v>297</v>
      </c>
      <c r="C1979" s="3" t="s">
        <v>1988</v>
      </c>
      <c r="D1979" s="3" t="s">
        <v>75</v>
      </c>
      <c r="E1979" s="3" t="s">
        <v>1989</v>
      </c>
      <c r="F1979" s="3" t="s">
        <v>1986</v>
      </c>
      <c r="G1979" s="3" t="s">
        <v>1909</v>
      </c>
      <c r="H1979" s="4"/>
      <c r="I1979" s="4">
        <f t="shared" si="178"/>
        <v>0</v>
      </c>
      <c r="J1979" s="4"/>
      <c r="K1979" s="4">
        <f t="shared" si="150"/>
        <v>0</v>
      </c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 spans="1:26" ht="15.75" customHeight="1" x14ac:dyDescent="0.2">
      <c r="A1980" s="1"/>
      <c r="B1980" s="2" t="s">
        <v>126</v>
      </c>
      <c r="C1980" s="3" t="s">
        <v>1990</v>
      </c>
      <c r="D1980" s="3" t="s">
        <v>1627</v>
      </c>
      <c r="E1980" s="3" t="s">
        <v>1981</v>
      </c>
      <c r="F1980" s="3" t="s">
        <v>1986</v>
      </c>
      <c r="G1980" s="3" t="s">
        <v>1909</v>
      </c>
      <c r="H1980" s="4"/>
      <c r="I1980" s="4">
        <f t="shared" si="178"/>
        <v>0</v>
      </c>
      <c r="J1980" s="4"/>
      <c r="K1980" s="4">
        <f t="shared" si="150"/>
        <v>0</v>
      </c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 spans="1:26" ht="15.75" customHeight="1" x14ac:dyDescent="0.2">
      <c r="A1981" s="1"/>
      <c r="B1981" s="2" t="s">
        <v>131</v>
      </c>
      <c r="C1981" s="3" t="s">
        <v>1990</v>
      </c>
      <c r="D1981" s="3" t="s">
        <v>1627</v>
      </c>
      <c r="E1981" s="3" t="s">
        <v>1981</v>
      </c>
      <c r="F1981" s="3" t="s">
        <v>1986</v>
      </c>
      <c r="G1981" s="3" t="s">
        <v>1909</v>
      </c>
      <c r="H1981" s="4"/>
      <c r="I1981" s="4">
        <f t="shared" si="178"/>
        <v>0</v>
      </c>
      <c r="J1981" s="4"/>
      <c r="K1981" s="4">
        <f t="shared" si="150"/>
        <v>0</v>
      </c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 spans="1:26" ht="15.75" customHeight="1" x14ac:dyDescent="0.2">
      <c r="A1982" s="1"/>
      <c r="B1982" s="2" t="s">
        <v>316</v>
      </c>
      <c r="C1982" s="3" t="s">
        <v>1991</v>
      </c>
      <c r="D1982" s="3" t="s">
        <v>373</v>
      </c>
      <c r="E1982" s="3" t="s">
        <v>1925</v>
      </c>
      <c r="F1982" s="3" t="s">
        <v>1986</v>
      </c>
      <c r="G1982" s="3" t="s">
        <v>1909</v>
      </c>
      <c r="H1982" s="4"/>
      <c r="I1982" s="4">
        <f t="shared" si="178"/>
        <v>0</v>
      </c>
      <c r="J1982" s="4"/>
      <c r="K1982" s="4">
        <f t="shared" si="150"/>
        <v>0</v>
      </c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 spans="1:26" ht="15.75" customHeight="1" x14ac:dyDescent="0.2">
      <c r="A1983" s="1"/>
      <c r="B1983" s="2" t="s">
        <v>102</v>
      </c>
      <c r="C1983" s="3" t="s">
        <v>1991</v>
      </c>
      <c r="D1983" s="3" t="s">
        <v>373</v>
      </c>
      <c r="E1983" s="3" t="s">
        <v>1925</v>
      </c>
      <c r="F1983" s="3" t="s">
        <v>1986</v>
      </c>
      <c r="G1983" s="3" t="s">
        <v>1909</v>
      </c>
      <c r="H1983" s="4"/>
      <c r="I1983" s="4">
        <f t="shared" si="178"/>
        <v>0</v>
      </c>
      <c r="J1983" s="4"/>
      <c r="K1983" s="4">
        <f t="shared" si="150"/>
        <v>0</v>
      </c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 spans="1:26" ht="15.75" customHeight="1" x14ac:dyDescent="0.2">
      <c r="A1984" s="1"/>
      <c r="B1984" s="2" t="s">
        <v>818</v>
      </c>
      <c r="C1984" s="3" t="s">
        <v>1992</v>
      </c>
      <c r="D1984" s="3" t="s">
        <v>809</v>
      </c>
      <c r="E1984" s="3" t="s">
        <v>112</v>
      </c>
      <c r="F1984" s="3" t="s">
        <v>1986</v>
      </c>
      <c r="G1984" s="3" t="s">
        <v>1909</v>
      </c>
      <c r="H1984" s="4"/>
      <c r="I1984" s="4">
        <f t="shared" si="178"/>
        <v>0</v>
      </c>
      <c r="J1984" s="4"/>
      <c r="K1984" s="4">
        <f t="shared" si="150"/>
        <v>0</v>
      </c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 spans="1:26" ht="15.75" customHeight="1" x14ac:dyDescent="0.2">
      <c r="A1985" s="1"/>
      <c r="B1985" s="2" t="s">
        <v>315</v>
      </c>
      <c r="C1985" s="3" t="s">
        <v>253</v>
      </c>
      <c r="D1985" s="3" t="s">
        <v>376</v>
      </c>
      <c r="E1985" s="3" t="s">
        <v>1993</v>
      </c>
      <c r="F1985" s="3" t="s">
        <v>1986</v>
      </c>
      <c r="G1985" s="3" t="s">
        <v>1909</v>
      </c>
      <c r="H1985" s="4"/>
      <c r="I1985" s="4">
        <f t="shared" si="178"/>
        <v>0</v>
      </c>
      <c r="J1985" s="4"/>
      <c r="K1985" s="4">
        <f t="shared" si="150"/>
        <v>0</v>
      </c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 spans="1:26" ht="15.75" customHeight="1" x14ac:dyDescent="0.2">
      <c r="A1986" s="1"/>
      <c r="B1986" s="2" t="s">
        <v>300</v>
      </c>
      <c r="C1986" s="3" t="s">
        <v>1994</v>
      </c>
      <c r="D1986" s="3" t="s">
        <v>441</v>
      </c>
      <c r="E1986" s="3" t="s">
        <v>32</v>
      </c>
      <c r="F1986" s="3" t="s">
        <v>1986</v>
      </c>
      <c r="G1986" s="3" t="s">
        <v>1909</v>
      </c>
      <c r="H1986" s="4"/>
      <c r="I1986" s="4">
        <f t="shared" si="178"/>
        <v>0</v>
      </c>
      <c r="J1986" s="4"/>
      <c r="K1986" s="4">
        <f t="shared" si="150"/>
        <v>0</v>
      </c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 spans="1:26" ht="15.75" customHeight="1" x14ac:dyDescent="0.2">
      <c r="A1987" s="1"/>
      <c r="B1987" s="2" t="s">
        <v>102</v>
      </c>
      <c r="C1987" s="3" t="s">
        <v>1994</v>
      </c>
      <c r="D1987" s="3" t="s">
        <v>441</v>
      </c>
      <c r="E1987" s="3" t="s">
        <v>32</v>
      </c>
      <c r="F1987" s="3" t="s">
        <v>1986</v>
      </c>
      <c r="G1987" s="3" t="s">
        <v>1909</v>
      </c>
      <c r="H1987" s="4"/>
      <c r="I1987" s="4">
        <f t="shared" si="178"/>
        <v>0</v>
      </c>
      <c r="J1987" s="4"/>
      <c r="K1987" s="4">
        <f t="shared" si="150"/>
        <v>0</v>
      </c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 spans="1:26" ht="15.75" customHeight="1" x14ac:dyDescent="0.2">
      <c r="A1988" s="1"/>
      <c r="B1988" s="2" t="s">
        <v>323</v>
      </c>
      <c r="C1988" s="3" t="s">
        <v>1995</v>
      </c>
      <c r="D1988" s="3" t="s">
        <v>906</v>
      </c>
      <c r="E1988" s="3" t="s">
        <v>1811</v>
      </c>
      <c r="F1988" s="3" t="s">
        <v>1996</v>
      </c>
      <c r="G1988" s="3" t="s">
        <v>1909</v>
      </c>
      <c r="H1988" s="4"/>
      <c r="I1988" s="4">
        <f t="shared" si="178"/>
        <v>0</v>
      </c>
      <c r="J1988" s="4"/>
      <c r="K1988" s="4">
        <f t="shared" si="150"/>
        <v>0</v>
      </c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 spans="1:26" ht="15.75" customHeight="1" x14ac:dyDescent="0.2">
      <c r="A1989" s="1"/>
      <c r="B1989" s="2" t="s">
        <v>108</v>
      </c>
      <c r="C1989" s="3" t="s">
        <v>1995</v>
      </c>
      <c r="D1989" s="3" t="s">
        <v>906</v>
      </c>
      <c r="E1989" s="3" t="s">
        <v>1811</v>
      </c>
      <c r="F1989" s="3" t="s">
        <v>1996</v>
      </c>
      <c r="G1989" s="3" t="s">
        <v>1909</v>
      </c>
      <c r="H1989" s="4"/>
      <c r="I1989" s="4">
        <f t="shared" si="178"/>
        <v>0</v>
      </c>
      <c r="J1989" s="4"/>
      <c r="K1989" s="4">
        <f t="shared" si="150"/>
        <v>0</v>
      </c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 spans="1:26" ht="15.75" customHeight="1" x14ac:dyDescent="0.2">
      <c r="A1990" s="1"/>
      <c r="B1990" s="2" t="s">
        <v>303</v>
      </c>
      <c r="C1990" s="3" t="s">
        <v>1995</v>
      </c>
      <c r="D1990" s="3" t="s">
        <v>906</v>
      </c>
      <c r="E1990" s="3" t="s">
        <v>1811</v>
      </c>
      <c r="F1990" s="3" t="s">
        <v>1996</v>
      </c>
      <c r="G1990" s="3" t="s">
        <v>1909</v>
      </c>
      <c r="H1990" s="4"/>
      <c r="I1990" s="4">
        <f t="shared" si="178"/>
        <v>0</v>
      </c>
      <c r="J1990" s="4"/>
      <c r="K1990" s="4">
        <f t="shared" si="150"/>
        <v>0</v>
      </c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 spans="1:26" ht="15.75" customHeight="1" x14ac:dyDescent="0.2">
      <c r="A1991" s="1"/>
      <c r="B1991" s="2" t="s">
        <v>315</v>
      </c>
      <c r="C1991" s="3" t="s">
        <v>1997</v>
      </c>
      <c r="D1991" s="3" t="s">
        <v>1998</v>
      </c>
      <c r="E1991" s="3" t="s">
        <v>83</v>
      </c>
      <c r="F1991" s="3" t="s">
        <v>1999</v>
      </c>
      <c r="G1991" s="3" t="s">
        <v>1909</v>
      </c>
      <c r="H1991" s="4"/>
      <c r="I1991" s="4">
        <f t="shared" si="178"/>
        <v>0</v>
      </c>
      <c r="J1991" s="4"/>
      <c r="K1991" s="4">
        <f t="shared" si="150"/>
        <v>0</v>
      </c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 spans="1:26" ht="15.75" customHeight="1" x14ac:dyDescent="0.2">
      <c r="A1992" s="1"/>
      <c r="B1992" s="2" t="s">
        <v>316</v>
      </c>
      <c r="C1992" s="3" t="s">
        <v>1997</v>
      </c>
      <c r="D1992" s="3" t="s">
        <v>1998</v>
      </c>
      <c r="E1992" s="3" t="s">
        <v>83</v>
      </c>
      <c r="F1992" s="3" t="s">
        <v>1999</v>
      </c>
      <c r="G1992" s="3" t="s">
        <v>1909</v>
      </c>
      <c r="H1992" s="4"/>
      <c r="I1992" s="4">
        <f t="shared" si="178"/>
        <v>0</v>
      </c>
      <c r="J1992" s="4"/>
      <c r="K1992" s="4">
        <f t="shared" si="150"/>
        <v>0</v>
      </c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 spans="1:26" ht="15.75" customHeight="1" x14ac:dyDescent="0.2">
      <c r="A1993" s="1">
        <v>1607</v>
      </c>
      <c r="B1993" s="13" t="s">
        <v>264</v>
      </c>
      <c r="C1993" s="14" t="s">
        <v>2000</v>
      </c>
      <c r="D1993" s="14" t="s">
        <v>2001</v>
      </c>
      <c r="E1993" s="14" t="s">
        <v>2002</v>
      </c>
      <c r="F1993" s="14" t="s">
        <v>1999</v>
      </c>
      <c r="G1993" s="14" t="s">
        <v>1909</v>
      </c>
      <c r="H1993" s="4"/>
      <c r="I1993" s="4">
        <f>H1993*2300</f>
        <v>0</v>
      </c>
      <c r="J1993" s="4"/>
      <c r="K1993" s="4">
        <f t="shared" si="150"/>
        <v>0</v>
      </c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 spans="1:26" ht="15.75" customHeight="1" x14ac:dyDescent="0.2">
      <c r="A1994" s="1"/>
      <c r="B1994" s="2" t="s">
        <v>102</v>
      </c>
      <c r="C1994" s="3" t="s">
        <v>2000</v>
      </c>
      <c r="D1994" s="3" t="s">
        <v>2003</v>
      </c>
      <c r="E1994" s="3" t="s">
        <v>2002</v>
      </c>
      <c r="F1994" s="3" t="s">
        <v>1999</v>
      </c>
      <c r="G1994" s="3" t="s">
        <v>1909</v>
      </c>
      <c r="H1994" s="4"/>
      <c r="I1994" s="4">
        <f t="shared" ref="I1994:I2017" si="179">H1994*1800</f>
        <v>0</v>
      </c>
      <c r="J1994" s="4"/>
      <c r="K1994" s="4">
        <f t="shared" si="150"/>
        <v>0</v>
      </c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 spans="1:26" ht="15.75" customHeight="1" x14ac:dyDescent="0.2">
      <c r="A1995" s="1"/>
      <c r="B1995" s="2" t="s">
        <v>315</v>
      </c>
      <c r="C1995" s="3" t="s">
        <v>2004</v>
      </c>
      <c r="D1995" s="3" t="s">
        <v>2005</v>
      </c>
      <c r="E1995" s="3" t="s">
        <v>2006</v>
      </c>
      <c r="F1995" s="3" t="s">
        <v>1999</v>
      </c>
      <c r="G1995" s="3" t="s">
        <v>1909</v>
      </c>
      <c r="H1995" s="4"/>
      <c r="I1995" s="4">
        <f t="shared" si="179"/>
        <v>0</v>
      </c>
      <c r="J1995" s="4"/>
      <c r="K1995" s="4">
        <f t="shared" si="150"/>
        <v>0</v>
      </c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 spans="1:26" ht="15.75" customHeight="1" x14ac:dyDescent="0.2">
      <c r="A1996" s="1"/>
      <c r="B1996" s="2" t="s">
        <v>323</v>
      </c>
      <c r="C1996" s="3" t="s">
        <v>2004</v>
      </c>
      <c r="D1996" s="3" t="s">
        <v>2005</v>
      </c>
      <c r="E1996" s="3" t="s">
        <v>2006</v>
      </c>
      <c r="F1996" s="3" t="s">
        <v>1999</v>
      </c>
      <c r="G1996" s="3" t="s">
        <v>1909</v>
      </c>
      <c r="H1996" s="4"/>
      <c r="I1996" s="4">
        <f t="shared" si="179"/>
        <v>0</v>
      </c>
      <c r="J1996" s="4"/>
      <c r="K1996" s="4">
        <f t="shared" si="150"/>
        <v>0</v>
      </c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 spans="1:26" ht="15.75" customHeight="1" x14ac:dyDescent="0.2">
      <c r="A1997" s="1"/>
      <c r="B1997" s="2" t="s">
        <v>102</v>
      </c>
      <c r="C1997" s="3" t="s">
        <v>2007</v>
      </c>
      <c r="D1997" s="3" t="s">
        <v>58</v>
      </c>
      <c r="E1997" s="3" t="s">
        <v>630</v>
      </c>
      <c r="F1997" s="3" t="s">
        <v>2008</v>
      </c>
      <c r="G1997" s="3" t="s">
        <v>2009</v>
      </c>
      <c r="H1997" s="4"/>
      <c r="I1997" s="4">
        <f t="shared" si="179"/>
        <v>0</v>
      </c>
      <c r="J1997" s="4"/>
      <c r="K1997" s="4">
        <f t="shared" si="150"/>
        <v>0</v>
      </c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 spans="1:26" ht="15.75" customHeight="1" x14ac:dyDescent="0.2">
      <c r="A1998" s="1"/>
      <c r="B1998" s="2" t="s">
        <v>232</v>
      </c>
      <c r="C1998" s="3" t="s">
        <v>2007</v>
      </c>
      <c r="D1998" s="3" t="s">
        <v>58</v>
      </c>
      <c r="E1998" s="3" t="s">
        <v>630</v>
      </c>
      <c r="F1998" s="3" t="s">
        <v>2008</v>
      </c>
      <c r="G1998" s="3" t="s">
        <v>2009</v>
      </c>
      <c r="H1998" s="4"/>
      <c r="I1998" s="4">
        <f t="shared" si="179"/>
        <v>0</v>
      </c>
      <c r="J1998" s="4"/>
      <c r="K1998" s="4">
        <f t="shared" si="150"/>
        <v>0</v>
      </c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 spans="1:26" ht="15.75" customHeight="1" x14ac:dyDescent="0.2">
      <c r="A1999" s="1"/>
      <c r="B1999" s="2" t="s">
        <v>303</v>
      </c>
      <c r="C1999" s="3" t="s">
        <v>2007</v>
      </c>
      <c r="D1999" s="3" t="s">
        <v>58</v>
      </c>
      <c r="E1999" s="3" t="s">
        <v>630</v>
      </c>
      <c r="F1999" s="3" t="s">
        <v>2008</v>
      </c>
      <c r="G1999" s="3" t="s">
        <v>2009</v>
      </c>
      <c r="H1999" s="4"/>
      <c r="I1999" s="4">
        <f t="shared" si="179"/>
        <v>0</v>
      </c>
      <c r="J1999" s="4"/>
      <c r="K1999" s="4">
        <f t="shared" si="150"/>
        <v>0</v>
      </c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 spans="1:26" ht="15.75" customHeight="1" x14ac:dyDescent="0.2">
      <c r="A2000" s="1"/>
      <c r="B2000" s="2" t="s">
        <v>94</v>
      </c>
      <c r="C2000" s="3" t="s">
        <v>2007</v>
      </c>
      <c r="D2000" s="3" t="s">
        <v>58</v>
      </c>
      <c r="E2000" s="3" t="s">
        <v>630</v>
      </c>
      <c r="F2000" s="3" t="s">
        <v>2008</v>
      </c>
      <c r="G2000" s="3" t="s">
        <v>2009</v>
      </c>
      <c r="H2000" s="4"/>
      <c r="I2000" s="4">
        <f t="shared" si="179"/>
        <v>0</v>
      </c>
      <c r="J2000" s="4"/>
      <c r="K2000" s="4">
        <f t="shared" si="150"/>
        <v>0</v>
      </c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 spans="1:26" ht="15.75" customHeight="1" x14ac:dyDescent="0.2">
      <c r="A2001" s="1"/>
      <c r="B2001" s="2" t="s">
        <v>126</v>
      </c>
      <c r="C2001" s="3" t="s">
        <v>2010</v>
      </c>
      <c r="D2001" s="3" t="s">
        <v>2011</v>
      </c>
      <c r="E2001" s="3" t="s">
        <v>1038</v>
      </c>
      <c r="F2001" s="3" t="s">
        <v>2008</v>
      </c>
      <c r="G2001" s="3" t="s">
        <v>2009</v>
      </c>
      <c r="H2001" s="4"/>
      <c r="I2001" s="4">
        <f t="shared" si="179"/>
        <v>0</v>
      </c>
      <c r="J2001" s="4"/>
      <c r="K2001" s="4">
        <f t="shared" si="150"/>
        <v>0</v>
      </c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 spans="1:26" ht="15.75" customHeight="1" x14ac:dyDescent="0.2">
      <c r="A2002" s="1"/>
      <c r="B2002" s="2" t="s">
        <v>131</v>
      </c>
      <c r="C2002" s="3" t="s">
        <v>2010</v>
      </c>
      <c r="D2002" s="3" t="s">
        <v>2011</v>
      </c>
      <c r="E2002" s="3" t="s">
        <v>1038</v>
      </c>
      <c r="F2002" s="3" t="s">
        <v>2008</v>
      </c>
      <c r="G2002" s="3" t="s">
        <v>2009</v>
      </c>
      <c r="H2002" s="4"/>
      <c r="I2002" s="4">
        <f t="shared" si="179"/>
        <v>0</v>
      </c>
      <c r="J2002" s="4"/>
      <c r="K2002" s="4">
        <f t="shared" si="150"/>
        <v>0</v>
      </c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 spans="1:26" ht="15.75" customHeight="1" x14ac:dyDescent="0.2">
      <c r="A2003" s="1"/>
      <c r="B2003" s="2" t="s">
        <v>303</v>
      </c>
      <c r="C2003" s="3" t="s">
        <v>2010</v>
      </c>
      <c r="D2003" s="3" t="s">
        <v>2011</v>
      </c>
      <c r="E2003" s="3" t="s">
        <v>1038</v>
      </c>
      <c r="F2003" s="3" t="s">
        <v>2008</v>
      </c>
      <c r="G2003" s="3" t="s">
        <v>2009</v>
      </c>
      <c r="H2003" s="4"/>
      <c r="I2003" s="4">
        <f t="shared" si="179"/>
        <v>0</v>
      </c>
      <c r="J2003" s="4"/>
      <c r="K2003" s="4">
        <f t="shared" si="150"/>
        <v>0</v>
      </c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 spans="1:26" ht="15.75" customHeight="1" x14ac:dyDescent="0.2">
      <c r="A2004" s="1"/>
      <c r="B2004" s="2" t="s">
        <v>94</v>
      </c>
      <c r="C2004" s="3" t="s">
        <v>2010</v>
      </c>
      <c r="D2004" s="3" t="s">
        <v>2011</v>
      </c>
      <c r="E2004" s="3" t="s">
        <v>1038</v>
      </c>
      <c r="F2004" s="3" t="s">
        <v>2008</v>
      </c>
      <c r="G2004" s="3" t="s">
        <v>2009</v>
      </c>
      <c r="H2004" s="4"/>
      <c r="I2004" s="4">
        <f t="shared" si="179"/>
        <v>0</v>
      </c>
      <c r="J2004" s="4"/>
      <c r="K2004" s="4">
        <f t="shared" si="150"/>
        <v>0</v>
      </c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 spans="1:26" ht="15.75" customHeight="1" x14ac:dyDescent="0.2">
      <c r="A2005" s="1"/>
      <c r="B2005" s="2" t="s">
        <v>316</v>
      </c>
      <c r="C2005" s="3" t="s">
        <v>2012</v>
      </c>
      <c r="D2005" s="3" t="s">
        <v>513</v>
      </c>
      <c r="E2005" s="3" t="s">
        <v>639</v>
      </c>
      <c r="F2005" s="3" t="s">
        <v>2008</v>
      </c>
      <c r="G2005" s="3" t="s">
        <v>2009</v>
      </c>
      <c r="H2005" s="4"/>
      <c r="I2005" s="4">
        <f t="shared" si="179"/>
        <v>0</v>
      </c>
      <c r="J2005" s="4"/>
      <c r="K2005" s="4">
        <f t="shared" si="150"/>
        <v>0</v>
      </c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 spans="1:26" ht="15.75" customHeight="1" x14ac:dyDescent="0.2">
      <c r="A2006" s="1"/>
      <c r="B2006" s="2" t="s">
        <v>102</v>
      </c>
      <c r="C2006" s="3" t="s">
        <v>2012</v>
      </c>
      <c r="D2006" s="3" t="s">
        <v>513</v>
      </c>
      <c r="E2006" s="3" t="s">
        <v>639</v>
      </c>
      <c r="F2006" s="3" t="s">
        <v>2008</v>
      </c>
      <c r="G2006" s="3" t="s">
        <v>2009</v>
      </c>
      <c r="H2006" s="4"/>
      <c r="I2006" s="4">
        <f t="shared" si="179"/>
        <v>0</v>
      </c>
      <c r="J2006" s="4"/>
      <c r="K2006" s="4">
        <f t="shared" ref="K2006:K2205" si="180">J2006*4000</f>
        <v>0</v>
      </c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 spans="1:26" ht="15.75" customHeight="1" x14ac:dyDescent="0.2">
      <c r="A2007" s="1"/>
      <c r="B2007" s="2" t="s">
        <v>303</v>
      </c>
      <c r="C2007" s="3" t="s">
        <v>2012</v>
      </c>
      <c r="D2007" s="3" t="s">
        <v>513</v>
      </c>
      <c r="E2007" s="3" t="s">
        <v>639</v>
      </c>
      <c r="F2007" s="3" t="s">
        <v>2008</v>
      </c>
      <c r="G2007" s="3" t="s">
        <v>2009</v>
      </c>
      <c r="H2007" s="4"/>
      <c r="I2007" s="4">
        <f t="shared" si="179"/>
        <v>0</v>
      </c>
      <c r="J2007" s="4"/>
      <c r="K2007" s="4">
        <f t="shared" si="180"/>
        <v>0</v>
      </c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 spans="1:26" ht="15.75" customHeight="1" x14ac:dyDescent="0.2">
      <c r="A2008" s="1"/>
      <c r="B2008" s="2" t="s">
        <v>94</v>
      </c>
      <c r="C2008" s="3" t="s">
        <v>2012</v>
      </c>
      <c r="D2008" s="3" t="s">
        <v>513</v>
      </c>
      <c r="E2008" s="3" t="s">
        <v>639</v>
      </c>
      <c r="F2008" s="3" t="s">
        <v>2008</v>
      </c>
      <c r="G2008" s="3" t="s">
        <v>2009</v>
      </c>
      <c r="H2008" s="4"/>
      <c r="I2008" s="4">
        <f t="shared" si="179"/>
        <v>0</v>
      </c>
      <c r="J2008" s="4"/>
      <c r="K2008" s="4">
        <f t="shared" si="180"/>
        <v>0</v>
      </c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 spans="1:26" ht="15.75" customHeight="1" x14ac:dyDescent="0.2">
      <c r="A2009" s="1"/>
      <c r="B2009" s="2" t="s">
        <v>297</v>
      </c>
      <c r="C2009" s="3" t="s">
        <v>2013</v>
      </c>
      <c r="D2009" s="3" t="s">
        <v>325</v>
      </c>
      <c r="E2009" s="3" t="s">
        <v>306</v>
      </c>
      <c r="F2009" s="3" t="s">
        <v>2008</v>
      </c>
      <c r="G2009" s="3" t="s">
        <v>2009</v>
      </c>
      <c r="H2009" s="4"/>
      <c r="I2009" s="4">
        <f t="shared" si="179"/>
        <v>0</v>
      </c>
      <c r="J2009" s="4"/>
      <c r="K2009" s="4">
        <f t="shared" si="180"/>
        <v>0</v>
      </c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 spans="1:26" ht="15.75" customHeight="1" x14ac:dyDescent="0.2">
      <c r="A2010" s="1"/>
      <c r="B2010" s="2" t="s">
        <v>300</v>
      </c>
      <c r="C2010" s="3" t="s">
        <v>2013</v>
      </c>
      <c r="D2010" s="3" t="s">
        <v>325</v>
      </c>
      <c r="E2010" s="3" t="s">
        <v>306</v>
      </c>
      <c r="F2010" s="3" t="s">
        <v>2008</v>
      </c>
      <c r="G2010" s="3" t="s">
        <v>2009</v>
      </c>
      <c r="H2010" s="4"/>
      <c r="I2010" s="4">
        <f t="shared" si="179"/>
        <v>0</v>
      </c>
      <c r="J2010" s="4"/>
      <c r="K2010" s="4">
        <f t="shared" si="180"/>
        <v>0</v>
      </c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 spans="1:26" ht="15.75" customHeight="1" x14ac:dyDescent="0.2">
      <c r="A2011" s="1"/>
      <c r="B2011" s="2" t="s">
        <v>94</v>
      </c>
      <c r="C2011" s="3" t="s">
        <v>2013</v>
      </c>
      <c r="D2011" s="3" t="s">
        <v>325</v>
      </c>
      <c r="E2011" s="3" t="s">
        <v>306</v>
      </c>
      <c r="F2011" s="3" t="s">
        <v>2008</v>
      </c>
      <c r="G2011" s="3" t="s">
        <v>2009</v>
      </c>
      <c r="H2011" s="4"/>
      <c r="I2011" s="4">
        <f t="shared" si="179"/>
        <v>0</v>
      </c>
      <c r="J2011" s="4"/>
      <c r="K2011" s="4">
        <f t="shared" si="180"/>
        <v>0</v>
      </c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 spans="1:26" ht="15.75" customHeight="1" x14ac:dyDescent="0.2">
      <c r="A2012" s="1"/>
      <c r="B2012" s="2" t="s">
        <v>315</v>
      </c>
      <c r="C2012" s="3" t="s">
        <v>2014</v>
      </c>
      <c r="D2012" s="3" t="s">
        <v>513</v>
      </c>
      <c r="E2012" s="3" t="s">
        <v>319</v>
      </c>
      <c r="F2012" s="3" t="s">
        <v>2015</v>
      </c>
      <c r="G2012" s="3" t="s">
        <v>2016</v>
      </c>
      <c r="H2012" s="4"/>
      <c r="I2012" s="4">
        <f t="shared" si="179"/>
        <v>0</v>
      </c>
      <c r="J2012" s="4"/>
      <c r="K2012" s="4">
        <f t="shared" si="180"/>
        <v>0</v>
      </c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 spans="1:26" ht="15.75" customHeight="1" x14ac:dyDescent="0.2">
      <c r="A2013" s="1"/>
      <c r="B2013" s="2" t="s">
        <v>88</v>
      </c>
      <c r="C2013" s="3" t="s">
        <v>2014</v>
      </c>
      <c r="D2013" s="3" t="s">
        <v>513</v>
      </c>
      <c r="E2013" s="3" t="s">
        <v>319</v>
      </c>
      <c r="F2013" s="3" t="s">
        <v>2015</v>
      </c>
      <c r="G2013" s="3" t="s">
        <v>2016</v>
      </c>
      <c r="H2013" s="4"/>
      <c r="I2013" s="4">
        <f t="shared" si="179"/>
        <v>0</v>
      </c>
      <c r="J2013" s="4"/>
      <c r="K2013" s="4">
        <f t="shared" si="180"/>
        <v>0</v>
      </c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 spans="1:26" ht="15.75" customHeight="1" x14ac:dyDescent="0.2">
      <c r="A2014" s="1"/>
      <c r="B2014" s="19" t="s">
        <v>94</v>
      </c>
      <c r="C2014" s="29" t="s">
        <v>2014</v>
      </c>
      <c r="D2014" s="29" t="s">
        <v>513</v>
      </c>
      <c r="E2014" s="3" t="s">
        <v>319</v>
      </c>
      <c r="F2014" s="3" t="s">
        <v>2015</v>
      </c>
      <c r="G2014" s="3" t="s">
        <v>2016</v>
      </c>
      <c r="H2014" s="4"/>
      <c r="I2014" s="4">
        <f t="shared" si="179"/>
        <v>0</v>
      </c>
      <c r="J2014" s="4"/>
      <c r="K2014" s="4">
        <f t="shared" si="180"/>
        <v>0</v>
      </c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 spans="1:26" ht="15.75" customHeight="1" x14ac:dyDescent="0.2">
      <c r="A2015" s="1"/>
      <c r="B2015" s="2" t="s">
        <v>297</v>
      </c>
      <c r="C2015" s="3" t="s">
        <v>2017</v>
      </c>
      <c r="D2015" s="3" t="s">
        <v>139</v>
      </c>
      <c r="E2015" s="3" t="s">
        <v>322</v>
      </c>
      <c r="F2015" s="3" t="s">
        <v>2018</v>
      </c>
      <c r="G2015" s="3" t="s">
        <v>2016</v>
      </c>
      <c r="H2015" s="4"/>
      <c r="I2015" s="4">
        <f t="shared" si="179"/>
        <v>0</v>
      </c>
      <c r="J2015" s="4"/>
      <c r="K2015" s="4">
        <f t="shared" si="180"/>
        <v>0</v>
      </c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 spans="1:26" ht="15.75" customHeight="1" x14ac:dyDescent="0.2">
      <c r="A2016" s="1"/>
      <c r="B2016" s="2" t="s">
        <v>88</v>
      </c>
      <c r="C2016" s="3" t="s">
        <v>2017</v>
      </c>
      <c r="D2016" s="3" t="s">
        <v>139</v>
      </c>
      <c r="E2016" s="3" t="s">
        <v>322</v>
      </c>
      <c r="F2016" s="3" t="s">
        <v>2018</v>
      </c>
      <c r="G2016" s="3" t="s">
        <v>2016</v>
      </c>
      <c r="H2016" s="4"/>
      <c r="I2016" s="4">
        <f t="shared" si="179"/>
        <v>0</v>
      </c>
      <c r="J2016" s="4"/>
      <c r="K2016" s="4">
        <f t="shared" si="180"/>
        <v>0</v>
      </c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 spans="1:26" ht="15.75" customHeight="1" x14ac:dyDescent="0.2">
      <c r="A2017" s="1"/>
      <c r="B2017" s="2" t="s">
        <v>94</v>
      </c>
      <c r="C2017" s="3" t="s">
        <v>2017</v>
      </c>
      <c r="D2017" s="3" t="s">
        <v>139</v>
      </c>
      <c r="E2017" s="3" t="s">
        <v>322</v>
      </c>
      <c r="F2017" s="3" t="s">
        <v>2018</v>
      </c>
      <c r="G2017" s="3" t="s">
        <v>2016</v>
      </c>
      <c r="H2017" s="4"/>
      <c r="I2017" s="4">
        <f t="shared" si="179"/>
        <v>0</v>
      </c>
      <c r="J2017" s="4"/>
      <c r="K2017" s="4">
        <f t="shared" si="180"/>
        <v>0</v>
      </c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 spans="1:26" ht="15.75" customHeight="1" x14ac:dyDescent="0.2">
      <c r="A2018" s="1">
        <v>369</v>
      </c>
      <c r="B2018" s="13" t="s">
        <v>246</v>
      </c>
      <c r="C2018" s="14" t="s">
        <v>2019</v>
      </c>
      <c r="D2018" s="14" t="s">
        <v>116</v>
      </c>
      <c r="E2018" s="14" t="s">
        <v>650</v>
      </c>
      <c r="F2018" s="14" t="s">
        <v>2020</v>
      </c>
      <c r="G2018" s="14" t="s">
        <v>2016</v>
      </c>
      <c r="H2018" s="4"/>
      <c r="I2018" s="4">
        <f t="shared" ref="I2018:I2021" si="181">H2018*2300</f>
        <v>0</v>
      </c>
      <c r="J2018" s="4"/>
      <c r="K2018" s="4">
        <f t="shared" si="180"/>
        <v>0</v>
      </c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 spans="1:26" ht="15.75" customHeight="1" x14ac:dyDescent="0.2">
      <c r="A2019" s="1">
        <v>703</v>
      </c>
      <c r="B2019" s="13" t="s">
        <v>1569</v>
      </c>
      <c r="C2019" s="14" t="s">
        <v>2019</v>
      </c>
      <c r="D2019" s="14" t="s">
        <v>116</v>
      </c>
      <c r="E2019" s="14" t="s">
        <v>650</v>
      </c>
      <c r="F2019" s="14" t="s">
        <v>2020</v>
      </c>
      <c r="G2019" s="14" t="s">
        <v>2016</v>
      </c>
      <c r="H2019" s="4"/>
      <c r="I2019" s="4">
        <f t="shared" si="181"/>
        <v>0</v>
      </c>
      <c r="J2019" s="4"/>
      <c r="K2019" s="4">
        <f t="shared" si="180"/>
        <v>0</v>
      </c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 spans="1:26" ht="15.75" customHeight="1" x14ac:dyDescent="0.2">
      <c r="A2020" s="1">
        <v>1441</v>
      </c>
      <c r="B2020" s="13" t="s">
        <v>261</v>
      </c>
      <c r="C2020" s="14" t="s">
        <v>2019</v>
      </c>
      <c r="D2020" s="14" t="s">
        <v>116</v>
      </c>
      <c r="E2020" s="14" t="s">
        <v>650</v>
      </c>
      <c r="F2020" s="14" t="s">
        <v>2020</v>
      </c>
      <c r="G2020" s="14" t="s">
        <v>2016</v>
      </c>
      <c r="H2020" s="4"/>
      <c r="I2020" s="4">
        <f t="shared" si="181"/>
        <v>0</v>
      </c>
      <c r="J2020" s="4"/>
      <c r="K2020" s="4">
        <f t="shared" si="180"/>
        <v>0</v>
      </c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 spans="1:26" ht="15.75" customHeight="1" x14ac:dyDescent="0.2">
      <c r="A2021" s="1">
        <v>1891</v>
      </c>
      <c r="B2021" s="13" t="s">
        <v>277</v>
      </c>
      <c r="C2021" s="14" t="s">
        <v>2019</v>
      </c>
      <c r="D2021" s="14" t="s">
        <v>116</v>
      </c>
      <c r="E2021" s="14" t="s">
        <v>650</v>
      </c>
      <c r="F2021" s="14" t="s">
        <v>2020</v>
      </c>
      <c r="G2021" s="14" t="s">
        <v>2016</v>
      </c>
      <c r="H2021" s="4"/>
      <c r="I2021" s="4">
        <f t="shared" si="181"/>
        <v>0</v>
      </c>
      <c r="J2021" s="4"/>
      <c r="K2021" s="4">
        <f t="shared" si="180"/>
        <v>0</v>
      </c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 spans="1:26" ht="15.75" customHeight="1" x14ac:dyDescent="0.2">
      <c r="A2022" s="1"/>
      <c r="B2022" s="2" t="s">
        <v>118</v>
      </c>
      <c r="C2022" s="3" t="s">
        <v>2021</v>
      </c>
      <c r="D2022" s="3" t="s">
        <v>656</v>
      </c>
      <c r="E2022" s="3" t="s">
        <v>259</v>
      </c>
      <c r="F2022" s="3" t="s">
        <v>2022</v>
      </c>
      <c r="G2022" s="3" t="s">
        <v>2016</v>
      </c>
      <c r="H2022" s="4"/>
      <c r="I2022" s="4">
        <f t="shared" ref="I2022:I2027" si="182">H2022*1800</f>
        <v>0</v>
      </c>
      <c r="J2022" s="4"/>
      <c r="K2022" s="4">
        <f t="shared" si="180"/>
        <v>0</v>
      </c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 spans="1:26" ht="15.75" customHeight="1" x14ac:dyDescent="0.2">
      <c r="A2023" s="1"/>
      <c r="B2023" s="19" t="s">
        <v>88</v>
      </c>
      <c r="C2023" s="23" t="s">
        <v>2021</v>
      </c>
      <c r="D2023" s="23" t="s">
        <v>656</v>
      </c>
      <c r="E2023" s="23" t="s">
        <v>259</v>
      </c>
      <c r="F2023" s="23" t="s">
        <v>2022</v>
      </c>
      <c r="G2023" s="23" t="s">
        <v>2016</v>
      </c>
      <c r="H2023" s="4"/>
      <c r="I2023" s="4">
        <f t="shared" si="182"/>
        <v>0</v>
      </c>
      <c r="J2023" s="4"/>
      <c r="K2023" s="4">
        <f t="shared" si="180"/>
        <v>0</v>
      </c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 spans="1:26" ht="15.75" customHeight="1" x14ac:dyDescent="0.2">
      <c r="A2024" s="1"/>
      <c r="B2024" s="2" t="s">
        <v>94</v>
      </c>
      <c r="C2024" s="3" t="s">
        <v>2021</v>
      </c>
      <c r="D2024" s="3" t="s">
        <v>656</v>
      </c>
      <c r="E2024" s="3" t="s">
        <v>259</v>
      </c>
      <c r="F2024" s="3" t="s">
        <v>2022</v>
      </c>
      <c r="G2024" s="3" t="s">
        <v>2016</v>
      </c>
      <c r="H2024" s="4"/>
      <c r="I2024" s="4">
        <f t="shared" si="182"/>
        <v>0</v>
      </c>
      <c r="J2024" s="4"/>
      <c r="K2024" s="4">
        <f t="shared" si="180"/>
        <v>0</v>
      </c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 spans="1:26" ht="15.75" customHeight="1" x14ac:dyDescent="0.2">
      <c r="A2025" s="1"/>
      <c r="B2025" s="2" t="s">
        <v>315</v>
      </c>
      <c r="C2025" s="3" t="s">
        <v>2023</v>
      </c>
      <c r="D2025" s="3" t="s">
        <v>529</v>
      </c>
      <c r="E2025" s="3" t="s">
        <v>319</v>
      </c>
      <c r="F2025" s="3" t="s">
        <v>2022</v>
      </c>
      <c r="G2025" s="3" t="s">
        <v>2016</v>
      </c>
      <c r="H2025" s="4"/>
      <c r="I2025" s="4">
        <f t="shared" si="182"/>
        <v>0</v>
      </c>
      <c r="J2025" s="4"/>
      <c r="K2025" s="4">
        <f t="shared" si="180"/>
        <v>0</v>
      </c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 spans="1:26" ht="15.75" customHeight="1" x14ac:dyDescent="0.2">
      <c r="A2026" s="1"/>
      <c r="B2026" s="2" t="s">
        <v>88</v>
      </c>
      <c r="C2026" s="3" t="s">
        <v>2023</v>
      </c>
      <c r="D2026" s="3" t="s">
        <v>529</v>
      </c>
      <c r="E2026" s="3" t="s">
        <v>319</v>
      </c>
      <c r="F2026" s="3" t="s">
        <v>2022</v>
      </c>
      <c r="G2026" s="3" t="s">
        <v>2016</v>
      </c>
      <c r="H2026" s="4"/>
      <c r="I2026" s="4">
        <f t="shared" si="182"/>
        <v>0</v>
      </c>
      <c r="J2026" s="4"/>
      <c r="K2026" s="4">
        <f t="shared" si="180"/>
        <v>0</v>
      </c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 spans="1:26" ht="15.75" customHeight="1" x14ac:dyDescent="0.2">
      <c r="A2027" s="1"/>
      <c r="B2027" s="2" t="s">
        <v>94</v>
      </c>
      <c r="C2027" s="3" t="s">
        <v>2023</v>
      </c>
      <c r="D2027" s="3" t="s">
        <v>529</v>
      </c>
      <c r="E2027" s="3" t="s">
        <v>319</v>
      </c>
      <c r="F2027" s="3" t="s">
        <v>2022</v>
      </c>
      <c r="G2027" s="3" t="s">
        <v>2016</v>
      </c>
      <c r="H2027" s="4"/>
      <c r="I2027" s="4">
        <f t="shared" si="182"/>
        <v>0</v>
      </c>
      <c r="J2027" s="4"/>
      <c r="K2027" s="4">
        <f t="shared" si="180"/>
        <v>0</v>
      </c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 spans="1:26" ht="15.75" customHeight="1" x14ac:dyDescent="0.2">
      <c r="A2028" s="1">
        <v>667</v>
      </c>
      <c r="B2028" s="13" t="s">
        <v>252</v>
      </c>
      <c r="C2028" s="14" t="s">
        <v>2024</v>
      </c>
      <c r="D2028" s="14" t="s">
        <v>2025</v>
      </c>
      <c r="E2028" s="14" t="s">
        <v>105</v>
      </c>
      <c r="F2028" s="14" t="s">
        <v>2026</v>
      </c>
      <c r="G2028" s="14" t="s">
        <v>2016</v>
      </c>
      <c r="H2028" s="4"/>
      <c r="I2028" s="4">
        <f t="shared" ref="I2028:I2042" si="183">H2028*2300</f>
        <v>0</v>
      </c>
      <c r="J2028" s="4"/>
      <c r="K2028" s="4">
        <f t="shared" si="180"/>
        <v>0</v>
      </c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 spans="1:26" ht="15.75" customHeight="1" x14ac:dyDescent="0.2">
      <c r="A2029" s="1">
        <v>735</v>
      </c>
      <c r="B2029" s="13" t="s">
        <v>686</v>
      </c>
      <c r="C2029" s="14" t="s">
        <v>2024</v>
      </c>
      <c r="D2029" s="14" t="s">
        <v>2025</v>
      </c>
      <c r="E2029" s="14" t="s">
        <v>105</v>
      </c>
      <c r="F2029" s="14" t="s">
        <v>2026</v>
      </c>
      <c r="G2029" s="14" t="s">
        <v>2016</v>
      </c>
      <c r="H2029" s="4"/>
      <c r="I2029" s="4">
        <f t="shared" si="183"/>
        <v>0</v>
      </c>
      <c r="J2029" s="4"/>
      <c r="K2029" s="4">
        <f t="shared" si="180"/>
        <v>0</v>
      </c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 spans="1:26" ht="15.75" customHeight="1" x14ac:dyDescent="0.2">
      <c r="A2030" s="1">
        <v>1527</v>
      </c>
      <c r="B2030" s="13" t="s">
        <v>263</v>
      </c>
      <c r="C2030" s="14" t="s">
        <v>2024</v>
      </c>
      <c r="D2030" s="14" t="s">
        <v>2025</v>
      </c>
      <c r="E2030" s="14" t="s">
        <v>105</v>
      </c>
      <c r="F2030" s="14" t="s">
        <v>2026</v>
      </c>
      <c r="G2030" s="14" t="s">
        <v>2016</v>
      </c>
      <c r="H2030" s="4"/>
      <c r="I2030" s="4">
        <f t="shared" si="183"/>
        <v>0</v>
      </c>
      <c r="J2030" s="4"/>
      <c r="K2030" s="4">
        <f t="shared" si="180"/>
        <v>0</v>
      </c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 spans="1:26" ht="15.75" customHeight="1" x14ac:dyDescent="0.2">
      <c r="A2031" s="1">
        <v>2577</v>
      </c>
      <c r="B2031" s="13" t="s">
        <v>287</v>
      </c>
      <c r="C2031" s="14" t="s">
        <v>2024</v>
      </c>
      <c r="D2031" s="14" t="s">
        <v>2025</v>
      </c>
      <c r="E2031" s="14" t="s">
        <v>105</v>
      </c>
      <c r="F2031" s="14" t="s">
        <v>2026</v>
      </c>
      <c r="G2031" s="14" t="s">
        <v>2016</v>
      </c>
      <c r="H2031" s="4"/>
      <c r="I2031" s="4">
        <f t="shared" si="183"/>
        <v>0</v>
      </c>
      <c r="J2031" s="4"/>
      <c r="K2031" s="4">
        <f t="shared" si="180"/>
        <v>0</v>
      </c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 spans="1:26" ht="15.75" customHeight="1" x14ac:dyDescent="0.2">
      <c r="A2032" s="1">
        <v>1577</v>
      </c>
      <c r="B2032" s="13" t="s">
        <v>585</v>
      </c>
      <c r="C2032" s="14" t="s">
        <v>2027</v>
      </c>
      <c r="D2032" s="14" t="s">
        <v>373</v>
      </c>
      <c r="E2032" s="14" t="s">
        <v>259</v>
      </c>
      <c r="F2032" s="14" t="s">
        <v>2028</v>
      </c>
      <c r="G2032" s="14" t="s">
        <v>2029</v>
      </c>
      <c r="H2032" s="4">
        <v>11</v>
      </c>
      <c r="I2032" s="4">
        <f t="shared" si="183"/>
        <v>25300</v>
      </c>
      <c r="J2032" s="4"/>
      <c r="K2032" s="4">
        <f t="shared" si="180"/>
        <v>0</v>
      </c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 spans="1:26" ht="15.75" customHeight="1" x14ac:dyDescent="0.2">
      <c r="A2033" s="1">
        <v>2333</v>
      </c>
      <c r="B2033" s="13" t="s">
        <v>285</v>
      </c>
      <c r="C2033" s="14" t="s">
        <v>2027</v>
      </c>
      <c r="D2033" s="14" t="s">
        <v>373</v>
      </c>
      <c r="E2033" s="14" t="s">
        <v>259</v>
      </c>
      <c r="F2033" s="14" t="s">
        <v>2028</v>
      </c>
      <c r="G2033" s="14" t="s">
        <v>2029</v>
      </c>
      <c r="H2033" s="4"/>
      <c r="I2033" s="4">
        <f t="shared" si="183"/>
        <v>0</v>
      </c>
      <c r="J2033" s="4"/>
      <c r="K2033" s="4">
        <f t="shared" si="180"/>
        <v>0</v>
      </c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 spans="1:26" ht="15.75" customHeight="1" x14ac:dyDescent="0.2">
      <c r="A2034" s="1">
        <v>2583</v>
      </c>
      <c r="B2034" s="13" t="s">
        <v>287</v>
      </c>
      <c r="C2034" s="14" t="s">
        <v>2027</v>
      </c>
      <c r="D2034" s="14" t="s">
        <v>373</v>
      </c>
      <c r="E2034" s="14" t="s">
        <v>259</v>
      </c>
      <c r="F2034" s="14" t="s">
        <v>2028</v>
      </c>
      <c r="G2034" s="14" t="s">
        <v>2029</v>
      </c>
      <c r="H2034" s="4"/>
      <c r="I2034" s="4">
        <f t="shared" si="183"/>
        <v>0</v>
      </c>
      <c r="J2034" s="4"/>
      <c r="K2034" s="4">
        <f t="shared" si="180"/>
        <v>0</v>
      </c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 spans="1:26" ht="15.75" customHeight="1" x14ac:dyDescent="0.2">
      <c r="A2035" s="1">
        <v>2719</v>
      </c>
      <c r="B2035" s="13" t="s">
        <v>703</v>
      </c>
      <c r="C2035" s="14" t="s">
        <v>2027</v>
      </c>
      <c r="D2035" s="14" t="s">
        <v>373</v>
      </c>
      <c r="E2035" s="14" t="s">
        <v>259</v>
      </c>
      <c r="F2035" s="14" t="s">
        <v>2028</v>
      </c>
      <c r="G2035" s="14" t="s">
        <v>2029</v>
      </c>
      <c r="H2035" s="4"/>
      <c r="I2035" s="4">
        <f t="shared" si="183"/>
        <v>0</v>
      </c>
      <c r="J2035" s="4"/>
      <c r="K2035" s="4">
        <f t="shared" si="180"/>
        <v>0</v>
      </c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 spans="1:26" ht="15.75" customHeight="1" x14ac:dyDescent="0.2">
      <c r="A2036" s="1">
        <v>255</v>
      </c>
      <c r="B2036" s="13" t="s">
        <v>243</v>
      </c>
      <c r="C2036" s="14" t="s">
        <v>2030</v>
      </c>
      <c r="D2036" s="14" t="s">
        <v>325</v>
      </c>
      <c r="E2036" s="14" t="s">
        <v>32</v>
      </c>
      <c r="F2036" s="14" t="s">
        <v>2028</v>
      </c>
      <c r="G2036" s="14" t="s">
        <v>2029</v>
      </c>
      <c r="H2036" s="4"/>
      <c r="I2036" s="4">
        <f t="shared" si="183"/>
        <v>0</v>
      </c>
      <c r="J2036" s="4"/>
      <c r="K2036" s="4">
        <f t="shared" si="180"/>
        <v>0</v>
      </c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 spans="1:26" ht="15.75" customHeight="1" x14ac:dyDescent="0.2">
      <c r="A2037" s="1">
        <v>903</v>
      </c>
      <c r="B2037" s="13" t="s">
        <v>694</v>
      </c>
      <c r="C2037" s="14" t="s">
        <v>2030</v>
      </c>
      <c r="D2037" s="14" t="s">
        <v>39</v>
      </c>
      <c r="E2037" s="14" t="s">
        <v>32</v>
      </c>
      <c r="F2037" s="14" t="s">
        <v>2028</v>
      </c>
      <c r="G2037" s="14" t="s">
        <v>2029</v>
      </c>
      <c r="H2037" s="4"/>
      <c r="I2037" s="4">
        <f t="shared" si="183"/>
        <v>0</v>
      </c>
      <c r="J2037" s="4"/>
      <c r="K2037" s="4">
        <f t="shared" si="180"/>
        <v>0</v>
      </c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 spans="1:26" ht="15.75" customHeight="1" x14ac:dyDescent="0.2">
      <c r="A2038" s="1">
        <v>1241</v>
      </c>
      <c r="B2038" s="13" t="s">
        <v>699</v>
      </c>
      <c r="C2038" s="14" t="s">
        <v>2030</v>
      </c>
      <c r="D2038" s="14" t="s">
        <v>325</v>
      </c>
      <c r="E2038" s="14" t="s">
        <v>32</v>
      </c>
      <c r="F2038" s="14" t="s">
        <v>2028</v>
      </c>
      <c r="G2038" s="14" t="s">
        <v>2029</v>
      </c>
      <c r="H2038" s="4"/>
      <c r="I2038" s="4">
        <f t="shared" si="183"/>
        <v>0</v>
      </c>
      <c r="J2038" s="4"/>
      <c r="K2038" s="4">
        <f t="shared" si="180"/>
        <v>0</v>
      </c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 spans="1:26" ht="15.75" customHeight="1" x14ac:dyDescent="0.2">
      <c r="A2039" s="1">
        <v>1735</v>
      </c>
      <c r="B2039" s="13" t="s">
        <v>465</v>
      </c>
      <c r="C2039" s="14" t="s">
        <v>2030</v>
      </c>
      <c r="D2039" s="14" t="s">
        <v>325</v>
      </c>
      <c r="E2039" s="14" t="s">
        <v>32</v>
      </c>
      <c r="F2039" s="14" t="s">
        <v>2028</v>
      </c>
      <c r="G2039" s="14" t="s">
        <v>2029</v>
      </c>
      <c r="H2039" s="4"/>
      <c r="I2039" s="4">
        <f t="shared" si="183"/>
        <v>0</v>
      </c>
      <c r="J2039" s="4"/>
      <c r="K2039" s="4">
        <f t="shared" si="180"/>
        <v>0</v>
      </c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 spans="1:26" ht="15.75" customHeight="1" x14ac:dyDescent="0.2">
      <c r="A2040" s="1">
        <v>2017</v>
      </c>
      <c r="B2040" s="13" t="s">
        <v>701</v>
      </c>
      <c r="C2040" s="14" t="s">
        <v>2030</v>
      </c>
      <c r="D2040" s="14" t="s">
        <v>39</v>
      </c>
      <c r="E2040" s="14" t="s">
        <v>32</v>
      </c>
      <c r="F2040" s="14" t="s">
        <v>2028</v>
      </c>
      <c r="G2040" s="14" t="s">
        <v>2029</v>
      </c>
      <c r="H2040" s="4"/>
      <c r="I2040" s="4">
        <f t="shared" si="183"/>
        <v>0</v>
      </c>
      <c r="J2040" s="4"/>
      <c r="K2040" s="4">
        <f t="shared" si="180"/>
        <v>0</v>
      </c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 spans="1:26" ht="15.75" customHeight="1" x14ac:dyDescent="0.2">
      <c r="A2041" s="1">
        <v>2109</v>
      </c>
      <c r="B2041" s="13" t="s">
        <v>280</v>
      </c>
      <c r="C2041" s="14" t="s">
        <v>2030</v>
      </c>
      <c r="D2041" s="14" t="s">
        <v>325</v>
      </c>
      <c r="E2041" s="14" t="s">
        <v>32</v>
      </c>
      <c r="F2041" s="14" t="s">
        <v>2028</v>
      </c>
      <c r="G2041" s="14" t="s">
        <v>2029</v>
      </c>
      <c r="H2041" s="4"/>
      <c r="I2041" s="4">
        <f t="shared" si="183"/>
        <v>0</v>
      </c>
      <c r="J2041" s="4"/>
      <c r="K2041" s="4">
        <f t="shared" si="180"/>
        <v>0</v>
      </c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 spans="1:26" ht="15.75" customHeight="1" x14ac:dyDescent="0.2">
      <c r="A2042" s="1">
        <v>2621</v>
      </c>
      <c r="B2042" s="13" t="s">
        <v>702</v>
      </c>
      <c r="C2042" s="14" t="s">
        <v>2030</v>
      </c>
      <c r="D2042" s="14" t="s">
        <v>39</v>
      </c>
      <c r="E2042" s="14" t="s">
        <v>32</v>
      </c>
      <c r="F2042" s="14" t="s">
        <v>2028</v>
      </c>
      <c r="G2042" s="14" t="s">
        <v>2029</v>
      </c>
      <c r="H2042" s="4"/>
      <c r="I2042" s="4">
        <f t="shared" si="183"/>
        <v>0</v>
      </c>
      <c r="J2042" s="4"/>
      <c r="K2042" s="4">
        <f t="shared" si="180"/>
        <v>0</v>
      </c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 spans="1:26" ht="15.75" customHeight="1" x14ac:dyDescent="0.2">
      <c r="A2043" s="1"/>
      <c r="B2043" s="2" t="s">
        <v>300</v>
      </c>
      <c r="C2043" s="3" t="s">
        <v>2031</v>
      </c>
      <c r="D2043" s="3" t="s">
        <v>441</v>
      </c>
      <c r="E2043" s="3" t="s">
        <v>397</v>
      </c>
      <c r="F2043" s="23" t="s">
        <v>2028</v>
      </c>
      <c r="G2043" s="3" t="s">
        <v>2029</v>
      </c>
      <c r="H2043" s="4"/>
      <c r="I2043" s="4">
        <f t="shared" ref="I2043:I2046" si="184">H2043*1800</f>
        <v>0</v>
      </c>
      <c r="J2043" s="4"/>
      <c r="K2043" s="4">
        <f t="shared" si="180"/>
        <v>0</v>
      </c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 spans="1:26" ht="15.75" customHeight="1" x14ac:dyDescent="0.2">
      <c r="A2044" s="1"/>
      <c r="B2044" s="2" t="s">
        <v>102</v>
      </c>
      <c r="C2044" s="3" t="s">
        <v>2031</v>
      </c>
      <c r="D2044" s="3" t="s">
        <v>441</v>
      </c>
      <c r="E2044" s="3" t="s">
        <v>397</v>
      </c>
      <c r="F2044" s="3" t="s">
        <v>2028</v>
      </c>
      <c r="G2044" s="3" t="s">
        <v>2029</v>
      </c>
      <c r="H2044" s="4"/>
      <c r="I2044" s="4">
        <f t="shared" si="184"/>
        <v>0</v>
      </c>
      <c r="J2044" s="4"/>
      <c r="K2044" s="4">
        <f t="shared" si="180"/>
        <v>0</v>
      </c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 spans="1:26" ht="15.75" customHeight="1" x14ac:dyDescent="0.2">
      <c r="A2045" s="1"/>
      <c r="B2045" s="2" t="s">
        <v>296</v>
      </c>
      <c r="C2045" s="3" t="s">
        <v>2032</v>
      </c>
      <c r="D2045" s="3" t="s">
        <v>513</v>
      </c>
      <c r="E2045" s="3" t="s">
        <v>259</v>
      </c>
      <c r="F2045" s="3" t="s">
        <v>2028</v>
      </c>
      <c r="G2045" s="3" t="s">
        <v>2029</v>
      </c>
      <c r="H2045" s="4"/>
      <c r="I2045" s="4">
        <f t="shared" si="184"/>
        <v>0</v>
      </c>
      <c r="J2045" s="4"/>
      <c r="K2045" s="4">
        <f t="shared" si="180"/>
        <v>0</v>
      </c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 spans="1:26" ht="15.75" customHeight="1" x14ac:dyDescent="0.2">
      <c r="A2046" s="1"/>
      <c r="B2046" s="2" t="s">
        <v>108</v>
      </c>
      <c r="C2046" s="3" t="s">
        <v>2032</v>
      </c>
      <c r="D2046" s="3" t="s">
        <v>513</v>
      </c>
      <c r="E2046" s="3" t="s">
        <v>259</v>
      </c>
      <c r="F2046" s="3" t="s">
        <v>2028</v>
      </c>
      <c r="G2046" s="3" t="s">
        <v>2029</v>
      </c>
      <c r="H2046" s="4"/>
      <c r="I2046" s="4">
        <f t="shared" si="184"/>
        <v>0</v>
      </c>
      <c r="J2046" s="4"/>
      <c r="K2046" s="4">
        <f t="shared" si="180"/>
        <v>0</v>
      </c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 spans="1:26" ht="15.75" customHeight="1" x14ac:dyDescent="0.2">
      <c r="A2047" s="1">
        <v>1507</v>
      </c>
      <c r="B2047" s="13" t="s">
        <v>262</v>
      </c>
      <c r="C2047" s="14" t="s">
        <v>2033</v>
      </c>
      <c r="D2047" s="14" t="s">
        <v>713</v>
      </c>
      <c r="E2047" s="14" t="s">
        <v>259</v>
      </c>
      <c r="F2047" s="14" t="s">
        <v>2034</v>
      </c>
      <c r="G2047" s="14" t="s">
        <v>2029</v>
      </c>
      <c r="H2047" s="4"/>
      <c r="I2047" s="4">
        <f t="shared" ref="I2047:I2052" si="185">H2047*2300</f>
        <v>0</v>
      </c>
      <c r="J2047" s="4"/>
      <c r="K2047" s="4">
        <f t="shared" si="180"/>
        <v>0</v>
      </c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 spans="1:26" ht="15.75" customHeight="1" x14ac:dyDescent="0.2">
      <c r="A2048" s="1">
        <v>2295</v>
      </c>
      <c r="B2048" s="13" t="s">
        <v>284</v>
      </c>
      <c r="C2048" s="14" t="s">
        <v>2033</v>
      </c>
      <c r="D2048" s="14" t="s">
        <v>713</v>
      </c>
      <c r="E2048" s="14" t="s">
        <v>259</v>
      </c>
      <c r="F2048" s="14" t="s">
        <v>2034</v>
      </c>
      <c r="G2048" s="14" t="s">
        <v>2029</v>
      </c>
      <c r="H2048" s="4"/>
      <c r="I2048" s="4">
        <f t="shared" si="185"/>
        <v>0</v>
      </c>
      <c r="J2048" s="4"/>
      <c r="K2048" s="4">
        <f t="shared" si="180"/>
        <v>0</v>
      </c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 spans="1:26" ht="15.75" customHeight="1" x14ac:dyDescent="0.2">
      <c r="A2049" s="1">
        <v>2297</v>
      </c>
      <c r="B2049" s="13" t="s">
        <v>284</v>
      </c>
      <c r="C2049" s="14" t="s">
        <v>2035</v>
      </c>
      <c r="D2049" s="14" t="s">
        <v>426</v>
      </c>
      <c r="E2049" s="14" t="s">
        <v>259</v>
      </c>
      <c r="F2049" s="14" t="s">
        <v>2034</v>
      </c>
      <c r="G2049" s="14" t="s">
        <v>2029</v>
      </c>
      <c r="H2049" s="4"/>
      <c r="I2049" s="4">
        <f t="shared" si="185"/>
        <v>0</v>
      </c>
      <c r="J2049" s="4"/>
      <c r="K2049" s="4">
        <f t="shared" si="180"/>
        <v>0</v>
      </c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 spans="1:26" ht="15.75" customHeight="1" x14ac:dyDescent="0.2">
      <c r="A2050" s="1">
        <v>2857</v>
      </c>
      <c r="B2050" s="13" t="s">
        <v>519</v>
      </c>
      <c r="C2050" s="14" t="s">
        <v>2035</v>
      </c>
      <c r="D2050" s="14" t="s">
        <v>426</v>
      </c>
      <c r="E2050" s="14" t="s">
        <v>259</v>
      </c>
      <c r="F2050" s="14" t="s">
        <v>2034</v>
      </c>
      <c r="G2050" s="14" t="s">
        <v>2029</v>
      </c>
      <c r="H2050" s="4"/>
      <c r="I2050" s="4">
        <f t="shared" si="185"/>
        <v>0</v>
      </c>
      <c r="J2050" s="4"/>
      <c r="K2050" s="4">
        <f t="shared" si="180"/>
        <v>0</v>
      </c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 spans="1:26" ht="15.75" customHeight="1" x14ac:dyDescent="0.2">
      <c r="A2051" s="1">
        <v>1547</v>
      </c>
      <c r="B2051" s="13" t="s">
        <v>377</v>
      </c>
      <c r="C2051" s="14" t="s">
        <v>2036</v>
      </c>
      <c r="D2051" s="14" t="s">
        <v>430</v>
      </c>
      <c r="E2051" s="14" t="s">
        <v>502</v>
      </c>
      <c r="F2051" s="14" t="s">
        <v>2034</v>
      </c>
      <c r="G2051" s="14" t="s">
        <v>2029</v>
      </c>
      <c r="H2051" s="4"/>
      <c r="I2051" s="4">
        <f t="shared" si="185"/>
        <v>0</v>
      </c>
      <c r="J2051" s="4"/>
      <c r="K2051" s="4">
        <f t="shared" si="180"/>
        <v>0</v>
      </c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 spans="1:26" ht="15.75" customHeight="1" x14ac:dyDescent="0.2">
      <c r="A2052" s="1">
        <v>2327</v>
      </c>
      <c r="B2052" s="13" t="s">
        <v>285</v>
      </c>
      <c r="C2052" s="14" t="s">
        <v>2036</v>
      </c>
      <c r="D2052" s="14" t="s">
        <v>430</v>
      </c>
      <c r="E2052" s="14" t="s">
        <v>502</v>
      </c>
      <c r="F2052" s="14" t="s">
        <v>2034</v>
      </c>
      <c r="G2052" s="14" t="s">
        <v>2029</v>
      </c>
      <c r="H2052" s="4"/>
      <c r="I2052" s="4">
        <f t="shared" si="185"/>
        <v>0</v>
      </c>
      <c r="J2052" s="4"/>
      <c r="K2052" s="4">
        <f t="shared" si="180"/>
        <v>0</v>
      </c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 spans="1:26" ht="15.75" customHeight="1" x14ac:dyDescent="0.2">
      <c r="A2053" s="1"/>
      <c r="B2053" s="19" t="s">
        <v>102</v>
      </c>
      <c r="C2053" s="23" t="s">
        <v>2037</v>
      </c>
      <c r="D2053" s="23" t="s">
        <v>339</v>
      </c>
      <c r="E2053" s="23" t="s">
        <v>40</v>
      </c>
      <c r="F2053" s="23" t="s">
        <v>2034</v>
      </c>
      <c r="G2053" s="3" t="s">
        <v>2029</v>
      </c>
      <c r="H2053" s="4"/>
      <c r="I2053" s="4">
        <f t="shared" ref="I2053:I2060" si="186">H2053*1800</f>
        <v>0</v>
      </c>
      <c r="J2053" s="4"/>
      <c r="K2053" s="4">
        <f t="shared" si="180"/>
        <v>0</v>
      </c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 spans="1:26" ht="15.75" customHeight="1" x14ac:dyDescent="0.2">
      <c r="A2054" s="1"/>
      <c r="B2054" s="2" t="s">
        <v>232</v>
      </c>
      <c r="C2054" s="3" t="s">
        <v>2037</v>
      </c>
      <c r="D2054" s="3" t="s">
        <v>339</v>
      </c>
      <c r="E2054" s="3" t="s">
        <v>40</v>
      </c>
      <c r="F2054" s="3" t="s">
        <v>2034</v>
      </c>
      <c r="G2054" s="3" t="s">
        <v>2029</v>
      </c>
      <c r="H2054" s="4"/>
      <c r="I2054" s="4">
        <f t="shared" si="186"/>
        <v>0</v>
      </c>
      <c r="J2054" s="4"/>
      <c r="K2054" s="4">
        <f t="shared" si="180"/>
        <v>0</v>
      </c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 spans="1:26" ht="15.75" customHeight="1" x14ac:dyDescent="0.2">
      <c r="A2055" s="1"/>
      <c r="B2055" s="2" t="s">
        <v>126</v>
      </c>
      <c r="C2055" s="3" t="s">
        <v>2038</v>
      </c>
      <c r="D2055" s="3" t="s">
        <v>295</v>
      </c>
      <c r="E2055" s="3" t="s">
        <v>374</v>
      </c>
      <c r="F2055" s="3" t="s">
        <v>2034</v>
      </c>
      <c r="G2055" s="3" t="s">
        <v>2029</v>
      </c>
      <c r="H2055" s="4"/>
      <c r="I2055" s="4">
        <f t="shared" si="186"/>
        <v>0</v>
      </c>
      <c r="J2055" s="4"/>
      <c r="K2055" s="4">
        <f t="shared" si="180"/>
        <v>0</v>
      </c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 spans="1:26" ht="15.75" customHeight="1" x14ac:dyDescent="0.2">
      <c r="A2056" s="1"/>
      <c r="B2056" s="2" t="s">
        <v>131</v>
      </c>
      <c r="C2056" s="3" t="s">
        <v>2038</v>
      </c>
      <c r="D2056" s="3" t="s">
        <v>295</v>
      </c>
      <c r="E2056" s="3" t="s">
        <v>374</v>
      </c>
      <c r="F2056" s="3" t="s">
        <v>2034</v>
      </c>
      <c r="G2056" s="3" t="s">
        <v>2029</v>
      </c>
      <c r="H2056" s="4"/>
      <c r="I2056" s="4">
        <f t="shared" si="186"/>
        <v>0</v>
      </c>
      <c r="J2056" s="4"/>
      <c r="K2056" s="4">
        <f t="shared" si="180"/>
        <v>0</v>
      </c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 spans="1:26" ht="15.75" customHeight="1" x14ac:dyDescent="0.2">
      <c r="A2057" s="1"/>
      <c r="B2057" s="2" t="s">
        <v>118</v>
      </c>
      <c r="C2057" s="3" t="s">
        <v>2039</v>
      </c>
      <c r="D2057" s="3" t="s">
        <v>86</v>
      </c>
      <c r="E2057" s="3" t="s">
        <v>40</v>
      </c>
      <c r="F2057" s="3" t="s">
        <v>2034</v>
      </c>
      <c r="G2057" s="3" t="s">
        <v>2029</v>
      </c>
      <c r="H2057" s="4"/>
      <c r="I2057" s="4">
        <f t="shared" si="186"/>
        <v>0</v>
      </c>
      <c r="J2057" s="4"/>
      <c r="K2057" s="4">
        <f t="shared" si="180"/>
        <v>0</v>
      </c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 spans="1:26" ht="15.75" customHeight="1" x14ac:dyDescent="0.2">
      <c r="A2058" s="1"/>
      <c r="B2058" s="2" t="s">
        <v>121</v>
      </c>
      <c r="C2058" s="3" t="s">
        <v>2039</v>
      </c>
      <c r="D2058" s="3" t="s">
        <v>86</v>
      </c>
      <c r="E2058" s="3" t="s">
        <v>40</v>
      </c>
      <c r="F2058" s="3" t="s">
        <v>2034</v>
      </c>
      <c r="G2058" s="3" t="s">
        <v>2029</v>
      </c>
      <c r="H2058" s="4"/>
      <c r="I2058" s="4">
        <f t="shared" si="186"/>
        <v>0</v>
      </c>
      <c r="J2058" s="4"/>
      <c r="K2058" s="4">
        <f t="shared" si="180"/>
        <v>0</v>
      </c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 spans="1:26" ht="15.75" customHeight="1" x14ac:dyDescent="0.2">
      <c r="A2059" s="1"/>
      <c r="B2059" s="2" t="s">
        <v>315</v>
      </c>
      <c r="C2059" s="3" t="s">
        <v>2040</v>
      </c>
      <c r="D2059" s="3" t="s">
        <v>269</v>
      </c>
      <c r="E2059" s="3" t="s">
        <v>32</v>
      </c>
      <c r="F2059" s="3" t="s">
        <v>2034</v>
      </c>
      <c r="G2059" s="3" t="s">
        <v>2029</v>
      </c>
      <c r="H2059" s="4"/>
      <c r="I2059" s="4">
        <f t="shared" si="186"/>
        <v>0</v>
      </c>
      <c r="J2059" s="4"/>
      <c r="K2059" s="4">
        <f t="shared" si="180"/>
        <v>0</v>
      </c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 spans="1:26" ht="15.75" customHeight="1" x14ac:dyDescent="0.2">
      <c r="A2060" s="1"/>
      <c r="B2060" s="2" t="s">
        <v>323</v>
      </c>
      <c r="C2060" s="3" t="s">
        <v>2040</v>
      </c>
      <c r="D2060" s="3" t="s">
        <v>269</v>
      </c>
      <c r="E2060" s="3" t="s">
        <v>32</v>
      </c>
      <c r="F2060" s="3" t="s">
        <v>2034</v>
      </c>
      <c r="G2060" s="3" t="s">
        <v>2029</v>
      </c>
      <c r="H2060" s="4"/>
      <c r="I2060" s="4">
        <f t="shared" si="186"/>
        <v>0</v>
      </c>
      <c r="J2060" s="4"/>
      <c r="K2060" s="4">
        <f t="shared" si="180"/>
        <v>0</v>
      </c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 spans="1:26" ht="15.75" customHeight="1" x14ac:dyDescent="0.2">
      <c r="A2061" s="1">
        <v>1677</v>
      </c>
      <c r="B2061" s="13" t="s">
        <v>270</v>
      </c>
      <c r="C2061" s="14" t="s">
        <v>2041</v>
      </c>
      <c r="D2061" s="14" t="s">
        <v>78</v>
      </c>
      <c r="E2061" s="14" t="s">
        <v>87</v>
      </c>
      <c r="F2061" s="14" t="s">
        <v>2042</v>
      </c>
      <c r="G2061" s="14" t="s">
        <v>2029</v>
      </c>
      <c r="H2061" s="4"/>
      <c r="I2061" s="4">
        <f t="shared" ref="I2061:I2063" si="187">H2061*2300</f>
        <v>0</v>
      </c>
      <c r="J2061" s="4"/>
      <c r="K2061" s="4">
        <f t="shared" si="180"/>
        <v>0</v>
      </c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 spans="1:26" ht="15.75" customHeight="1" x14ac:dyDescent="0.2">
      <c r="A2062" s="1">
        <v>1931</v>
      </c>
      <c r="B2062" s="13" t="s">
        <v>278</v>
      </c>
      <c r="C2062" s="14" t="s">
        <v>2041</v>
      </c>
      <c r="D2062" s="14" t="s">
        <v>78</v>
      </c>
      <c r="E2062" s="14" t="s">
        <v>87</v>
      </c>
      <c r="F2062" s="14" t="s">
        <v>2042</v>
      </c>
      <c r="G2062" s="14" t="s">
        <v>2029</v>
      </c>
      <c r="H2062" s="4"/>
      <c r="I2062" s="4">
        <f t="shared" si="187"/>
        <v>0</v>
      </c>
      <c r="J2062" s="4"/>
      <c r="K2062" s="4">
        <f t="shared" si="180"/>
        <v>0</v>
      </c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 spans="1:26" ht="15.75" customHeight="1" x14ac:dyDescent="0.2">
      <c r="A2063" s="1">
        <v>2203</v>
      </c>
      <c r="B2063" s="13" t="s">
        <v>282</v>
      </c>
      <c r="C2063" s="14" t="s">
        <v>2041</v>
      </c>
      <c r="D2063" s="14" t="s">
        <v>78</v>
      </c>
      <c r="E2063" s="14" t="s">
        <v>87</v>
      </c>
      <c r="F2063" s="14" t="s">
        <v>2042</v>
      </c>
      <c r="G2063" s="14" t="s">
        <v>2029</v>
      </c>
      <c r="H2063" s="4"/>
      <c r="I2063" s="4">
        <f t="shared" si="187"/>
        <v>0</v>
      </c>
      <c r="J2063" s="4"/>
      <c r="K2063" s="4">
        <f t="shared" si="180"/>
        <v>0</v>
      </c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 spans="1:26" ht="15.75" customHeight="1" x14ac:dyDescent="0.2">
      <c r="A2064" s="1"/>
      <c r="B2064" s="2" t="s">
        <v>102</v>
      </c>
      <c r="C2064" s="3" t="s">
        <v>2043</v>
      </c>
      <c r="D2064" s="3" t="s">
        <v>1068</v>
      </c>
      <c r="E2064" s="3" t="s">
        <v>348</v>
      </c>
      <c r="F2064" s="3" t="s">
        <v>2042</v>
      </c>
      <c r="G2064" s="3" t="s">
        <v>2029</v>
      </c>
      <c r="H2064" s="4"/>
      <c r="I2064" s="4">
        <f t="shared" ref="I2064:I2077" si="188">H2064*1800</f>
        <v>0</v>
      </c>
      <c r="J2064" s="4"/>
      <c r="K2064" s="4">
        <f t="shared" si="180"/>
        <v>0</v>
      </c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 spans="1:26" ht="15.75" customHeight="1" x14ac:dyDescent="0.2">
      <c r="A2065" s="1"/>
      <c r="B2065" s="2" t="s">
        <v>108</v>
      </c>
      <c r="C2065" s="3" t="s">
        <v>2043</v>
      </c>
      <c r="D2065" s="3" t="s">
        <v>1068</v>
      </c>
      <c r="E2065" s="3" t="s">
        <v>348</v>
      </c>
      <c r="F2065" s="3" t="s">
        <v>2042</v>
      </c>
      <c r="G2065" s="3" t="s">
        <v>2029</v>
      </c>
      <c r="H2065" s="4"/>
      <c r="I2065" s="4">
        <f t="shared" si="188"/>
        <v>0</v>
      </c>
      <c r="J2065" s="4"/>
      <c r="K2065" s="4">
        <f t="shared" si="180"/>
        <v>0</v>
      </c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 spans="1:26" ht="15.75" customHeight="1" x14ac:dyDescent="0.2">
      <c r="A2066" s="1"/>
      <c r="B2066" s="2" t="s">
        <v>94</v>
      </c>
      <c r="C2066" s="3" t="s">
        <v>2043</v>
      </c>
      <c r="D2066" s="3" t="s">
        <v>1068</v>
      </c>
      <c r="E2066" s="3" t="s">
        <v>348</v>
      </c>
      <c r="F2066" s="3" t="s">
        <v>2042</v>
      </c>
      <c r="G2066" s="3" t="s">
        <v>2029</v>
      </c>
      <c r="H2066" s="4"/>
      <c r="I2066" s="4">
        <f t="shared" si="188"/>
        <v>0</v>
      </c>
      <c r="J2066" s="4"/>
      <c r="K2066" s="4">
        <f t="shared" si="180"/>
        <v>0</v>
      </c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 spans="1:26" ht="15.75" customHeight="1" x14ac:dyDescent="0.2">
      <c r="A2067" s="1"/>
      <c r="B2067" s="2" t="s">
        <v>232</v>
      </c>
      <c r="C2067" s="3" t="s">
        <v>2044</v>
      </c>
      <c r="D2067" s="3" t="s">
        <v>474</v>
      </c>
      <c r="E2067" s="3" t="s">
        <v>720</v>
      </c>
      <c r="F2067" s="3" t="s">
        <v>2042</v>
      </c>
      <c r="G2067" s="3" t="s">
        <v>2029</v>
      </c>
      <c r="H2067" s="4"/>
      <c r="I2067" s="4">
        <f t="shared" si="188"/>
        <v>0</v>
      </c>
      <c r="J2067" s="4"/>
      <c r="K2067" s="4">
        <f t="shared" si="180"/>
        <v>0</v>
      </c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 spans="1:26" ht="15.75" customHeight="1" x14ac:dyDescent="0.2">
      <c r="A2068" s="1"/>
      <c r="B2068" s="2" t="s">
        <v>303</v>
      </c>
      <c r="C2068" s="3" t="s">
        <v>2044</v>
      </c>
      <c r="D2068" s="3" t="s">
        <v>474</v>
      </c>
      <c r="E2068" s="3" t="s">
        <v>720</v>
      </c>
      <c r="F2068" s="3" t="s">
        <v>2042</v>
      </c>
      <c r="G2068" s="3" t="s">
        <v>2029</v>
      </c>
      <c r="H2068" s="4"/>
      <c r="I2068" s="4">
        <f t="shared" si="188"/>
        <v>0</v>
      </c>
      <c r="J2068" s="4"/>
      <c r="K2068" s="4">
        <f t="shared" si="180"/>
        <v>0</v>
      </c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 spans="1:26" ht="15.75" customHeight="1" x14ac:dyDescent="0.2">
      <c r="A2069" s="1"/>
      <c r="B2069" s="2" t="s">
        <v>94</v>
      </c>
      <c r="C2069" s="3" t="s">
        <v>2044</v>
      </c>
      <c r="D2069" s="3" t="s">
        <v>474</v>
      </c>
      <c r="E2069" s="3" t="s">
        <v>720</v>
      </c>
      <c r="F2069" s="3" t="s">
        <v>2042</v>
      </c>
      <c r="G2069" s="3" t="s">
        <v>2029</v>
      </c>
      <c r="H2069" s="4"/>
      <c r="I2069" s="4">
        <f t="shared" si="188"/>
        <v>0</v>
      </c>
      <c r="J2069" s="4"/>
      <c r="K2069" s="4">
        <f t="shared" si="180"/>
        <v>0</v>
      </c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 spans="1:26" ht="15.75" customHeight="1" x14ac:dyDescent="0.2">
      <c r="A2070" s="1"/>
      <c r="B2070" s="2" t="s">
        <v>323</v>
      </c>
      <c r="C2070" s="3" t="s">
        <v>2045</v>
      </c>
      <c r="D2070" s="3" t="s">
        <v>822</v>
      </c>
      <c r="E2070" s="3" t="s">
        <v>637</v>
      </c>
      <c r="F2070" s="3" t="s">
        <v>2042</v>
      </c>
      <c r="G2070" s="3" t="s">
        <v>2029</v>
      </c>
      <c r="H2070" s="4"/>
      <c r="I2070" s="4">
        <f t="shared" si="188"/>
        <v>0</v>
      </c>
      <c r="J2070" s="4"/>
      <c r="K2070" s="4">
        <f t="shared" si="180"/>
        <v>0</v>
      </c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 spans="1:26" ht="15.75" customHeight="1" x14ac:dyDescent="0.2">
      <c r="A2071" s="1"/>
      <c r="B2071" s="2" t="s">
        <v>303</v>
      </c>
      <c r="C2071" s="3" t="s">
        <v>2045</v>
      </c>
      <c r="D2071" s="3" t="s">
        <v>822</v>
      </c>
      <c r="E2071" s="3" t="s">
        <v>637</v>
      </c>
      <c r="F2071" s="3" t="s">
        <v>2042</v>
      </c>
      <c r="G2071" s="3" t="s">
        <v>2029</v>
      </c>
      <c r="H2071" s="4"/>
      <c r="I2071" s="4">
        <f t="shared" si="188"/>
        <v>0</v>
      </c>
      <c r="J2071" s="4"/>
      <c r="K2071" s="4">
        <f t="shared" si="180"/>
        <v>0</v>
      </c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 spans="1:26" ht="15.75" customHeight="1" x14ac:dyDescent="0.2">
      <c r="A2072" s="1"/>
      <c r="B2072" s="2" t="s">
        <v>94</v>
      </c>
      <c r="C2072" s="3" t="s">
        <v>2045</v>
      </c>
      <c r="D2072" s="3" t="s">
        <v>822</v>
      </c>
      <c r="E2072" s="3" t="s">
        <v>637</v>
      </c>
      <c r="F2072" s="3" t="s">
        <v>2042</v>
      </c>
      <c r="G2072" s="3" t="s">
        <v>2029</v>
      </c>
      <c r="H2072" s="4"/>
      <c r="I2072" s="4">
        <f t="shared" si="188"/>
        <v>0</v>
      </c>
      <c r="J2072" s="4"/>
      <c r="K2072" s="4">
        <f t="shared" si="180"/>
        <v>0</v>
      </c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 spans="1:26" ht="15.75" customHeight="1" x14ac:dyDescent="0.2">
      <c r="A2073" s="1"/>
      <c r="B2073" s="2" t="s">
        <v>421</v>
      </c>
      <c r="C2073" s="3" t="s">
        <v>2046</v>
      </c>
      <c r="D2073" s="3" t="s">
        <v>295</v>
      </c>
      <c r="E2073" s="3" t="s">
        <v>348</v>
      </c>
      <c r="F2073" s="3" t="s">
        <v>2042</v>
      </c>
      <c r="G2073" s="3" t="s">
        <v>2029</v>
      </c>
      <c r="H2073" s="4"/>
      <c r="I2073" s="4">
        <f t="shared" si="188"/>
        <v>0</v>
      </c>
      <c r="J2073" s="4"/>
      <c r="K2073" s="4">
        <f t="shared" si="180"/>
        <v>0</v>
      </c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 spans="1:26" ht="15.75" customHeight="1" x14ac:dyDescent="0.2">
      <c r="A2074" s="1"/>
      <c r="B2074" s="2" t="s">
        <v>114</v>
      </c>
      <c r="C2074" s="3" t="s">
        <v>2046</v>
      </c>
      <c r="D2074" s="3" t="s">
        <v>295</v>
      </c>
      <c r="E2074" s="3" t="s">
        <v>348</v>
      </c>
      <c r="F2074" s="3" t="s">
        <v>2042</v>
      </c>
      <c r="G2074" s="3" t="s">
        <v>2029</v>
      </c>
      <c r="H2074" s="4"/>
      <c r="I2074" s="4">
        <f t="shared" si="188"/>
        <v>0</v>
      </c>
      <c r="J2074" s="4"/>
      <c r="K2074" s="4">
        <f t="shared" si="180"/>
        <v>0</v>
      </c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 spans="1:26" ht="15.75" customHeight="1" x14ac:dyDescent="0.2">
      <c r="A2075" s="1"/>
      <c r="B2075" s="2" t="s">
        <v>108</v>
      </c>
      <c r="C2075" s="3" t="s">
        <v>2046</v>
      </c>
      <c r="D2075" s="3" t="s">
        <v>295</v>
      </c>
      <c r="E2075" s="3" t="s">
        <v>348</v>
      </c>
      <c r="F2075" s="3" t="s">
        <v>2042</v>
      </c>
      <c r="G2075" s="3" t="s">
        <v>2029</v>
      </c>
      <c r="H2075" s="4"/>
      <c r="I2075" s="4">
        <f t="shared" si="188"/>
        <v>0</v>
      </c>
      <c r="J2075" s="4"/>
      <c r="K2075" s="4">
        <f t="shared" si="180"/>
        <v>0</v>
      </c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 spans="1:26" ht="15.75" customHeight="1" x14ac:dyDescent="0.2">
      <c r="A2076" s="1"/>
      <c r="B2076" s="2" t="s">
        <v>307</v>
      </c>
      <c r="C2076" s="3" t="s">
        <v>2047</v>
      </c>
      <c r="D2076" s="3" t="s">
        <v>2048</v>
      </c>
      <c r="E2076" s="3" t="s">
        <v>22</v>
      </c>
      <c r="F2076" s="3" t="s">
        <v>2042</v>
      </c>
      <c r="G2076" s="3" t="s">
        <v>2029</v>
      </c>
      <c r="H2076" s="4"/>
      <c r="I2076" s="4">
        <f t="shared" si="188"/>
        <v>0</v>
      </c>
      <c r="J2076" s="4"/>
      <c r="K2076" s="4">
        <f t="shared" si="180"/>
        <v>0</v>
      </c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 spans="1:26" ht="15.75" customHeight="1" x14ac:dyDescent="0.2">
      <c r="A2077" s="1"/>
      <c r="B2077" s="2" t="s">
        <v>311</v>
      </c>
      <c r="C2077" s="3" t="s">
        <v>2047</v>
      </c>
      <c r="D2077" s="3" t="s">
        <v>2048</v>
      </c>
      <c r="E2077" s="3" t="s">
        <v>22</v>
      </c>
      <c r="F2077" s="3" t="s">
        <v>2042</v>
      </c>
      <c r="G2077" s="3" t="s">
        <v>2029</v>
      </c>
      <c r="H2077" s="4"/>
      <c r="I2077" s="4">
        <f t="shared" si="188"/>
        <v>0</v>
      </c>
      <c r="J2077" s="4"/>
      <c r="K2077" s="4">
        <f t="shared" si="180"/>
        <v>0</v>
      </c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 spans="1:26" ht="15.75" customHeight="1" x14ac:dyDescent="0.2">
      <c r="A2078" s="1">
        <v>603</v>
      </c>
      <c r="B2078" s="13" t="s">
        <v>428</v>
      </c>
      <c r="C2078" s="14" t="s">
        <v>2049</v>
      </c>
      <c r="D2078" s="14" t="s">
        <v>526</v>
      </c>
      <c r="E2078" s="14" t="s">
        <v>1492</v>
      </c>
      <c r="F2078" s="14" t="s">
        <v>2050</v>
      </c>
      <c r="G2078" s="14" t="s">
        <v>2029</v>
      </c>
      <c r="H2078" s="4"/>
      <c r="I2078" s="4">
        <f>H2078*2300</f>
        <v>0</v>
      </c>
      <c r="J2078" s="4"/>
      <c r="K2078" s="4">
        <f t="shared" si="180"/>
        <v>0</v>
      </c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 spans="1:26" ht="15.75" customHeight="1" x14ac:dyDescent="0.2">
      <c r="A2079" s="1"/>
      <c r="B2079" s="2" t="s">
        <v>94</v>
      </c>
      <c r="C2079" s="3" t="s">
        <v>2049</v>
      </c>
      <c r="D2079" s="3" t="s">
        <v>513</v>
      </c>
      <c r="E2079" s="3" t="s">
        <v>1492</v>
      </c>
      <c r="F2079" s="23" t="s">
        <v>2050</v>
      </c>
      <c r="G2079" s="3" t="s">
        <v>2029</v>
      </c>
      <c r="H2079" s="4"/>
      <c r="I2079" s="4">
        <f>H2079*1800</f>
        <v>0</v>
      </c>
      <c r="J2079" s="4"/>
      <c r="K2079" s="4">
        <f t="shared" si="180"/>
        <v>0</v>
      </c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 spans="1:26" ht="15.75" customHeight="1" x14ac:dyDescent="0.2">
      <c r="A2080" s="1">
        <v>713</v>
      </c>
      <c r="B2080" s="13" t="s">
        <v>685</v>
      </c>
      <c r="C2080" s="14" t="s">
        <v>2051</v>
      </c>
      <c r="D2080" s="14" t="s">
        <v>370</v>
      </c>
      <c r="E2080" s="14" t="s">
        <v>389</v>
      </c>
      <c r="F2080" s="14" t="s">
        <v>2052</v>
      </c>
      <c r="G2080" s="14" t="s">
        <v>2029</v>
      </c>
      <c r="H2080" s="4"/>
      <c r="I2080" s="4">
        <f t="shared" ref="I2080:I2114" si="189">H2080*2300</f>
        <v>0</v>
      </c>
      <c r="J2080" s="4"/>
      <c r="K2080" s="4">
        <f t="shared" si="180"/>
        <v>0</v>
      </c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 spans="1:26" ht="15.75" customHeight="1" x14ac:dyDescent="0.2">
      <c r="A2081" s="1">
        <v>1135</v>
      </c>
      <c r="B2081" s="13" t="s">
        <v>449</v>
      </c>
      <c r="C2081" s="14" t="s">
        <v>2051</v>
      </c>
      <c r="D2081" s="14" t="s">
        <v>370</v>
      </c>
      <c r="E2081" s="14" t="s">
        <v>389</v>
      </c>
      <c r="F2081" s="14" t="s">
        <v>2052</v>
      </c>
      <c r="G2081" s="14" t="s">
        <v>2029</v>
      </c>
      <c r="H2081" s="4"/>
      <c r="I2081" s="4">
        <f t="shared" si="189"/>
        <v>0</v>
      </c>
      <c r="J2081" s="4"/>
      <c r="K2081" s="4">
        <f t="shared" si="180"/>
        <v>0</v>
      </c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 spans="1:26" ht="15.75" customHeight="1" x14ac:dyDescent="0.2">
      <c r="A2082" s="1">
        <v>699</v>
      </c>
      <c r="B2082" s="13" t="s">
        <v>1508</v>
      </c>
      <c r="C2082" s="14" t="s">
        <v>2053</v>
      </c>
      <c r="D2082" s="14" t="s">
        <v>2054</v>
      </c>
      <c r="E2082" s="14" t="s">
        <v>637</v>
      </c>
      <c r="F2082" s="14" t="s">
        <v>2052</v>
      </c>
      <c r="G2082" s="14" t="s">
        <v>2029</v>
      </c>
      <c r="H2082" s="4"/>
      <c r="I2082" s="4">
        <f t="shared" si="189"/>
        <v>0</v>
      </c>
      <c r="J2082" s="4"/>
      <c r="K2082" s="4">
        <f t="shared" si="180"/>
        <v>0</v>
      </c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 spans="1:26" ht="15.75" customHeight="1" x14ac:dyDescent="0.2">
      <c r="A2083" s="1">
        <v>1073</v>
      </c>
      <c r="B2083" s="13" t="s">
        <v>458</v>
      </c>
      <c r="C2083" s="14" t="s">
        <v>2053</v>
      </c>
      <c r="D2083" s="14" t="s">
        <v>2054</v>
      </c>
      <c r="E2083" s="14" t="s">
        <v>637</v>
      </c>
      <c r="F2083" s="14" t="s">
        <v>2052</v>
      </c>
      <c r="G2083" s="14" t="s">
        <v>2029</v>
      </c>
      <c r="H2083" s="4"/>
      <c r="I2083" s="4">
        <f t="shared" si="189"/>
        <v>0</v>
      </c>
      <c r="J2083" s="4"/>
      <c r="K2083" s="4">
        <f t="shared" si="180"/>
        <v>0</v>
      </c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 spans="1:26" ht="15.75" customHeight="1" x14ac:dyDescent="0.2">
      <c r="A2084" s="1">
        <v>697</v>
      </c>
      <c r="B2084" s="13" t="s">
        <v>1508</v>
      </c>
      <c r="C2084" s="14" t="s">
        <v>2055</v>
      </c>
      <c r="D2084" s="14" t="s">
        <v>2056</v>
      </c>
      <c r="E2084" s="14" t="s">
        <v>40</v>
      </c>
      <c r="F2084" s="14" t="s">
        <v>2052</v>
      </c>
      <c r="G2084" s="14" t="s">
        <v>2029</v>
      </c>
      <c r="H2084" s="4"/>
      <c r="I2084" s="4">
        <f t="shared" si="189"/>
        <v>0</v>
      </c>
      <c r="J2084" s="4"/>
      <c r="K2084" s="4">
        <f t="shared" si="180"/>
        <v>0</v>
      </c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 spans="1:26" ht="15.75" customHeight="1" x14ac:dyDescent="0.2">
      <c r="A2085" s="1">
        <v>1335</v>
      </c>
      <c r="B2085" s="13" t="s">
        <v>260</v>
      </c>
      <c r="C2085" s="14" t="s">
        <v>2055</v>
      </c>
      <c r="D2085" s="14" t="s">
        <v>2056</v>
      </c>
      <c r="E2085" s="14" t="s">
        <v>40</v>
      </c>
      <c r="F2085" s="14" t="s">
        <v>2052</v>
      </c>
      <c r="G2085" s="14" t="s">
        <v>2029</v>
      </c>
      <c r="H2085" s="4"/>
      <c r="I2085" s="4">
        <f t="shared" si="189"/>
        <v>0</v>
      </c>
      <c r="J2085" s="4"/>
      <c r="K2085" s="4">
        <f t="shared" si="180"/>
        <v>0</v>
      </c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 spans="1:26" ht="15.75" customHeight="1" x14ac:dyDescent="0.2">
      <c r="A2086" s="1">
        <v>715</v>
      </c>
      <c r="B2086" s="13" t="s">
        <v>685</v>
      </c>
      <c r="C2086" s="14" t="s">
        <v>2057</v>
      </c>
      <c r="D2086" s="14" t="s">
        <v>2058</v>
      </c>
      <c r="E2086" s="14" t="s">
        <v>1313</v>
      </c>
      <c r="F2086" s="14" t="s">
        <v>2052</v>
      </c>
      <c r="G2086" s="14" t="s">
        <v>2029</v>
      </c>
      <c r="H2086" s="4"/>
      <c r="I2086" s="4">
        <f t="shared" si="189"/>
        <v>0</v>
      </c>
      <c r="J2086" s="4"/>
      <c r="K2086" s="4">
        <f t="shared" si="180"/>
        <v>0</v>
      </c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 spans="1:26" ht="15.75" customHeight="1" x14ac:dyDescent="0.2">
      <c r="A2087" s="1">
        <v>1189</v>
      </c>
      <c r="B2087" s="13" t="s">
        <v>256</v>
      </c>
      <c r="C2087" s="14" t="s">
        <v>2057</v>
      </c>
      <c r="D2087" s="14" t="s">
        <v>2058</v>
      </c>
      <c r="E2087" s="14" t="s">
        <v>1313</v>
      </c>
      <c r="F2087" s="14" t="s">
        <v>2052</v>
      </c>
      <c r="G2087" s="14" t="s">
        <v>2029</v>
      </c>
      <c r="H2087" s="4"/>
      <c r="I2087" s="4">
        <f t="shared" si="189"/>
        <v>0</v>
      </c>
      <c r="J2087" s="4"/>
      <c r="K2087" s="4">
        <f t="shared" si="180"/>
        <v>0</v>
      </c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 spans="1:26" ht="15.75" customHeight="1" x14ac:dyDescent="0.2">
      <c r="A2088" s="1">
        <v>717</v>
      </c>
      <c r="B2088" s="13" t="s">
        <v>685</v>
      </c>
      <c r="C2088" s="14" t="s">
        <v>2059</v>
      </c>
      <c r="D2088" s="14" t="s">
        <v>1020</v>
      </c>
      <c r="E2088" s="14" t="s">
        <v>2060</v>
      </c>
      <c r="F2088" s="14" t="s">
        <v>2052</v>
      </c>
      <c r="G2088" s="14" t="s">
        <v>2029</v>
      </c>
      <c r="H2088" s="4"/>
      <c r="I2088" s="4">
        <f t="shared" si="189"/>
        <v>0</v>
      </c>
      <c r="J2088" s="4"/>
      <c r="K2088" s="4">
        <f t="shared" si="180"/>
        <v>0</v>
      </c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 spans="1:26" ht="15.75" customHeight="1" x14ac:dyDescent="0.2">
      <c r="A2089" s="1">
        <v>731</v>
      </c>
      <c r="B2089" s="13" t="s">
        <v>1407</v>
      </c>
      <c r="C2089" s="14" t="s">
        <v>2059</v>
      </c>
      <c r="D2089" s="14" t="s">
        <v>852</v>
      </c>
      <c r="E2089" s="14" t="s">
        <v>2060</v>
      </c>
      <c r="F2089" s="14" t="s">
        <v>2052</v>
      </c>
      <c r="G2089" s="14" t="s">
        <v>2029</v>
      </c>
      <c r="H2089" s="4"/>
      <c r="I2089" s="4">
        <f t="shared" si="189"/>
        <v>0</v>
      </c>
      <c r="J2089" s="4"/>
      <c r="K2089" s="4">
        <f t="shared" si="180"/>
        <v>0</v>
      </c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 spans="1:26" ht="15.75" customHeight="1" x14ac:dyDescent="0.2">
      <c r="A2090" s="1">
        <v>1137</v>
      </c>
      <c r="B2090" s="13" t="s">
        <v>449</v>
      </c>
      <c r="C2090" s="14" t="s">
        <v>2059</v>
      </c>
      <c r="D2090" s="14" t="s">
        <v>852</v>
      </c>
      <c r="E2090" s="14" t="s">
        <v>2060</v>
      </c>
      <c r="F2090" s="14" t="s">
        <v>2052</v>
      </c>
      <c r="G2090" s="14" t="s">
        <v>2029</v>
      </c>
      <c r="H2090" s="4"/>
      <c r="I2090" s="4">
        <f t="shared" si="189"/>
        <v>0</v>
      </c>
      <c r="J2090" s="4"/>
      <c r="K2090" s="4">
        <f t="shared" si="180"/>
        <v>0</v>
      </c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 spans="1:26" ht="15.75" customHeight="1" x14ac:dyDescent="0.2">
      <c r="A2091" s="1">
        <v>1191</v>
      </c>
      <c r="B2091" s="13" t="s">
        <v>256</v>
      </c>
      <c r="C2091" s="14" t="s">
        <v>2059</v>
      </c>
      <c r="D2091" s="14" t="s">
        <v>1020</v>
      </c>
      <c r="E2091" s="14" t="s">
        <v>2060</v>
      </c>
      <c r="F2091" s="14" t="s">
        <v>2052</v>
      </c>
      <c r="G2091" s="14" t="s">
        <v>2029</v>
      </c>
      <c r="H2091" s="4"/>
      <c r="I2091" s="4">
        <f t="shared" si="189"/>
        <v>0</v>
      </c>
      <c r="J2091" s="4"/>
      <c r="K2091" s="4">
        <f t="shared" si="180"/>
        <v>0</v>
      </c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 spans="1:26" ht="15.75" customHeight="1" x14ac:dyDescent="0.2">
      <c r="A2092" s="1">
        <v>741</v>
      </c>
      <c r="B2092" s="13" t="s">
        <v>686</v>
      </c>
      <c r="C2092" s="14" t="s">
        <v>2061</v>
      </c>
      <c r="D2092" s="14" t="s">
        <v>388</v>
      </c>
      <c r="E2092" s="14" t="s">
        <v>357</v>
      </c>
      <c r="F2092" s="14" t="s">
        <v>2052</v>
      </c>
      <c r="G2092" s="14" t="s">
        <v>2029</v>
      </c>
      <c r="H2092" s="4"/>
      <c r="I2092" s="4">
        <f t="shared" si="189"/>
        <v>0</v>
      </c>
      <c r="J2092" s="4"/>
      <c r="K2092" s="4">
        <f t="shared" si="180"/>
        <v>0</v>
      </c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 spans="1:26" ht="15.75" customHeight="1" x14ac:dyDescent="0.2">
      <c r="A2093" s="1">
        <v>2875</v>
      </c>
      <c r="B2093" s="13" t="s">
        <v>519</v>
      </c>
      <c r="C2093" s="14" t="s">
        <v>2061</v>
      </c>
      <c r="D2093" s="14" t="s">
        <v>388</v>
      </c>
      <c r="E2093" s="14" t="s">
        <v>357</v>
      </c>
      <c r="F2093" s="14" t="s">
        <v>2052</v>
      </c>
      <c r="G2093" s="14" t="s">
        <v>2029</v>
      </c>
      <c r="H2093" s="4"/>
      <c r="I2093" s="4">
        <f t="shared" si="189"/>
        <v>0</v>
      </c>
      <c r="J2093" s="4"/>
      <c r="K2093" s="4">
        <f t="shared" si="180"/>
        <v>0</v>
      </c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 spans="1:26" ht="15.75" customHeight="1" x14ac:dyDescent="0.2">
      <c r="A2094" s="1">
        <v>729</v>
      </c>
      <c r="B2094" s="13" t="s">
        <v>1407</v>
      </c>
      <c r="C2094" s="14" t="s">
        <v>2062</v>
      </c>
      <c r="D2094" s="14" t="s">
        <v>600</v>
      </c>
      <c r="E2094" s="14" t="s">
        <v>255</v>
      </c>
      <c r="F2094" s="14" t="s">
        <v>2052</v>
      </c>
      <c r="G2094" s="14" t="s">
        <v>2029</v>
      </c>
      <c r="H2094" s="4"/>
      <c r="I2094" s="4">
        <f t="shared" si="189"/>
        <v>0</v>
      </c>
      <c r="J2094" s="4"/>
      <c r="K2094" s="4">
        <f t="shared" si="180"/>
        <v>0</v>
      </c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 spans="1:26" ht="15.75" customHeight="1" x14ac:dyDescent="0.2">
      <c r="A2095" s="1">
        <v>1193</v>
      </c>
      <c r="B2095" s="13" t="s">
        <v>256</v>
      </c>
      <c r="C2095" s="14" t="s">
        <v>2062</v>
      </c>
      <c r="D2095" s="14" t="s">
        <v>600</v>
      </c>
      <c r="E2095" s="14" t="s">
        <v>255</v>
      </c>
      <c r="F2095" s="14" t="s">
        <v>2052</v>
      </c>
      <c r="G2095" s="14" t="s">
        <v>2029</v>
      </c>
      <c r="H2095" s="4"/>
      <c r="I2095" s="4">
        <f t="shared" si="189"/>
        <v>0</v>
      </c>
      <c r="J2095" s="4"/>
      <c r="K2095" s="4">
        <f t="shared" si="180"/>
        <v>0</v>
      </c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 spans="1:26" ht="15.75" customHeight="1" x14ac:dyDescent="0.2">
      <c r="A2096" s="1">
        <v>743</v>
      </c>
      <c r="B2096" s="13" t="s">
        <v>686</v>
      </c>
      <c r="C2096" s="14" t="s">
        <v>2063</v>
      </c>
      <c r="D2096" s="14" t="s">
        <v>426</v>
      </c>
      <c r="E2096" s="14" t="s">
        <v>348</v>
      </c>
      <c r="F2096" s="14" t="s">
        <v>2052</v>
      </c>
      <c r="G2096" s="14" t="s">
        <v>2029</v>
      </c>
      <c r="H2096" s="4"/>
      <c r="I2096" s="4">
        <f t="shared" si="189"/>
        <v>0</v>
      </c>
      <c r="J2096" s="4"/>
      <c r="K2096" s="4">
        <f t="shared" si="180"/>
        <v>0</v>
      </c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 spans="1:26" ht="15.75" customHeight="1" x14ac:dyDescent="0.2">
      <c r="A2097" s="1">
        <v>1585</v>
      </c>
      <c r="B2097" s="13" t="s">
        <v>585</v>
      </c>
      <c r="C2097" s="14" t="s">
        <v>2063</v>
      </c>
      <c r="D2097" s="14" t="s">
        <v>426</v>
      </c>
      <c r="E2097" s="14" t="s">
        <v>348</v>
      </c>
      <c r="F2097" s="14" t="s">
        <v>2052</v>
      </c>
      <c r="G2097" s="14" t="s">
        <v>2029</v>
      </c>
      <c r="H2097" s="4"/>
      <c r="I2097" s="4">
        <f t="shared" si="189"/>
        <v>0</v>
      </c>
      <c r="J2097" s="4"/>
      <c r="K2097" s="4">
        <f t="shared" si="180"/>
        <v>0</v>
      </c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 spans="1:26" ht="15.75" customHeight="1" x14ac:dyDescent="0.2">
      <c r="A2098" s="1">
        <v>1167</v>
      </c>
      <c r="B2098" s="13" t="s">
        <v>433</v>
      </c>
      <c r="C2098" s="14" t="s">
        <v>2064</v>
      </c>
      <c r="D2098" s="14" t="s">
        <v>574</v>
      </c>
      <c r="E2098" s="14" t="s">
        <v>357</v>
      </c>
      <c r="F2098" s="14" t="s">
        <v>2065</v>
      </c>
      <c r="G2098" s="14" t="s">
        <v>2029</v>
      </c>
      <c r="H2098" s="4"/>
      <c r="I2098" s="4">
        <f t="shared" si="189"/>
        <v>0</v>
      </c>
      <c r="J2098" s="4"/>
      <c r="K2098" s="4">
        <f t="shared" si="180"/>
        <v>0</v>
      </c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 spans="1:26" ht="15.75" customHeight="1" x14ac:dyDescent="0.2">
      <c r="A2099" s="1">
        <v>2261</v>
      </c>
      <c r="B2099" s="13" t="s">
        <v>517</v>
      </c>
      <c r="C2099" s="14" t="s">
        <v>2064</v>
      </c>
      <c r="D2099" s="14" t="s">
        <v>574</v>
      </c>
      <c r="E2099" s="14" t="s">
        <v>357</v>
      </c>
      <c r="F2099" s="14" t="s">
        <v>2065</v>
      </c>
      <c r="G2099" s="14" t="s">
        <v>2029</v>
      </c>
      <c r="H2099" s="4"/>
      <c r="I2099" s="4">
        <f t="shared" si="189"/>
        <v>0</v>
      </c>
      <c r="J2099" s="4"/>
      <c r="K2099" s="4">
        <f t="shared" si="180"/>
        <v>0</v>
      </c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 spans="1:26" ht="15.75" customHeight="1" x14ac:dyDescent="0.2">
      <c r="A2100" s="1">
        <v>997</v>
      </c>
      <c r="B2100" s="13" t="s">
        <v>624</v>
      </c>
      <c r="C2100" s="14" t="s">
        <v>514</v>
      </c>
      <c r="D2100" s="14" t="s">
        <v>680</v>
      </c>
      <c r="E2100" s="14" t="s">
        <v>1445</v>
      </c>
      <c r="F2100" s="14" t="s">
        <v>2065</v>
      </c>
      <c r="G2100" s="14" t="s">
        <v>2029</v>
      </c>
      <c r="H2100" s="4"/>
      <c r="I2100" s="4">
        <f t="shared" si="189"/>
        <v>0</v>
      </c>
      <c r="J2100" s="4"/>
      <c r="K2100" s="4">
        <f t="shared" si="180"/>
        <v>0</v>
      </c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 spans="1:26" ht="15.75" customHeight="1" x14ac:dyDescent="0.2">
      <c r="A2101" s="1">
        <v>2249</v>
      </c>
      <c r="B2101" s="13" t="s">
        <v>627</v>
      </c>
      <c r="C2101" s="14" t="s">
        <v>514</v>
      </c>
      <c r="D2101" s="14" t="s">
        <v>680</v>
      </c>
      <c r="E2101" s="14" t="s">
        <v>1445</v>
      </c>
      <c r="F2101" s="14" t="s">
        <v>2065</v>
      </c>
      <c r="G2101" s="14" t="s">
        <v>2029</v>
      </c>
      <c r="H2101" s="4"/>
      <c r="I2101" s="4">
        <f t="shared" si="189"/>
        <v>0</v>
      </c>
      <c r="J2101" s="4"/>
      <c r="K2101" s="4">
        <f t="shared" si="180"/>
        <v>0</v>
      </c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 spans="1:26" ht="15.75" customHeight="1" x14ac:dyDescent="0.2">
      <c r="A2102" s="1">
        <v>1471</v>
      </c>
      <c r="B2102" s="13" t="s">
        <v>261</v>
      </c>
      <c r="C2102" s="14" t="s">
        <v>2066</v>
      </c>
      <c r="D2102" s="14" t="s">
        <v>292</v>
      </c>
      <c r="E2102" s="14" t="s">
        <v>87</v>
      </c>
      <c r="F2102" s="14" t="s">
        <v>2065</v>
      </c>
      <c r="G2102" s="14" t="s">
        <v>2029</v>
      </c>
      <c r="H2102" s="4"/>
      <c r="I2102" s="4">
        <f t="shared" si="189"/>
        <v>0</v>
      </c>
      <c r="J2102" s="4"/>
      <c r="K2102" s="4">
        <f t="shared" si="180"/>
        <v>0</v>
      </c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 spans="1:26" ht="15.75" customHeight="1" x14ac:dyDescent="0.2">
      <c r="A2103" s="1">
        <v>2171</v>
      </c>
      <c r="B2103" s="13" t="s">
        <v>281</v>
      </c>
      <c r="C2103" s="14" t="s">
        <v>2066</v>
      </c>
      <c r="D2103" s="14" t="s">
        <v>292</v>
      </c>
      <c r="E2103" s="14" t="s">
        <v>87</v>
      </c>
      <c r="F2103" s="14" t="s">
        <v>2065</v>
      </c>
      <c r="G2103" s="14" t="s">
        <v>2029</v>
      </c>
      <c r="H2103" s="4"/>
      <c r="I2103" s="4">
        <f t="shared" si="189"/>
        <v>0</v>
      </c>
      <c r="J2103" s="4"/>
      <c r="K2103" s="4">
        <f t="shared" si="180"/>
        <v>0</v>
      </c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 spans="1:26" ht="15.75" customHeight="1" x14ac:dyDescent="0.2">
      <c r="A2104" s="1">
        <v>1093</v>
      </c>
      <c r="B2104" s="13" t="s">
        <v>710</v>
      </c>
      <c r="C2104" s="14" t="s">
        <v>2067</v>
      </c>
      <c r="D2104" s="14" t="s">
        <v>78</v>
      </c>
      <c r="E2104" s="14" t="s">
        <v>393</v>
      </c>
      <c r="F2104" s="14" t="s">
        <v>2065</v>
      </c>
      <c r="G2104" s="14" t="s">
        <v>2029</v>
      </c>
      <c r="H2104" s="4"/>
      <c r="I2104" s="4">
        <f t="shared" si="189"/>
        <v>0</v>
      </c>
      <c r="J2104" s="4"/>
      <c r="K2104" s="4">
        <f t="shared" si="180"/>
        <v>0</v>
      </c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 spans="1:26" ht="15.75" customHeight="1" x14ac:dyDescent="0.2">
      <c r="A2105" s="1">
        <v>1789</v>
      </c>
      <c r="B2105" s="13" t="s">
        <v>442</v>
      </c>
      <c r="C2105" s="14" t="s">
        <v>2067</v>
      </c>
      <c r="D2105" s="14" t="s">
        <v>78</v>
      </c>
      <c r="E2105" s="14" t="s">
        <v>393</v>
      </c>
      <c r="F2105" s="14" t="s">
        <v>2065</v>
      </c>
      <c r="G2105" s="14" t="s">
        <v>2029</v>
      </c>
      <c r="H2105" s="4"/>
      <c r="I2105" s="4">
        <f t="shared" si="189"/>
        <v>0</v>
      </c>
      <c r="J2105" s="4"/>
      <c r="K2105" s="4">
        <f t="shared" si="180"/>
        <v>0</v>
      </c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 spans="1:26" ht="15.75" customHeight="1" x14ac:dyDescent="0.2">
      <c r="A2106" s="1">
        <v>2087</v>
      </c>
      <c r="B2106" s="13" t="s">
        <v>653</v>
      </c>
      <c r="C2106" s="14" t="s">
        <v>2067</v>
      </c>
      <c r="D2106" s="14" t="s">
        <v>78</v>
      </c>
      <c r="E2106" s="14" t="s">
        <v>393</v>
      </c>
      <c r="F2106" s="14" t="s">
        <v>2065</v>
      </c>
      <c r="G2106" s="14" t="s">
        <v>2029</v>
      </c>
      <c r="H2106" s="4"/>
      <c r="I2106" s="4">
        <f t="shared" si="189"/>
        <v>0</v>
      </c>
      <c r="J2106" s="4"/>
      <c r="K2106" s="4">
        <f t="shared" si="180"/>
        <v>0</v>
      </c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 spans="1:26" ht="15.75" customHeight="1" x14ac:dyDescent="0.2">
      <c r="A2107" s="1">
        <v>1291</v>
      </c>
      <c r="B2107" s="13" t="s">
        <v>453</v>
      </c>
      <c r="C2107" s="14" t="s">
        <v>1679</v>
      </c>
      <c r="D2107" s="14" t="s">
        <v>643</v>
      </c>
      <c r="E2107" s="14" t="s">
        <v>326</v>
      </c>
      <c r="F2107" s="14" t="s">
        <v>2068</v>
      </c>
      <c r="G2107" s="14" t="s">
        <v>2029</v>
      </c>
      <c r="H2107" s="4"/>
      <c r="I2107" s="4">
        <f t="shared" si="189"/>
        <v>0</v>
      </c>
      <c r="J2107" s="4"/>
      <c r="K2107" s="4">
        <f t="shared" si="180"/>
        <v>0</v>
      </c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 spans="1:26" ht="15.75" customHeight="1" x14ac:dyDescent="0.2">
      <c r="A2108" s="1">
        <v>2129</v>
      </c>
      <c r="B2108" s="13" t="s">
        <v>280</v>
      </c>
      <c r="C2108" s="14" t="s">
        <v>1679</v>
      </c>
      <c r="D2108" s="14" t="s">
        <v>643</v>
      </c>
      <c r="E2108" s="14" t="s">
        <v>326</v>
      </c>
      <c r="F2108" s="14" t="s">
        <v>2068</v>
      </c>
      <c r="G2108" s="14" t="s">
        <v>2029</v>
      </c>
      <c r="H2108" s="4"/>
      <c r="I2108" s="4">
        <f t="shared" si="189"/>
        <v>0</v>
      </c>
      <c r="J2108" s="4"/>
      <c r="K2108" s="4">
        <f t="shared" si="180"/>
        <v>0</v>
      </c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 spans="1:26" ht="15.75" customHeight="1" x14ac:dyDescent="0.2">
      <c r="A2109" s="1">
        <v>1337</v>
      </c>
      <c r="B2109" s="13" t="s">
        <v>260</v>
      </c>
      <c r="C2109" s="14" t="s">
        <v>2069</v>
      </c>
      <c r="D2109" s="14" t="s">
        <v>1337</v>
      </c>
      <c r="E2109" s="14" t="s">
        <v>1235</v>
      </c>
      <c r="F2109" s="14" t="s">
        <v>2068</v>
      </c>
      <c r="G2109" s="14" t="s">
        <v>2029</v>
      </c>
      <c r="H2109" s="4"/>
      <c r="I2109" s="4">
        <f t="shared" si="189"/>
        <v>0</v>
      </c>
      <c r="J2109" s="4"/>
      <c r="K2109" s="4">
        <f t="shared" si="180"/>
        <v>0</v>
      </c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 spans="1:26" ht="15.75" customHeight="1" x14ac:dyDescent="0.2">
      <c r="A2110" s="1">
        <v>2127</v>
      </c>
      <c r="B2110" s="13" t="s">
        <v>280</v>
      </c>
      <c r="C2110" s="14" t="s">
        <v>2069</v>
      </c>
      <c r="D2110" s="14" t="s">
        <v>1337</v>
      </c>
      <c r="E2110" s="14" t="s">
        <v>1235</v>
      </c>
      <c r="F2110" s="14" t="s">
        <v>2068</v>
      </c>
      <c r="G2110" s="14" t="s">
        <v>2029</v>
      </c>
      <c r="H2110" s="4"/>
      <c r="I2110" s="4">
        <f t="shared" si="189"/>
        <v>0</v>
      </c>
      <c r="J2110" s="4"/>
      <c r="K2110" s="4">
        <f t="shared" si="180"/>
        <v>0</v>
      </c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 spans="1:26" ht="15.75" customHeight="1" x14ac:dyDescent="0.2">
      <c r="A2111" s="1">
        <v>1095</v>
      </c>
      <c r="B2111" s="13" t="s">
        <v>710</v>
      </c>
      <c r="C2111" s="14" t="s">
        <v>2070</v>
      </c>
      <c r="D2111" s="14" t="s">
        <v>139</v>
      </c>
      <c r="E2111" s="14" t="s">
        <v>40</v>
      </c>
      <c r="F2111" s="14" t="s">
        <v>2068</v>
      </c>
      <c r="G2111" s="14" t="s">
        <v>2029</v>
      </c>
      <c r="H2111" s="4"/>
      <c r="I2111" s="4">
        <f t="shared" si="189"/>
        <v>0</v>
      </c>
      <c r="J2111" s="4"/>
      <c r="K2111" s="4">
        <f t="shared" si="180"/>
        <v>0</v>
      </c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 spans="1:26" ht="15.75" customHeight="1" x14ac:dyDescent="0.2">
      <c r="A2112" s="1">
        <v>2089</v>
      </c>
      <c r="B2112" s="13" t="s">
        <v>653</v>
      </c>
      <c r="C2112" s="14" t="s">
        <v>2070</v>
      </c>
      <c r="D2112" s="14" t="s">
        <v>139</v>
      </c>
      <c r="E2112" s="14" t="s">
        <v>40</v>
      </c>
      <c r="F2112" s="14" t="s">
        <v>2068</v>
      </c>
      <c r="G2112" s="14" t="s">
        <v>2029</v>
      </c>
      <c r="H2112" s="4"/>
      <c r="I2112" s="4">
        <f t="shared" si="189"/>
        <v>0</v>
      </c>
      <c r="J2112" s="4"/>
      <c r="K2112" s="4">
        <f t="shared" si="180"/>
        <v>0</v>
      </c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 spans="1:26" ht="15.75" customHeight="1" x14ac:dyDescent="0.2">
      <c r="A2113" s="1">
        <v>1587</v>
      </c>
      <c r="B2113" s="13" t="s">
        <v>585</v>
      </c>
      <c r="C2113" s="14" t="s">
        <v>2071</v>
      </c>
      <c r="D2113" s="14" t="s">
        <v>104</v>
      </c>
      <c r="E2113" s="14" t="s">
        <v>1566</v>
      </c>
      <c r="F2113" s="14" t="s">
        <v>2068</v>
      </c>
      <c r="G2113" s="14" t="s">
        <v>2029</v>
      </c>
      <c r="H2113" s="4"/>
      <c r="I2113" s="4">
        <f t="shared" si="189"/>
        <v>0</v>
      </c>
      <c r="J2113" s="4"/>
      <c r="K2113" s="4">
        <f t="shared" si="180"/>
        <v>0</v>
      </c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 spans="1:26" ht="15.75" customHeight="1" x14ac:dyDescent="0.2">
      <c r="A2114" s="1">
        <v>2311</v>
      </c>
      <c r="B2114" s="13" t="s">
        <v>284</v>
      </c>
      <c r="C2114" s="14" t="s">
        <v>2071</v>
      </c>
      <c r="D2114" s="14" t="s">
        <v>104</v>
      </c>
      <c r="E2114" s="14" t="s">
        <v>1566</v>
      </c>
      <c r="F2114" s="14" t="s">
        <v>2068</v>
      </c>
      <c r="G2114" s="14" t="s">
        <v>2029</v>
      </c>
      <c r="H2114" s="4"/>
      <c r="I2114" s="4">
        <f t="shared" si="189"/>
        <v>0</v>
      </c>
      <c r="J2114" s="4"/>
      <c r="K2114" s="4">
        <f t="shared" si="180"/>
        <v>0</v>
      </c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 spans="1:26" ht="15.75" customHeight="1" x14ac:dyDescent="0.2">
      <c r="A2115" s="1">
        <v>921</v>
      </c>
      <c r="B2115" s="13" t="s">
        <v>694</v>
      </c>
      <c r="C2115" s="14" t="s">
        <v>2072</v>
      </c>
      <c r="D2115" s="14" t="s">
        <v>75</v>
      </c>
      <c r="E2115" s="14" t="s">
        <v>32</v>
      </c>
      <c r="F2115" s="14" t="s">
        <v>2068</v>
      </c>
      <c r="G2115" s="14" t="s">
        <v>2029</v>
      </c>
      <c r="H2115" s="4"/>
      <c r="I2115" s="4">
        <f t="shared" ref="I2115:I2116" si="190">H2115*1800</f>
        <v>0</v>
      </c>
      <c r="J2115" s="4"/>
      <c r="K2115" s="4">
        <f t="shared" si="180"/>
        <v>0</v>
      </c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 spans="1:26" ht="15.75" customHeight="1" x14ac:dyDescent="0.2">
      <c r="A2116" s="1">
        <v>2045</v>
      </c>
      <c r="B2116" s="13" t="s">
        <v>701</v>
      </c>
      <c r="C2116" s="14" t="s">
        <v>2072</v>
      </c>
      <c r="D2116" s="14" t="s">
        <v>75</v>
      </c>
      <c r="E2116" s="14" t="s">
        <v>32</v>
      </c>
      <c r="F2116" s="14" t="s">
        <v>2068</v>
      </c>
      <c r="G2116" s="14" t="s">
        <v>2029</v>
      </c>
      <c r="H2116" s="4"/>
      <c r="I2116" s="4">
        <f t="shared" si="190"/>
        <v>0</v>
      </c>
      <c r="J2116" s="4"/>
      <c r="K2116" s="4">
        <f t="shared" si="180"/>
        <v>0</v>
      </c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 spans="1:26" ht="15.75" customHeight="1" x14ac:dyDescent="0.2">
      <c r="A2117" s="1">
        <v>1589</v>
      </c>
      <c r="B2117" s="13" t="s">
        <v>264</v>
      </c>
      <c r="C2117" s="14" t="s">
        <v>2073</v>
      </c>
      <c r="D2117" s="14" t="s">
        <v>871</v>
      </c>
      <c r="E2117" s="14" t="s">
        <v>129</v>
      </c>
      <c r="F2117" s="14" t="s">
        <v>2074</v>
      </c>
      <c r="G2117" s="14" t="s">
        <v>2029</v>
      </c>
      <c r="H2117" s="4"/>
      <c r="I2117" s="4">
        <f t="shared" ref="I2117:I2143" si="191">H2117*2300</f>
        <v>0</v>
      </c>
      <c r="J2117" s="4"/>
      <c r="K2117" s="4">
        <f t="shared" si="180"/>
        <v>0</v>
      </c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 spans="1:26" ht="15.75" customHeight="1" x14ac:dyDescent="0.2">
      <c r="A2118" s="1">
        <v>2179</v>
      </c>
      <c r="B2118" s="13" t="s">
        <v>282</v>
      </c>
      <c r="C2118" s="14" t="s">
        <v>2073</v>
      </c>
      <c r="D2118" s="14" t="s">
        <v>871</v>
      </c>
      <c r="E2118" s="14" t="s">
        <v>129</v>
      </c>
      <c r="F2118" s="14" t="s">
        <v>2074</v>
      </c>
      <c r="G2118" s="14" t="s">
        <v>2029</v>
      </c>
      <c r="H2118" s="4"/>
      <c r="I2118" s="4">
        <f t="shared" si="191"/>
        <v>0</v>
      </c>
      <c r="J2118" s="4"/>
      <c r="K2118" s="4">
        <f t="shared" si="180"/>
        <v>0</v>
      </c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 spans="1:26" ht="15.75" customHeight="1" x14ac:dyDescent="0.2">
      <c r="A2119" s="1">
        <v>2761</v>
      </c>
      <c r="B2119" s="13" t="s">
        <v>623</v>
      </c>
      <c r="C2119" s="14" t="s">
        <v>2073</v>
      </c>
      <c r="D2119" s="14" t="s">
        <v>871</v>
      </c>
      <c r="E2119" s="14" t="s">
        <v>129</v>
      </c>
      <c r="F2119" s="14" t="s">
        <v>2074</v>
      </c>
      <c r="G2119" s="14" t="s">
        <v>2029</v>
      </c>
      <c r="H2119" s="4"/>
      <c r="I2119" s="4">
        <f t="shared" si="191"/>
        <v>0</v>
      </c>
      <c r="J2119" s="4"/>
      <c r="K2119" s="4">
        <f t="shared" si="180"/>
        <v>0</v>
      </c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 spans="1:26" ht="15.75" customHeight="1" x14ac:dyDescent="0.2">
      <c r="A2120" s="1">
        <v>897</v>
      </c>
      <c r="B2120" s="13" t="s">
        <v>694</v>
      </c>
      <c r="C2120" s="14" t="s">
        <v>2075</v>
      </c>
      <c r="D2120" s="14" t="s">
        <v>292</v>
      </c>
      <c r="E2120" s="14" t="s">
        <v>79</v>
      </c>
      <c r="F2120" s="14" t="s">
        <v>2074</v>
      </c>
      <c r="G2120" s="14" t="s">
        <v>2029</v>
      </c>
      <c r="H2120" s="4"/>
      <c r="I2120" s="4">
        <f t="shared" si="191"/>
        <v>0</v>
      </c>
      <c r="J2120" s="4"/>
      <c r="K2120" s="4">
        <f t="shared" si="180"/>
        <v>0</v>
      </c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 spans="1:26" ht="15.75" customHeight="1" x14ac:dyDescent="0.2">
      <c r="A2121" s="1">
        <v>2009</v>
      </c>
      <c r="B2121" s="13" t="s">
        <v>701</v>
      </c>
      <c r="C2121" s="14" t="s">
        <v>2075</v>
      </c>
      <c r="D2121" s="14" t="s">
        <v>292</v>
      </c>
      <c r="E2121" s="14" t="s">
        <v>79</v>
      </c>
      <c r="F2121" s="14" t="s">
        <v>2074</v>
      </c>
      <c r="G2121" s="14" t="s">
        <v>2029</v>
      </c>
      <c r="H2121" s="4"/>
      <c r="I2121" s="4">
        <f t="shared" si="191"/>
        <v>0</v>
      </c>
      <c r="J2121" s="4"/>
      <c r="K2121" s="4">
        <f t="shared" si="180"/>
        <v>0</v>
      </c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 spans="1:26" ht="15.75" customHeight="1" x14ac:dyDescent="0.2">
      <c r="A2122" s="1">
        <v>1323</v>
      </c>
      <c r="B2122" s="13" t="s">
        <v>260</v>
      </c>
      <c r="C2122" s="14" t="s">
        <v>2076</v>
      </c>
      <c r="D2122" s="14" t="s">
        <v>506</v>
      </c>
      <c r="E2122" s="14" t="s">
        <v>393</v>
      </c>
      <c r="F2122" s="14" t="s">
        <v>2074</v>
      </c>
      <c r="G2122" s="14" t="s">
        <v>2029</v>
      </c>
      <c r="H2122" s="4"/>
      <c r="I2122" s="4">
        <f t="shared" si="191"/>
        <v>0</v>
      </c>
      <c r="J2122" s="4"/>
      <c r="K2122" s="4">
        <f t="shared" si="180"/>
        <v>0</v>
      </c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 spans="1:26" ht="15.75" customHeight="1" x14ac:dyDescent="0.2">
      <c r="A2123" s="1">
        <v>1801</v>
      </c>
      <c r="B2123" s="13" t="s">
        <v>276</v>
      </c>
      <c r="C2123" s="14" t="s">
        <v>2076</v>
      </c>
      <c r="D2123" s="14" t="s">
        <v>506</v>
      </c>
      <c r="E2123" s="14" t="s">
        <v>393</v>
      </c>
      <c r="F2123" s="14" t="s">
        <v>2074</v>
      </c>
      <c r="G2123" s="14" t="s">
        <v>2029</v>
      </c>
      <c r="H2123" s="4"/>
      <c r="I2123" s="4">
        <f t="shared" si="191"/>
        <v>0</v>
      </c>
      <c r="J2123" s="4"/>
      <c r="K2123" s="4">
        <f t="shared" si="180"/>
        <v>0</v>
      </c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 spans="1:26" ht="15.75" customHeight="1" x14ac:dyDescent="0.2">
      <c r="A2124" s="1">
        <v>923</v>
      </c>
      <c r="B2124" s="13" t="s">
        <v>694</v>
      </c>
      <c r="C2124" s="14" t="s">
        <v>2077</v>
      </c>
      <c r="D2124" s="14" t="s">
        <v>2078</v>
      </c>
      <c r="E2124" s="14" t="s">
        <v>2079</v>
      </c>
      <c r="F2124" s="14" t="s">
        <v>2074</v>
      </c>
      <c r="G2124" s="14" t="s">
        <v>2029</v>
      </c>
      <c r="H2124" s="4"/>
      <c r="I2124" s="4">
        <f t="shared" si="191"/>
        <v>0</v>
      </c>
      <c r="J2124" s="4"/>
      <c r="K2124" s="4">
        <f t="shared" si="180"/>
        <v>0</v>
      </c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 spans="1:26" ht="15.75" customHeight="1" x14ac:dyDescent="0.2">
      <c r="A2125" s="1">
        <v>2001</v>
      </c>
      <c r="B2125" s="13" t="s">
        <v>652</v>
      </c>
      <c r="C2125" s="14" t="s">
        <v>2077</v>
      </c>
      <c r="D2125" s="14" t="s">
        <v>2078</v>
      </c>
      <c r="E2125" s="14" t="s">
        <v>2079</v>
      </c>
      <c r="F2125" s="14" t="s">
        <v>2074</v>
      </c>
      <c r="G2125" s="14" t="s">
        <v>2029</v>
      </c>
      <c r="H2125" s="4"/>
      <c r="I2125" s="4">
        <f t="shared" si="191"/>
        <v>0</v>
      </c>
      <c r="J2125" s="4"/>
      <c r="K2125" s="4">
        <f t="shared" si="180"/>
        <v>0</v>
      </c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 spans="1:26" ht="15.75" customHeight="1" x14ac:dyDescent="0.2">
      <c r="A2126" s="1">
        <v>911</v>
      </c>
      <c r="B2126" s="13" t="s">
        <v>694</v>
      </c>
      <c r="C2126" s="14" t="s">
        <v>2080</v>
      </c>
      <c r="D2126" s="14" t="s">
        <v>292</v>
      </c>
      <c r="E2126" s="14" t="s">
        <v>876</v>
      </c>
      <c r="F2126" s="14" t="s">
        <v>2074</v>
      </c>
      <c r="G2126" s="14" t="s">
        <v>2029</v>
      </c>
      <c r="H2126" s="4"/>
      <c r="I2126" s="4">
        <f t="shared" si="191"/>
        <v>0</v>
      </c>
      <c r="J2126" s="4"/>
      <c r="K2126" s="4">
        <f t="shared" si="180"/>
        <v>0</v>
      </c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 spans="1:26" ht="15.75" customHeight="1" x14ac:dyDescent="0.2">
      <c r="A2127" s="1">
        <v>2575</v>
      </c>
      <c r="B2127" s="13" t="s">
        <v>287</v>
      </c>
      <c r="C2127" s="14" t="s">
        <v>2081</v>
      </c>
      <c r="D2127" s="14" t="s">
        <v>474</v>
      </c>
      <c r="E2127" s="14" t="s">
        <v>134</v>
      </c>
      <c r="F2127" s="14" t="s">
        <v>2074</v>
      </c>
      <c r="G2127" s="14" t="s">
        <v>2029</v>
      </c>
      <c r="H2127" s="4"/>
      <c r="I2127" s="4">
        <f t="shared" si="191"/>
        <v>0</v>
      </c>
      <c r="J2127" s="4"/>
      <c r="K2127" s="4">
        <f t="shared" si="180"/>
        <v>0</v>
      </c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 spans="1:26" ht="15.75" customHeight="1" x14ac:dyDescent="0.2">
      <c r="A2128" s="1">
        <v>2849</v>
      </c>
      <c r="B2128" s="13" t="s">
        <v>519</v>
      </c>
      <c r="C2128" s="14" t="s">
        <v>2081</v>
      </c>
      <c r="D2128" s="14" t="s">
        <v>474</v>
      </c>
      <c r="E2128" s="14" t="s">
        <v>134</v>
      </c>
      <c r="F2128" s="14" t="s">
        <v>2074</v>
      </c>
      <c r="G2128" s="14" t="s">
        <v>2029</v>
      </c>
      <c r="H2128" s="4"/>
      <c r="I2128" s="4">
        <f t="shared" si="191"/>
        <v>0</v>
      </c>
      <c r="J2128" s="4"/>
      <c r="K2128" s="4">
        <f t="shared" si="180"/>
        <v>0</v>
      </c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 spans="1:26" ht="15.75" customHeight="1" x14ac:dyDescent="0.2">
      <c r="A2129" s="1">
        <v>1689</v>
      </c>
      <c r="B2129" s="13" t="s">
        <v>270</v>
      </c>
      <c r="C2129" s="14" t="s">
        <v>2082</v>
      </c>
      <c r="D2129" s="14" t="s">
        <v>124</v>
      </c>
      <c r="E2129" s="14" t="s">
        <v>397</v>
      </c>
      <c r="F2129" s="14" t="s">
        <v>2074</v>
      </c>
      <c r="G2129" s="14" t="s">
        <v>2029</v>
      </c>
      <c r="H2129" s="4"/>
      <c r="I2129" s="4">
        <f t="shared" si="191"/>
        <v>0</v>
      </c>
      <c r="J2129" s="4"/>
      <c r="K2129" s="4">
        <f t="shared" si="180"/>
        <v>0</v>
      </c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 spans="1:26" ht="15.75" customHeight="1" x14ac:dyDescent="0.2">
      <c r="A2130" s="1">
        <v>1953</v>
      </c>
      <c r="B2130" s="13" t="s">
        <v>278</v>
      </c>
      <c r="C2130" s="14" t="s">
        <v>2082</v>
      </c>
      <c r="D2130" s="14" t="s">
        <v>124</v>
      </c>
      <c r="E2130" s="14" t="s">
        <v>397</v>
      </c>
      <c r="F2130" s="14" t="s">
        <v>2074</v>
      </c>
      <c r="G2130" s="14" t="s">
        <v>2029</v>
      </c>
      <c r="H2130" s="4"/>
      <c r="I2130" s="4">
        <f t="shared" si="191"/>
        <v>0</v>
      </c>
      <c r="J2130" s="4"/>
      <c r="K2130" s="4">
        <f t="shared" si="180"/>
        <v>0</v>
      </c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 spans="1:26" ht="15.75" customHeight="1" x14ac:dyDescent="0.2">
      <c r="A2131" s="1">
        <v>1559</v>
      </c>
      <c r="B2131" s="13" t="s">
        <v>377</v>
      </c>
      <c r="C2131" s="14" t="s">
        <v>2083</v>
      </c>
      <c r="D2131" s="14" t="s">
        <v>1024</v>
      </c>
      <c r="E2131" s="14" t="s">
        <v>2084</v>
      </c>
      <c r="F2131" s="14" t="s">
        <v>2074</v>
      </c>
      <c r="G2131" s="14" t="s">
        <v>2029</v>
      </c>
      <c r="H2131" s="4"/>
      <c r="I2131" s="4">
        <f t="shared" si="191"/>
        <v>0</v>
      </c>
      <c r="J2131" s="4"/>
      <c r="K2131" s="4">
        <f t="shared" si="180"/>
        <v>0</v>
      </c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 spans="1:26" ht="15.75" customHeight="1" x14ac:dyDescent="0.2">
      <c r="A2132" s="1">
        <v>2301</v>
      </c>
      <c r="B2132" s="13" t="s">
        <v>284</v>
      </c>
      <c r="C2132" s="14" t="s">
        <v>2083</v>
      </c>
      <c r="D2132" s="14" t="s">
        <v>1024</v>
      </c>
      <c r="E2132" s="14" t="s">
        <v>2084</v>
      </c>
      <c r="F2132" s="14" t="s">
        <v>2074</v>
      </c>
      <c r="G2132" s="14" t="s">
        <v>2029</v>
      </c>
      <c r="H2132" s="4"/>
      <c r="I2132" s="4">
        <f t="shared" si="191"/>
        <v>0</v>
      </c>
      <c r="J2132" s="4"/>
      <c r="K2132" s="4">
        <f t="shared" si="180"/>
        <v>0</v>
      </c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 spans="1:26" ht="15.75" customHeight="1" x14ac:dyDescent="0.2">
      <c r="A2133" s="1">
        <v>2593</v>
      </c>
      <c r="B2133" s="13" t="s">
        <v>287</v>
      </c>
      <c r="C2133" s="14" t="s">
        <v>2083</v>
      </c>
      <c r="D2133" s="14" t="s">
        <v>1024</v>
      </c>
      <c r="E2133" s="14" t="s">
        <v>2084</v>
      </c>
      <c r="F2133" s="14" t="s">
        <v>2074</v>
      </c>
      <c r="G2133" s="14" t="s">
        <v>2029</v>
      </c>
      <c r="H2133" s="4"/>
      <c r="I2133" s="4">
        <f t="shared" si="191"/>
        <v>0</v>
      </c>
      <c r="J2133" s="4"/>
      <c r="K2133" s="4">
        <f t="shared" si="180"/>
        <v>0</v>
      </c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 spans="1:26" ht="15.75" customHeight="1" x14ac:dyDescent="0.2">
      <c r="A2134" s="1">
        <v>1681</v>
      </c>
      <c r="B2134" s="13" t="s">
        <v>270</v>
      </c>
      <c r="C2134" s="14" t="s">
        <v>2085</v>
      </c>
      <c r="D2134" s="14" t="s">
        <v>1540</v>
      </c>
      <c r="E2134" s="14" t="s">
        <v>413</v>
      </c>
      <c r="F2134" s="14" t="s">
        <v>2074</v>
      </c>
      <c r="G2134" s="14" t="s">
        <v>2029</v>
      </c>
      <c r="H2134" s="4"/>
      <c r="I2134" s="4">
        <f t="shared" si="191"/>
        <v>0</v>
      </c>
      <c r="J2134" s="4"/>
      <c r="K2134" s="4">
        <f t="shared" si="180"/>
        <v>0</v>
      </c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 spans="1:26" ht="15.75" customHeight="1" x14ac:dyDescent="0.2">
      <c r="A2135" s="1">
        <v>1947</v>
      </c>
      <c r="B2135" s="13" t="s">
        <v>278</v>
      </c>
      <c r="C2135" s="14" t="s">
        <v>2085</v>
      </c>
      <c r="D2135" s="14" t="s">
        <v>1540</v>
      </c>
      <c r="E2135" s="14" t="s">
        <v>413</v>
      </c>
      <c r="F2135" s="14" t="s">
        <v>2074</v>
      </c>
      <c r="G2135" s="14" t="s">
        <v>2029</v>
      </c>
      <c r="H2135" s="4"/>
      <c r="I2135" s="4">
        <f t="shared" si="191"/>
        <v>0</v>
      </c>
      <c r="J2135" s="4"/>
      <c r="K2135" s="4">
        <f t="shared" si="180"/>
        <v>0</v>
      </c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 spans="1:26" ht="15.75" customHeight="1" x14ac:dyDescent="0.2">
      <c r="A2136" s="1">
        <v>1411</v>
      </c>
      <c r="B2136" s="13" t="s">
        <v>386</v>
      </c>
      <c r="C2136" s="14" t="s">
        <v>2086</v>
      </c>
      <c r="D2136" s="14" t="s">
        <v>58</v>
      </c>
      <c r="E2136" s="14" t="s">
        <v>424</v>
      </c>
      <c r="F2136" s="14" t="s">
        <v>2074</v>
      </c>
      <c r="G2136" s="14" t="s">
        <v>2029</v>
      </c>
      <c r="H2136" s="4"/>
      <c r="I2136" s="4">
        <f t="shared" si="191"/>
        <v>0</v>
      </c>
      <c r="J2136" s="4"/>
      <c r="K2136" s="4">
        <f t="shared" si="180"/>
        <v>0</v>
      </c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 spans="1:26" ht="15.75" customHeight="1" x14ac:dyDescent="0.2">
      <c r="A2137" s="1">
        <v>1879</v>
      </c>
      <c r="B2137" s="13" t="s">
        <v>711</v>
      </c>
      <c r="C2137" s="14" t="s">
        <v>2086</v>
      </c>
      <c r="D2137" s="14" t="s">
        <v>58</v>
      </c>
      <c r="E2137" s="14" t="s">
        <v>424</v>
      </c>
      <c r="F2137" s="14" t="s">
        <v>2074</v>
      </c>
      <c r="G2137" s="14" t="s">
        <v>2029</v>
      </c>
      <c r="H2137" s="4"/>
      <c r="I2137" s="4">
        <f t="shared" si="191"/>
        <v>0</v>
      </c>
      <c r="J2137" s="4"/>
      <c r="K2137" s="4">
        <f t="shared" si="180"/>
        <v>0</v>
      </c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 spans="1:26" ht="15.75" customHeight="1" x14ac:dyDescent="0.2">
      <c r="A2138" s="1">
        <v>887</v>
      </c>
      <c r="B2138" s="13" t="s">
        <v>634</v>
      </c>
      <c r="C2138" s="14" t="s">
        <v>2087</v>
      </c>
      <c r="D2138" s="14" t="s">
        <v>240</v>
      </c>
      <c r="E2138" s="14" t="s">
        <v>306</v>
      </c>
      <c r="F2138" s="14" t="s">
        <v>2074</v>
      </c>
      <c r="G2138" s="14" t="s">
        <v>2029</v>
      </c>
      <c r="H2138" s="4"/>
      <c r="I2138" s="4">
        <f t="shared" si="191"/>
        <v>0</v>
      </c>
      <c r="J2138" s="4"/>
      <c r="K2138" s="4">
        <f t="shared" si="180"/>
        <v>0</v>
      </c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 spans="1:26" ht="15.75" customHeight="1" x14ac:dyDescent="0.2">
      <c r="A2139" s="1">
        <v>2031</v>
      </c>
      <c r="B2139" s="13" t="s">
        <v>701</v>
      </c>
      <c r="C2139" s="14" t="s">
        <v>2087</v>
      </c>
      <c r="D2139" s="14" t="s">
        <v>240</v>
      </c>
      <c r="E2139" s="14" t="s">
        <v>306</v>
      </c>
      <c r="F2139" s="14" t="s">
        <v>2074</v>
      </c>
      <c r="G2139" s="14" t="s">
        <v>2029</v>
      </c>
      <c r="H2139" s="4"/>
      <c r="I2139" s="4">
        <f t="shared" si="191"/>
        <v>0</v>
      </c>
      <c r="J2139" s="4"/>
      <c r="K2139" s="4">
        <f t="shared" si="180"/>
        <v>0</v>
      </c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 spans="1:26" ht="15.75" customHeight="1" x14ac:dyDescent="0.2">
      <c r="A2140" s="1">
        <v>2579</v>
      </c>
      <c r="B2140" s="13" t="s">
        <v>287</v>
      </c>
      <c r="C2140" s="14" t="s">
        <v>2088</v>
      </c>
      <c r="D2140" s="14" t="s">
        <v>574</v>
      </c>
      <c r="E2140" s="14" t="s">
        <v>1083</v>
      </c>
      <c r="F2140" s="14" t="s">
        <v>2074</v>
      </c>
      <c r="G2140" s="14" t="s">
        <v>2029</v>
      </c>
      <c r="H2140" s="4"/>
      <c r="I2140" s="4">
        <f t="shared" si="191"/>
        <v>0</v>
      </c>
      <c r="J2140" s="4"/>
      <c r="K2140" s="4">
        <f t="shared" si="180"/>
        <v>0</v>
      </c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 spans="1:26" ht="15.75" customHeight="1" x14ac:dyDescent="0.2">
      <c r="A2141" s="1">
        <v>2853</v>
      </c>
      <c r="B2141" s="13" t="s">
        <v>519</v>
      </c>
      <c r="C2141" s="14" t="s">
        <v>2088</v>
      </c>
      <c r="D2141" s="14" t="s">
        <v>574</v>
      </c>
      <c r="E2141" s="14" t="s">
        <v>1083</v>
      </c>
      <c r="F2141" s="14" t="s">
        <v>2074</v>
      </c>
      <c r="G2141" s="14" t="s">
        <v>2029</v>
      </c>
      <c r="H2141" s="4"/>
      <c r="I2141" s="4">
        <f t="shared" si="191"/>
        <v>0</v>
      </c>
      <c r="J2141" s="4"/>
      <c r="K2141" s="4">
        <f t="shared" si="180"/>
        <v>0</v>
      </c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 spans="1:26" ht="15.75" customHeight="1" x14ac:dyDescent="0.2">
      <c r="A2142" s="1">
        <v>871</v>
      </c>
      <c r="B2142" s="13" t="s">
        <v>634</v>
      </c>
      <c r="C2142" s="14" t="s">
        <v>2089</v>
      </c>
      <c r="D2142" s="14" t="s">
        <v>58</v>
      </c>
      <c r="E2142" s="14" t="s">
        <v>40</v>
      </c>
      <c r="F2142" s="14" t="s">
        <v>2074</v>
      </c>
      <c r="G2142" s="14" t="s">
        <v>2029</v>
      </c>
      <c r="H2142" s="4"/>
      <c r="I2142" s="4">
        <f t="shared" si="191"/>
        <v>0</v>
      </c>
      <c r="J2142" s="4"/>
      <c r="K2142" s="4">
        <f t="shared" si="180"/>
        <v>0</v>
      </c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 spans="1:26" ht="15.75" customHeight="1" x14ac:dyDescent="0.2">
      <c r="A2143" s="1">
        <v>2011</v>
      </c>
      <c r="B2143" s="13" t="s">
        <v>701</v>
      </c>
      <c r="C2143" s="14" t="s">
        <v>2089</v>
      </c>
      <c r="D2143" s="14" t="s">
        <v>58</v>
      </c>
      <c r="E2143" s="14" t="s">
        <v>40</v>
      </c>
      <c r="F2143" s="14" t="s">
        <v>2074</v>
      </c>
      <c r="G2143" s="14" t="s">
        <v>2029</v>
      </c>
      <c r="H2143" s="4"/>
      <c r="I2143" s="4">
        <f t="shared" si="191"/>
        <v>0</v>
      </c>
      <c r="J2143" s="4"/>
      <c r="K2143" s="4">
        <f t="shared" si="180"/>
        <v>0</v>
      </c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 spans="1:26" ht="15.75" customHeight="1" x14ac:dyDescent="0.2">
      <c r="A2144" s="1">
        <v>885</v>
      </c>
      <c r="B2144" s="13" t="s">
        <v>634</v>
      </c>
      <c r="C2144" s="14" t="s">
        <v>1478</v>
      </c>
      <c r="D2144" s="14" t="s">
        <v>554</v>
      </c>
      <c r="E2144" s="14" t="s">
        <v>1490</v>
      </c>
      <c r="F2144" s="14" t="s">
        <v>2074</v>
      </c>
      <c r="G2144" s="14" t="s">
        <v>2029</v>
      </c>
      <c r="H2144" s="4"/>
      <c r="I2144" s="4">
        <f t="shared" ref="I2144:I2145" si="192">H2144*1800</f>
        <v>0</v>
      </c>
      <c r="J2144" s="4"/>
      <c r="K2144" s="4">
        <f t="shared" si="180"/>
        <v>0</v>
      </c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 spans="1:26" ht="15.75" customHeight="1" x14ac:dyDescent="0.2">
      <c r="A2145" s="1">
        <v>1991</v>
      </c>
      <c r="B2145" s="13" t="s">
        <v>652</v>
      </c>
      <c r="C2145" s="14" t="s">
        <v>1478</v>
      </c>
      <c r="D2145" s="14" t="s">
        <v>554</v>
      </c>
      <c r="E2145" s="14" t="s">
        <v>1490</v>
      </c>
      <c r="F2145" s="14" t="s">
        <v>2074</v>
      </c>
      <c r="G2145" s="14" t="s">
        <v>2029</v>
      </c>
      <c r="H2145" s="4"/>
      <c r="I2145" s="4">
        <f t="shared" si="192"/>
        <v>0</v>
      </c>
      <c r="J2145" s="4"/>
      <c r="K2145" s="4">
        <f t="shared" si="180"/>
        <v>0</v>
      </c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 spans="1:26" ht="15.75" customHeight="1" x14ac:dyDescent="0.2">
      <c r="A2146" s="1">
        <v>1293</v>
      </c>
      <c r="B2146" s="13" t="s">
        <v>453</v>
      </c>
      <c r="C2146" s="14" t="s">
        <v>2090</v>
      </c>
      <c r="D2146" s="14" t="s">
        <v>1266</v>
      </c>
      <c r="E2146" s="14" t="s">
        <v>326</v>
      </c>
      <c r="F2146" s="14" t="s">
        <v>2091</v>
      </c>
      <c r="G2146" s="14" t="s">
        <v>2029</v>
      </c>
      <c r="H2146" s="4"/>
      <c r="I2146" s="4">
        <f t="shared" ref="I2146:I2166" si="193">H2146*2300</f>
        <v>0</v>
      </c>
      <c r="J2146" s="4"/>
      <c r="K2146" s="4">
        <f t="shared" si="180"/>
        <v>0</v>
      </c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 spans="1:26" ht="15.75" customHeight="1" x14ac:dyDescent="0.2">
      <c r="A2147" s="1">
        <v>2931</v>
      </c>
      <c r="B2147" s="13" t="s">
        <v>722</v>
      </c>
      <c r="C2147" s="14" t="s">
        <v>2090</v>
      </c>
      <c r="D2147" s="14" t="s">
        <v>1266</v>
      </c>
      <c r="E2147" s="14" t="s">
        <v>326</v>
      </c>
      <c r="F2147" s="14" t="s">
        <v>2091</v>
      </c>
      <c r="G2147" s="14" t="s">
        <v>2029</v>
      </c>
      <c r="H2147" s="4"/>
      <c r="I2147" s="4">
        <f t="shared" si="193"/>
        <v>0</v>
      </c>
      <c r="J2147" s="4"/>
      <c r="K2147" s="4">
        <f t="shared" si="180"/>
        <v>0</v>
      </c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 spans="1:26" ht="15.75" customHeight="1" x14ac:dyDescent="0.2">
      <c r="A2148" s="1"/>
      <c r="B2148" s="2" t="s">
        <v>109</v>
      </c>
      <c r="C2148" s="3" t="s">
        <v>1044</v>
      </c>
      <c r="D2148" s="3" t="s">
        <v>516</v>
      </c>
      <c r="E2148" s="3" t="s">
        <v>306</v>
      </c>
      <c r="F2148" s="3" t="s">
        <v>2091</v>
      </c>
      <c r="G2148" s="3" t="s">
        <v>2029</v>
      </c>
      <c r="H2148" s="4"/>
      <c r="I2148" s="4">
        <f t="shared" si="193"/>
        <v>0</v>
      </c>
      <c r="J2148" s="4"/>
      <c r="K2148" s="4">
        <f t="shared" si="180"/>
        <v>0</v>
      </c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 spans="1:26" ht="15.75" customHeight="1" x14ac:dyDescent="0.2">
      <c r="A2149" s="1"/>
      <c r="B2149" s="2" t="s">
        <v>108</v>
      </c>
      <c r="C2149" s="3" t="s">
        <v>1044</v>
      </c>
      <c r="D2149" s="3" t="s">
        <v>516</v>
      </c>
      <c r="E2149" s="3" t="s">
        <v>306</v>
      </c>
      <c r="F2149" s="3" t="s">
        <v>2091</v>
      </c>
      <c r="G2149" s="3" t="s">
        <v>2029</v>
      </c>
      <c r="H2149" s="4"/>
      <c r="I2149" s="4">
        <f t="shared" si="193"/>
        <v>0</v>
      </c>
      <c r="J2149" s="4"/>
      <c r="K2149" s="4">
        <f t="shared" si="180"/>
        <v>0</v>
      </c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 spans="1:26" ht="15.75" customHeight="1" x14ac:dyDescent="0.2">
      <c r="A2150" s="1">
        <v>1365</v>
      </c>
      <c r="B2150" s="13" t="s">
        <v>601</v>
      </c>
      <c r="C2150" s="14" t="s">
        <v>2092</v>
      </c>
      <c r="D2150" s="14" t="s">
        <v>86</v>
      </c>
      <c r="E2150" s="14" t="s">
        <v>571</v>
      </c>
      <c r="F2150" s="14" t="s">
        <v>2091</v>
      </c>
      <c r="G2150" s="14" t="s">
        <v>2029</v>
      </c>
      <c r="H2150" s="4"/>
      <c r="I2150" s="4">
        <f t="shared" si="193"/>
        <v>0</v>
      </c>
      <c r="J2150" s="4"/>
      <c r="K2150" s="4">
        <f t="shared" si="180"/>
        <v>0</v>
      </c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 spans="1:26" ht="15.75" customHeight="1" x14ac:dyDescent="0.2">
      <c r="A2151" s="1">
        <v>1853</v>
      </c>
      <c r="B2151" s="13" t="s">
        <v>604</v>
      </c>
      <c r="C2151" s="14" t="s">
        <v>2092</v>
      </c>
      <c r="D2151" s="14" t="s">
        <v>86</v>
      </c>
      <c r="E2151" s="14" t="s">
        <v>571</v>
      </c>
      <c r="F2151" s="14" t="s">
        <v>2091</v>
      </c>
      <c r="G2151" s="14" t="s">
        <v>2029</v>
      </c>
      <c r="H2151" s="4"/>
      <c r="I2151" s="4">
        <f t="shared" si="193"/>
        <v>0</v>
      </c>
      <c r="J2151" s="4"/>
      <c r="K2151" s="4">
        <f t="shared" si="180"/>
        <v>0</v>
      </c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 spans="1:26" ht="15.75" customHeight="1" x14ac:dyDescent="0.2">
      <c r="A2152" s="1"/>
      <c r="B2152" s="2" t="s">
        <v>296</v>
      </c>
      <c r="C2152" s="3" t="s">
        <v>2093</v>
      </c>
      <c r="D2152" s="3" t="s">
        <v>39</v>
      </c>
      <c r="E2152" s="3" t="s">
        <v>630</v>
      </c>
      <c r="F2152" s="3" t="s">
        <v>2091</v>
      </c>
      <c r="G2152" s="3" t="s">
        <v>2029</v>
      </c>
      <c r="H2152" s="4"/>
      <c r="I2152" s="4">
        <f t="shared" si="193"/>
        <v>0</v>
      </c>
      <c r="J2152" s="4"/>
      <c r="K2152" s="4">
        <f t="shared" si="180"/>
        <v>0</v>
      </c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 spans="1:26" ht="15.75" customHeight="1" x14ac:dyDescent="0.2">
      <c r="A2153" s="1">
        <v>379</v>
      </c>
      <c r="B2153" s="13" t="s">
        <v>246</v>
      </c>
      <c r="C2153" s="14" t="s">
        <v>2094</v>
      </c>
      <c r="D2153" s="14" t="s">
        <v>86</v>
      </c>
      <c r="E2153" s="14" t="s">
        <v>1490</v>
      </c>
      <c r="F2153" s="14" t="s">
        <v>2091</v>
      </c>
      <c r="G2153" s="14" t="s">
        <v>2029</v>
      </c>
      <c r="H2153" s="4"/>
      <c r="I2153" s="4">
        <f t="shared" si="193"/>
        <v>0</v>
      </c>
      <c r="J2153" s="4"/>
      <c r="K2153" s="4">
        <f t="shared" si="180"/>
        <v>0</v>
      </c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 spans="1:26" ht="15.75" customHeight="1" x14ac:dyDescent="0.2">
      <c r="A2154" s="1">
        <v>1409</v>
      </c>
      <c r="B2154" s="13" t="s">
        <v>386</v>
      </c>
      <c r="C2154" s="14" t="s">
        <v>2094</v>
      </c>
      <c r="D2154" s="14" t="s">
        <v>86</v>
      </c>
      <c r="E2154" s="14" t="s">
        <v>1490</v>
      </c>
      <c r="F2154" s="14" t="s">
        <v>2091</v>
      </c>
      <c r="G2154" s="14" t="s">
        <v>2029</v>
      </c>
      <c r="H2154" s="4"/>
      <c r="I2154" s="4">
        <f t="shared" si="193"/>
        <v>0</v>
      </c>
      <c r="J2154" s="4"/>
      <c r="K2154" s="4">
        <f t="shared" si="180"/>
        <v>0</v>
      </c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 spans="1:26" ht="15.75" customHeight="1" x14ac:dyDescent="0.2">
      <c r="A2155" s="1">
        <v>1877</v>
      </c>
      <c r="B2155" s="13" t="s">
        <v>711</v>
      </c>
      <c r="C2155" s="14" t="s">
        <v>2094</v>
      </c>
      <c r="D2155" s="14" t="s">
        <v>86</v>
      </c>
      <c r="E2155" s="14" t="s">
        <v>1490</v>
      </c>
      <c r="F2155" s="14" t="s">
        <v>2091</v>
      </c>
      <c r="G2155" s="14" t="s">
        <v>2029</v>
      </c>
      <c r="H2155" s="4"/>
      <c r="I2155" s="4">
        <f t="shared" si="193"/>
        <v>0</v>
      </c>
      <c r="J2155" s="4"/>
      <c r="K2155" s="4">
        <f t="shared" si="180"/>
        <v>0</v>
      </c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 spans="1:26" ht="15.75" customHeight="1" x14ac:dyDescent="0.2">
      <c r="A2156" s="1">
        <v>2149</v>
      </c>
      <c r="B2156" s="13" t="s">
        <v>281</v>
      </c>
      <c r="C2156" s="14" t="s">
        <v>2094</v>
      </c>
      <c r="D2156" s="14" t="s">
        <v>86</v>
      </c>
      <c r="E2156" s="14" t="s">
        <v>1490</v>
      </c>
      <c r="F2156" s="14" t="s">
        <v>2091</v>
      </c>
      <c r="G2156" s="14" t="s">
        <v>2029</v>
      </c>
      <c r="H2156" s="4"/>
      <c r="I2156" s="4">
        <f t="shared" si="193"/>
        <v>0</v>
      </c>
      <c r="J2156" s="4"/>
      <c r="K2156" s="4">
        <f t="shared" si="180"/>
        <v>0</v>
      </c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 spans="1:26" ht="15.75" customHeight="1" x14ac:dyDescent="0.2">
      <c r="A2157" s="20">
        <v>2999</v>
      </c>
      <c r="B2157" s="21" t="s">
        <v>290</v>
      </c>
      <c r="C2157" s="22" t="s">
        <v>2094</v>
      </c>
      <c r="D2157" s="22" t="s">
        <v>86</v>
      </c>
      <c r="E2157" s="22" t="s">
        <v>1490</v>
      </c>
      <c r="F2157" s="14" t="s">
        <v>2091</v>
      </c>
      <c r="G2157" s="14" t="s">
        <v>2029</v>
      </c>
      <c r="H2157" s="4"/>
      <c r="I2157" s="4">
        <f t="shared" si="193"/>
        <v>0</v>
      </c>
      <c r="J2157" s="4"/>
      <c r="K2157" s="4">
        <f t="shared" si="180"/>
        <v>0</v>
      </c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 spans="1:26" ht="15.75" customHeight="1" x14ac:dyDescent="0.2">
      <c r="A2158" s="1">
        <v>1107</v>
      </c>
      <c r="B2158" s="13" t="s">
        <v>1344</v>
      </c>
      <c r="C2158" s="14" t="s">
        <v>2095</v>
      </c>
      <c r="D2158" s="14" t="s">
        <v>513</v>
      </c>
      <c r="E2158" s="14" t="s">
        <v>2096</v>
      </c>
      <c r="F2158" s="14" t="s">
        <v>2091</v>
      </c>
      <c r="G2158" s="14" t="s">
        <v>2029</v>
      </c>
      <c r="H2158" s="4"/>
      <c r="I2158" s="4">
        <f t="shared" si="193"/>
        <v>0</v>
      </c>
      <c r="J2158" s="4"/>
      <c r="K2158" s="4">
        <f t="shared" si="180"/>
        <v>0</v>
      </c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 spans="1:26" ht="15.75" customHeight="1" x14ac:dyDescent="0.2">
      <c r="A2159" s="1">
        <v>1819</v>
      </c>
      <c r="B2159" s="13" t="s">
        <v>439</v>
      </c>
      <c r="C2159" s="14" t="s">
        <v>2095</v>
      </c>
      <c r="D2159" s="14" t="s">
        <v>513</v>
      </c>
      <c r="E2159" s="14" t="s">
        <v>2096</v>
      </c>
      <c r="F2159" s="14" t="s">
        <v>2091</v>
      </c>
      <c r="G2159" s="14" t="s">
        <v>2029</v>
      </c>
      <c r="H2159" s="4"/>
      <c r="I2159" s="4">
        <f t="shared" si="193"/>
        <v>0</v>
      </c>
      <c r="J2159" s="4"/>
      <c r="K2159" s="4">
        <f t="shared" si="180"/>
        <v>0</v>
      </c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 spans="1:26" ht="15.75" customHeight="1" x14ac:dyDescent="0.2">
      <c r="A2160" s="1">
        <v>2271</v>
      </c>
      <c r="B2160" s="13" t="s">
        <v>283</v>
      </c>
      <c r="C2160" s="14" t="s">
        <v>2095</v>
      </c>
      <c r="D2160" s="14" t="s">
        <v>513</v>
      </c>
      <c r="E2160" s="14" t="s">
        <v>2096</v>
      </c>
      <c r="F2160" s="14" t="s">
        <v>2091</v>
      </c>
      <c r="G2160" s="14" t="s">
        <v>2029</v>
      </c>
      <c r="H2160" s="4"/>
      <c r="I2160" s="4">
        <f t="shared" si="193"/>
        <v>0</v>
      </c>
      <c r="J2160" s="4"/>
      <c r="K2160" s="4">
        <f t="shared" si="180"/>
        <v>0</v>
      </c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 spans="1:26" ht="15.75" customHeight="1" x14ac:dyDescent="0.2">
      <c r="A2161" s="1"/>
      <c r="B2161" s="2" t="s">
        <v>316</v>
      </c>
      <c r="C2161" s="3" t="s">
        <v>2097</v>
      </c>
      <c r="D2161" s="3" t="s">
        <v>534</v>
      </c>
      <c r="E2161" s="3" t="s">
        <v>1492</v>
      </c>
      <c r="F2161" s="3" t="s">
        <v>2091</v>
      </c>
      <c r="G2161" s="3" t="s">
        <v>2029</v>
      </c>
      <c r="H2161" s="4"/>
      <c r="I2161" s="4">
        <f t="shared" si="193"/>
        <v>0</v>
      </c>
      <c r="J2161" s="4"/>
      <c r="K2161" s="4">
        <f t="shared" si="180"/>
        <v>0</v>
      </c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 spans="1:26" ht="15.75" customHeight="1" x14ac:dyDescent="0.2">
      <c r="A2162" s="1"/>
      <c r="B2162" s="2" t="s">
        <v>102</v>
      </c>
      <c r="C2162" s="3" t="s">
        <v>2097</v>
      </c>
      <c r="D2162" s="3" t="s">
        <v>534</v>
      </c>
      <c r="E2162" s="3" t="s">
        <v>1492</v>
      </c>
      <c r="F2162" s="3" t="s">
        <v>2091</v>
      </c>
      <c r="G2162" s="3" t="s">
        <v>2029</v>
      </c>
      <c r="H2162" s="4"/>
      <c r="I2162" s="4">
        <f t="shared" si="193"/>
        <v>0</v>
      </c>
      <c r="J2162" s="4"/>
      <c r="K2162" s="4">
        <f t="shared" si="180"/>
        <v>0</v>
      </c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 spans="1:26" ht="15.75" customHeight="1" x14ac:dyDescent="0.2">
      <c r="A2163" s="1"/>
      <c r="B2163" s="2" t="s">
        <v>296</v>
      </c>
      <c r="C2163" s="3" t="s">
        <v>2098</v>
      </c>
      <c r="D2163" s="3" t="s">
        <v>1068</v>
      </c>
      <c r="E2163" s="3" t="s">
        <v>18</v>
      </c>
      <c r="F2163" s="3" t="s">
        <v>2091</v>
      </c>
      <c r="G2163" s="3" t="s">
        <v>2029</v>
      </c>
      <c r="H2163" s="4"/>
      <c r="I2163" s="4">
        <f t="shared" si="193"/>
        <v>0</v>
      </c>
      <c r="J2163" s="4"/>
      <c r="K2163" s="4">
        <f t="shared" si="180"/>
        <v>0</v>
      </c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 spans="1:26" ht="15.75" customHeight="1" x14ac:dyDescent="0.2">
      <c r="A2164" s="1"/>
      <c r="B2164" s="2" t="s">
        <v>108</v>
      </c>
      <c r="C2164" s="3" t="s">
        <v>2098</v>
      </c>
      <c r="D2164" s="3" t="s">
        <v>1068</v>
      </c>
      <c r="E2164" s="3" t="s">
        <v>18</v>
      </c>
      <c r="F2164" s="3" t="s">
        <v>2091</v>
      </c>
      <c r="G2164" s="3" t="s">
        <v>2029</v>
      </c>
      <c r="H2164" s="4"/>
      <c r="I2164" s="4">
        <f t="shared" si="193"/>
        <v>0</v>
      </c>
      <c r="J2164" s="4"/>
      <c r="K2164" s="4">
        <f t="shared" si="180"/>
        <v>0</v>
      </c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 spans="1:26" ht="15.75" customHeight="1" x14ac:dyDescent="0.2">
      <c r="A2165" s="1"/>
      <c r="B2165" s="2" t="s">
        <v>316</v>
      </c>
      <c r="C2165" s="3" t="s">
        <v>2099</v>
      </c>
      <c r="D2165" s="3" t="s">
        <v>1611</v>
      </c>
      <c r="E2165" s="3" t="s">
        <v>374</v>
      </c>
      <c r="F2165" s="3" t="s">
        <v>2091</v>
      </c>
      <c r="G2165" s="3" t="s">
        <v>2029</v>
      </c>
      <c r="H2165" s="4"/>
      <c r="I2165" s="4">
        <f t="shared" si="193"/>
        <v>0</v>
      </c>
      <c r="J2165" s="4"/>
      <c r="K2165" s="4">
        <f t="shared" si="180"/>
        <v>0</v>
      </c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 spans="1:26" ht="15.75" customHeight="1" x14ac:dyDescent="0.2">
      <c r="A2166" s="1"/>
      <c r="B2166" s="2" t="s">
        <v>102</v>
      </c>
      <c r="C2166" s="3" t="s">
        <v>2099</v>
      </c>
      <c r="D2166" s="3" t="s">
        <v>1611</v>
      </c>
      <c r="E2166" s="3" t="s">
        <v>374</v>
      </c>
      <c r="F2166" s="3" t="s">
        <v>2091</v>
      </c>
      <c r="G2166" s="3" t="s">
        <v>2029</v>
      </c>
      <c r="H2166" s="4"/>
      <c r="I2166" s="4">
        <f t="shared" si="193"/>
        <v>0</v>
      </c>
      <c r="J2166" s="4"/>
      <c r="K2166" s="4">
        <f t="shared" si="180"/>
        <v>0</v>
      </c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 spans="1:26" ht="15.75" customHeight="1" x14ac:dyDescent="0.2">
      <c r="A2167" s="1"/>
      <c r="B2167" s="2" t="s">
        <v>307</v>
      </c>
      <c r="C2167" s="3" t="s">
        <v>2100</v>
      </c>
      <c r="D2167" s="3" t="s">
        <v>39</v>
      </c>
      <c r="E2167" s="3" t="s">
        <v>129</v>
      </c>
      <c r="F2167" s="3" t="s">
        <v>2091</v>
      </c>
      <c r="G2167" s="3" t="s">
        <v>2029</v>
      </c>
      <c r="H2167" s="4"/>
      <c r="I2167" s="4">
        <f t="shared" ref="I2167:I2169" si="194">H2167*1800</f>
        <v>0</v>
      </c>
      <c r="J2167" s="4"/>
      <c r="K2167" s="4">
        <f t="shared" si="180"/>
        <v>0</v>
      </c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 spans="1:26" ht="15.75" customHeight="1" x14ac:dyDescent="0.2">
      <c r="A2168" s="1"/>
      <c r="B2168" s="2" t="s">
        <v>232</v>
      </c>
      <c r="C2168" s="3" t="s">
        <v>2100</v>
      </c>
      <c r="D2168" s="3" t="s">
        <v>39</v>
      </c>
      <c r="E2168" s="3" t="s">
        <v>129</v>
      </c>
      <c r="F2168" s="3" t="s">
        <v>2091</v>
      </c>
      <c r="G2168" s="3" t="s">
        <v>2029</v>
      </c>
      <c r="H2168" s="4"/>
      <c r="I2168" s="4">
        <f t="shared" si="194"/>
        <v>0</v>
      </c>
      <c r="J2168" s="4"/>
      <c r="K2168" s="4">
        <f t="shared" si="180"/>
        <v>0</v>
      </c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 spans="1:26" ht="15.75" customHeight="1" x14ac:dyDescent="0.2">
      <c r="A2169" s="1">
        <v>155</v>
      </c>
      <c r="B2169" s="13" t="s">
        <v>2101</v>
      </c>
      <c r="C2169" s="14" t="s">
        <v>2102</v>
      </c>
      <c r="D2169" s="14" t="s">
        <v>2103</v>
      </c>
      <c r="E2169" s="14" t="s">
        <v>996</v>
      </c>
      <c r="F2169" s="14" t="s">
        <v>2091</v>
      </c>
      <c r="G2169" s="14" t="s">
        <v>2029</v>
      </c>
      <c r="H2169" s="4"/>
      <c r="I2169" s="4">
        <f t="shared" si="194"/>
        <v>0</v>
      </c>
      <c r="J2169" s="4"/>
      <c r="K2169" s="4">
        <f t="shared" si="180"/>
        <v>0</v>
      </c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 spans="1:26" ht="15.75" customHeight="1" x14ac:dyDescent="0.2">
      <c r="A2170" s="1">
        <v>1021</v>
      </c>
      <c r="B2170" s="13" t="s">
        <v>1076</v>
      </c>
      <c r="C2170" s="14" t="s">
        <v>2104</v>
      </c>
      <c r="D2170" s="14" t="s">
        <v>1556</v>
      </c>
      <c r="E2170" s="14" t="s">
        <v>32</v>
      </c>
      <c r="F2170" s="14" t="s">
        <v>2105</v>
      </c>
      <c r="G2170" s="14" t="s">
        <v>2029</v>
      </c>
      <c r="H2170" s="4"/>
      <c r="I2170" s="4">
        <f t="shared" ref="I2170:I2173" si="195">H2170*2300</f>
        <v>0</v>
      </c>
      <c r="J2170" s="4"/>
      <c r="K2170" s="4">
        <f t="shared" si="180"/>
        <v>0</v>
      </c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 spans="1:26" ht="15.75" customHeight="1" x14ac:dyDescent="0.2">
      <c r="A2171" s="1">
        <v>1745</v>
      </c>
      <c r="B2171" s="13" t="s">
        <v>465</v>
      </c>
      <c r="C2171" s="14" t="s">
        <v>2104</v>
      </c>
      <c r="D2171" s="14" t="s">
        <v>1556</v>
      </c>
      <c r="E2171" s="14" t="s">
        <v>32</v>
      </c>
      <c r="F2171" s="14" t="s">
        <v>2105</v>
      </c>
      <c r="G2171" s="14" t="s">
        <v>2029</v>
      </c>
      <c r="H2171" s="4"/>
      <c r="I2171" s="4">
        <f t="shared" si="195"/>
        <v>0</v>
      </c>
      <c r="J2171" s="4"/>
      <c r="K2171" s="4">
        <f t="shared" si="180"/>
        <v>0</v>
      </c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 spans="1:26" ht="15.75" customHeight="1" x14ac:dyDescent="0.2">
      <c r="A2172" s="1">
        <v>1683</v>
      </c>
      <c r="B2172" s="13" t="s">
        <v>270</v>
      </c>
      <c r="C2172" s="14" t="s">
        <v>2106</v>
      </c>
      <c r="D2172" s="14" t="s">
        <v>116</v>
      </c>
      <c r="E2172" s="14" t="s">
        <v>393</v>
      </c>
      <c r="F2172" s="14" t="s">
        <v>2105</v>
      </c>
      <c r="G2172" s="14" t="s">
        <v>2029</v>
      </c>
      <c r="H2172" s="4"/>
      <c r="I2172" s="4">
        <f t="shared" si="195"/>
        <v>0</v>
      </c>
      <c r="J2172" s="4"/>
      <c r="K2172" s="4">
        <f t="shared" si="180"/>
        <v>0</v>
      </c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 spans="1:26" ht="15.75" customHeight="1" x14ac:dyDescent="0.2">
      <c r="A2173" s="1">
        <v>2207</v>
      </c>
      <c r="B2173" s="13" t="s">
        <v>282</v>
      </c>
      <c r="C2173" s="14" t="s">
        <v>2106</v>
      </c>
      <c r="D2173" s="14" t="s">
        <v>116</v>
      </c>
      <c r="E2173" s="14" t="s">
        <v>393</v>
      </c>
      <c r="F2173" s="14" t="s">
        <v>2105</v>
      </c>
      <c r="G2173" s="14" t="s">
        <v>2029</v>
      </c>
      <c r="H2173" s="4"/>
      <c r="I2173" s="4">
        <f t="shared" si="195"/>
        <v>0</v>
      </c>
      <c r="J2173" s="4"/>
      <c r="K2173" s="4">
        <f t="shared" si="180"/>
        <v>0</v>
      </c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 spans="1:26" ht="15.75" customHeight="1" x14ac:dyDescent="0.2">
      <c r="A2174" s="1"/>
      <c r="B2174" s="2" t="s">
        <v>296</v>
      </c>
      <c r="C2174" s="3" t="s">
        <v>2107</v>
      </c>
      <c r="D2174" s="3" t="s">
        <v>456</v>
      </c>
      <c r="E2174" s="3" t="s">
        <v>306</v>
      </c>
      <c r="F2174" s="3" t="s">
        <v>2108</v>
      </c>
      <c r="G2174" s="3" t="s">
        <v>2029</v>
      </c>
      <c r="H2174" s="4"/>
      <c r="I2174" s="4">
        <f t="shared" ref="I2174:I2177" si="196">H2174*1800</f>
        <v>0</v>
      </c>
      <c r="J2174" s="4"/>
      <c r="K2174" s="4">
        <f t="shared" si="180"/>
        <v>0</v>
      </c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 spans="1:26" ht="15.75" customHeight="1" x14ac:dyDescent="0.2">
      <c r="A2175" s="1"/>
      <c r="B2175" s="2" t="s">
        <v>108</v>
      </c>
      <c r="C2175" s="3" t="s">
        <v>2107</v>
      </c>
      <c r="D2175" s="3" t="s">
        <v>456</v>
      </c>
      <c r="E2175" s="3" t="s">
        <v>306</v>
      </c>
      <c r="F2175" s="3" t="s">
        <v>2108</v>
      </c>
      <c r="G2175" s="3" t="s">
        <v>2029</v>
      </c>
      <c r="H2175" s="4"/>
      <c r="I2175" s="4">
        <f t="shared" si="196"/>
        <v>0</v>
      </c>
      <c r="J2175" s="4"/>
      <c r="K2175" s="4">
        <f t="shared" si="180"/>
        <v>0</v>
      </c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 spans="1:26" ht="15.75" customHeight="1" x14ac:dyDescent="0.2">
      <c r="A2176" s="1"/>
      <c r="B2176" s="2" t="s">
        <v>114</v>
      </c>
      <c r="C2176" s="3" t="s">
        <v>2109</v>
      </c>
      <c r="D2176" s="3" t="s">
        <v>430</v>
      </c>
      <c r="E2176" s="3" t="s">
        <v>18</v>
      </c>
      <c r="F2176" s="3" t="s">
        <v>2108</v>
      </c>
      <c r="G2176" s="3" t="s">
        <v>2029</v>
      </c>
      <c r="H2176" s="4"/>
      <c r="I2176" s="4">
        <f t="shared" si="196"/>
        <v>0</v>
      </c>
      <c r="J2176" s="4"/>
      <c r="K2176" s="4">
        <f t="shared" si="180"/>
        <v>0</v>
      </c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 spans="1:26" ht="15.75" customHeight="1" x14ac:dyDescent="0.2">
      <c r="A2177" s="1"/>
      <c r="B2177" s="2" t="s">
        <v>108</v>
      </c>
      <c r="C2177" s="3" t="s">
        <v>2109</v>
      </c>
      <c r="D2177" s="3" t="s">
        <v>430</v>
      </c>
      <c r="E2177" s="3" t="s">
        <v>18</v>
      </c>
      <c r="F2177" s="3" t="s">
        <v>2108</v>
      </c>
      <c r="G2177" s="3" t="s">
        <v>2029</v>
      </c>
      <c r="H2177" s="4"/>
      <c r="I2177" s="4">
        <f t="shared" si="196"/>
        <v>0</v>
      </c>
      <c r="J2177" s="4"/>
      <c r="K2177" s="4">
        <f t="shared" si="180"/>
        <v>0</v>
      </c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 spans="1:26" ht="15.75" customHeight="1" x14ac:dyDescent="0.2">
      <c r="A2178" s="1">
        <v>1633</v>
      </c>
      <c r="B2178" s="13" t="s">
        <v>267</v>
      </c>
      <c r="C2178" s="14" t="s">
        <v>2110</v>
      </c>
      <c r="D2178" s="14" t="s">
        <v>339</v>
      </c>
      <c r="E2178" s="14" t="s">
        <v>32</v>
      </c>
      <c r="F2178" s="14" t="s">
        <v>2111</v>
      </c>
      <c r="G2178" s="14" t="s">
        <v>2029</v>
      </c>
      <c r="H2178" s="4">
        <v>14</v>
      </c>
      <c r="I2178" s="4">
        <f t="shared" ref="I2178:I2191" si="197">H2178*2300</f>
        <v>32200</v>
      </c>
      <c r="J2178" s="4">
        <v>3</v>
      </c>
      <c r="K2178" s="4">
        <f t="shared" si="180"/>
        <v>12000</v>
      </c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 spans="1:26" ht="15.75" customHeight="1" x14ac:dyDescent="0.2">
      <c r="A2179" s="1">
        <v>2199</v>
      </c>
      <c r="B2179" s="13" t="s">
        <v>282</v>
      </c>
      <c r="C2179" s="14" t="s">
        <v>2110</v>
      </c>
      <c r="D2179" s="14" t="s">
        <v>339</v>
      </c>
      <c r="E2179" s="14" t="s">
        <v>32</v>
      </c>
      <c r="F2179" s="14" t="s">
        <v>2111</v>
      </c>
      <c r="G2179" s="14" t="s">
        <v>2029</v>
      </c>
      <c r="H2179" s="4"/>
      <c r="I2179" s="4">
        <f t="shared" si="197"/>
        <v>0</v>
      </c>
      <c r="J2179" s="4"/>
      <c r="K2179" s="4">
        <f t="shared" si="180"/>
        <v>0</v>
      </c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 spans="1:26" ht="15.75" customHeight="1" x14ac:dyDescent="0.2">
      <c r="A2180" s="1">
        <v>2787</v>
      </c>
      <c r="B2180" s="13" t="s">
        <v>288</v>
      </c>
      <c r="C2180" s="14" t="s">
        <v>2110</v>
      </c>
      <c r="D2180" s="14" t="s">
        <v>339</v>
      </c>
      <c r="E2180" s="14" t="s">
        <v>32</v>
      </c>
      <c r="F2180" s="14" t="s">
        <v>2111</v>
      </c>
      <c r="G2180" s="14" t="s">
        <v>2029</v>
      </c>
      <c r="H2180" s="4"/>
      <c r="I2180" s="4">
        <f t="shared" si="197"/>
        <v>0</v>
      </c>
      <c r="J2180" s="4"/>
      <c r="K2180" s="4">
        <f t="shared" si="180"/>
        <v>0</v>
      </c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 spans="1:26" ht="15.75" customHeight="1" x14ac:dyDescent="0.2">
      <c r="A2181" s="20">
        <v>2995</v>
      </c>
      <c r="B2181" s="21" t="s">
        <v>290</v>
      </c>
      <c r="C2181" s="22" t="s">
        <v>2110</v>
      </c>
      <c r="D2181" s="22" t="s">
        <v>339</v>
      </c>
      <c r="E2181" s="22" t="s">
        <v>32</v>
      </c>
      <c r="F2181" s="14" t="s">
        <v>2111</v>
      </c>
      <c r="G2181" s="14" t="s">
        <v>2029</v>
      </c>
      <c r="H2181" s="4"/>
      <c r="I2181" s="4">
        <f t="shared" si="197"/>
        <v>0</v>
      </c>
      <c r="J2181" s="4"/>
      <c r="K2181" s="4">
        <f t="shared" si="180"/>
        <v>0</v>
      </c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 spans="1:26" ht="15.75" customHeight="1" x14ac:dyDescent="0.2">
      <c r="A2182" s="1">
        <v>503</v>
      </c>
      <c r="B2182" s="13" t="s">
        <v>1339</v>
      </c>
      <c r="C2182" s="14" t="s">
        <v>2112</v>
      </c>
      <c r="D2182" s="14" t="s">
        <v>529</v>
      </c>
      <c r="E2182" s="14" t="s">
        <v>371</v>
      </c>
      <c r="F2182" s="14" t="s">
        <v>2111</v>
      </c>
      <c r="G2182" s="14" t="s">
        <v>2029</v>
      </c>
      <c r="H2182" s="4"/>
      <c r="I2182" s="4">
        <f t="shared" si="197"/>
        <v>0</v>
      </c>
      <c r="J2182" s="4"/>
      <c r="K2182" s="4">
        <f t="shared" si="180"/>
        <v>0</v>
      </c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 spans="1:26" ht="15.75" customHeight="1" x14ac:dyDescent="0.2">
      <c r="A2183" s="1">
        <v>517</v>
      </c>
      <c r="B2183" s="13" t="s">
        <v>509</v>
      </c>
      <c r="C2183" s="14" t="s">
        <v>2112</v>
      </c>
      <c r="D2183" s="14" t="s">
        <v>529</v>
      </c>
      <c r="E2183" s="14" t="s">
        <v>371</v>
      </c>
      <c r="F2183" s="14" t="s">
        <v>2111</v>
      </c>
      <c r="G2183" s="14" t="s">
        <v>2029</v>
      </c>
      <c r="H2183" s="4"/>
      <c r="I2183" s="4">
        <f t="shared" si="197"/>
        <v>0</v>
      </c>
      <c r="J2183" s="4"/>
      <c r="K2183" s="4">
        <f t="shared" si="180"/>
        <v>0</v>
      </c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 spans="1:26" ht="15.75" customHeight="1" x14ac:dyDescent="0.2">
      <c r="A2184" s="1">
        <v>2983</v>
      </c>
      <c r="B2184" s="13" t="s">
        <v>289</v>
      </c>
      <c r="C2184" s="14" t="s">
        <v>2112</v>
      </c>
      <c r="D2184" s="14" t="s">
        <v>529</v>
      </c>
      <c r="E2184" s="14" t="s">
        <v>371</v>
      </c>
      <c r="F2184" s="14" t="s">
        <v>2111</v>
      </c>
      <c r="G2184" s="14" t="s">
        <v>2029</v>
      </c>
      <c r="H2184" s="4"/>
      <c r="I2184" s="4">
        <f t="shared" si="197"/>
        <v>0</v>
      </c>
      <c r="J2184" s="4"/>
      <c r="K2184" s="4">
        <f t="shared" si="180"/>
        <v>0</v>
      </c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 spans="1:26" ht="15.75" customHeight="1" x14ac:dyDescent="0.2">
      <c r="A2185" s="1">
        <v>35</v>
      </c>
      <c r="B2185" s="13" t="s">
        <v>939</v>
      </c>
      <c r="C2185" s="14" t="s">
        <v>2113</v>
      </c>
      <c r="D2185" s="14" t="s">
        <v>339</v>
      </c>
      <c r="E2185" s="14" t="s">
        <v>306</v>
      </c>
      <c r="F2185" s="14" t="s">
        <v>2111</v>
      </c>
      <c r="G2185" s="14" t="s">
        <v>2029</v>
      </c>
      <c r="H2185" s="4"/>
      <c r="I2185" s="4">
        <f t="shared" si="197"/>
        <v>0</v>
      </c>
      <c r="J2185" s="4"/>
      <c r="K2185" s="4">
        <f t="shared" si="180"/>
        <v>0</v>
      </c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 spans="1:26" ht="15.75" customHeight="1" x14ac:dyDescent="0.2">
      <c r="A2186" s="1">
        <v>73</v>
      </c>
      <c r="B2186" s="13" t="s">
        <v>1301</v>
      </c>
      <c r="C2186" s="14" t="s">
        <v>2113</v>
      </c>
      <c r="D2186" s="14" t="s">
        <v>339</v>
      </c>
      <c r="E2186" s="14" t="s">
        <v>306</v>
      </c>
      <c r="F2186" s="14" t="s">
        <v>2111</v>
      </c>
      <c r="G2186" s="14" t="s">
        <v>2029</v>
      </c>
      <c r="H2186" s="4"/>
      <c r="I2186" s="4">
        <f t="shared" si="197"/>
        <v>0</v>
      </c>
      <c r="J2186" s="4"/>
      <c r="K2186" s="4">
        <f t="shared" si="180"/>
        <v>0</v>
      </c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 spans="1:26" ht="15.75" customHeight="1" x14ac:dyDescent="0.2">
      <c r="A2187" s="1"/>
      <c r="B2187" s="2" t="s">
        <v>300</v>
      </c>
      <c r="C2187" s="3" t="s">
        <v>2114</v>
      </c>
      <c r="D2187" s="3" t="s">
        <v>2115</v>
      </c>
      <c r="E2187" s="3" t="s">
        <v>2116</v>
      </c>
      <c r="F2187" s="3" t="s">
        <v>2111</v>
      </c>
      <c r="G2187" s="3" t="s">
        <v>2029</v>
      </c>
      <c r="H2187" s="4"/>
      <c r="I2187" s="4">
        <f t="shared" si="197"/>
        <v>0</v>
      </c>
      <c r="J2187" s="4"/>
      <c r="K2187" s="4">
        <f t="shared" si="180"/>
        <v>0</v>
      </c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 spans="1:26" ht="15.75" customHeight="1" x14ac:dyDescent="0.2">
      <c r="A2188" s="1"/>
      <c r="B2188" s="2" t="s">
        <v>102</v>
      </c>
      <c r="C2188" s="3" t="s">
        <v>2114</v>
      </c>
      <c r="D2188" s="3" t="s">
        <v>2115</v>
      </c>
      <c r="E2188" s="3" t="s">
        <v>2116</v>
      </c>
      <c r="F2188" s="3" t="s">
        <v>2111</v>
      </c>
      <c r="G2188" s="3" t="s">
        <v>2029</v>
      </c>
      <c r="H2188" s="4"/>
      <c r="I2188" s="4">
        <f t="shared" si="197"/>
        <v>0</v>
      </c>
      <c r="J2188" s="4"/>
      <c r="K2188" s="4">
        <f t="shared" si="180"/>
        <v>0</v>
      </c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 spans="1:26" ht="15.75" customHeight="1" x14ac:dyDescent="0.2">
      <c r="A2189" s="1"/>
      <c r="B2189" s="2" t="s">
        <v>303</v>
      </c>
      <c r="C2189" s="3" t="s">
        <v>2114</v>
      </c>
      <c r="D2189" s="3" t="s">
        <v>2115</v>
      </c>
      <c r="E2189" s="3" t="s">
        <v>2116</v>
      </c>
      <c r="F2189" s="3" t="s">
        <v>2111</v>
      </c>
      <c r="G2189" s="3" t="s">
        <v>2029</v>
      </c>
      <c r="H2189" s="4"/>
      <c r="I2189" s="4">
        <f t="shared" si="197"/>
        <v>0</v>
      </c>
      <c r="J2189" s="4"/>
      <c r="K2189" s="4">
        <f t="shared" si="180"/>
        <v>0</v>
      </c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 spans="1:26" ht="15.75" customHeight="1" x14ac:dyDescent="0.2">
      <c r="A2190" s="1"/>
      <c r="B2190" s="2" t="s">
        <v>303</v>
      </c>
      <c r="C2190" s="3" t="s">
        <v>2117</v>
      </c>
      <c r="D2190" s="3" t="s">
        <v>822</v>
      </c>
      <c r="E2190" s="3" t="s">
        <v>273</v>
      </c>
      <c r="F2190" s="3" t="s">
        <v>2111</v>
      </c>
      <c r="G2190" s="3" t="s">
        <v>2029</v>
      </c>
      <c r="H2190" s="4"/>
      <c r="I2190" s="4">
        <f t="shared" si="197"/>
        <v>0</v>
      </c>
      <c r="J2190" s="4"/>
      <c r="K2190" s="4">
        <f t="shared" si="180"/>
        <v>0</v>
      </c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 spans="1:26" ht="15.75" customHeight="1" x14ac:dyDescent="0.2">
      <c r="A2191" s="1"/>
      <c r="B2191" s="2" t="s">
        <v>94</v>
      </c>
      <c r="C2191" s="3" t="s">
        <v>2117</v>
      </c>
      <c r="D2191" s="3" t="s">
        <v>822</v>
      </c>
      <c r="E2191" s="3" t="s">
        <v>273</v>
      </c>
      <c r="F2191" s="3" t="s">
        <v>2111</v>
      </c>
      <c r="G2191" s="3" t="s">
        <v>2029</v>
      </c>
      <c r="H2191" s="4"/>
      <c r="I2191" s="4">
        <f t="shared" si="197"/>
        <v>0</v>
      </c>
      <c r="J2191" s="4"/>
      <c r="K2191" s="4">
        <f t="shared" si="180"/>
        <v>0</v>
      </c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 spans="1:26" ht="15.75" customHeight="1" x14ac:dyDescent="0.2">
      <c r="A2192" s="1"/>
      <c r="B2192" s="2" t="s">
        <v>323</v>
      </c>
      <c r="C2192" s="3" t="s">
        <v>2118</v>
      </c>
      <c r="D2192" s="3" t="s">
        <v>183</v>
      </c>
      <c r="E2192" s="3" t="s">
        <v>384</v>
      </c>
      <c r="F2192" s="3" t="s">
        <v>2111</v>
      </c>
      <c r="G2192" s="3" t="s">
        <v>2029</v>
      </c>
      <c r="H2192" s="4"/>
      <c r="I2192" s="4">
        <f t="shared" ref="I2192:I2202" si="198">H2192*1800</f>
        <v>0</v>
      </c>
      <c r="J2192" s="4"/>
      <c r="K2192" s="4">
        <f t="shared" si="180"/>
        <v>0</v>
      </c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 spans="1:26" ht="15.75" customHeight="1" x14ac:dyDescent="0.2">
      <c r="A2193" s="1"/>
      <c r="B2193" s="2" t="s">
        <v>303</v>
      </c>
      <c r="C2193" s="3" t="s">
        <v>2118</v>
      </c>
      <c r="D2193" s="3" t="s">
        <v>183</v>
      </c>
      <c r="E2193" s="3" t="s">
        <v>384</v>
      </c>
      <c r="F2193" s="3" t="s">
        <v>2111</v>
      </c>
      <c r="G2193" s="3" t="s">
        <v>2029</v>
      </c>
      <c r="H2193" s="4"/>
      <c r="I2193" s="4">
        <f t="shared" si="198"/>
        <v>0</v>
      </c>
      <c r="J2193" s="4"/>
      <c r="K2193" s="4">
        <f t="shared" si="180"/>
        <v>0</v>
      </c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 spans="1:26" ht="15.75" customHeight="1" x14ac:dyDescent="0.2">
      <c r="A2194" s="1"/>
      <c r="B2194" s="2" t="s">
        <v>94</v>
      </c>
      <c r="C2194" s="3" t="s">
        <v>2118</v>
      </c>
      <c r="D2194" s="3" t="s">
        <v>183</v>
      </c>
      <c r="E2194" s="3" t="s">
        <v>384</v>
      </c>
      <c r="F2194" s="3" t="s">
        <v>2111</v>
      </c>
      <c r="G2194" s="3" t="s">
        <v>2029</v>
      </c>
      <c r="H2194" s="4"/>
      <c r="I2194" s="4">
        <f t="shared" si="198"/>
        <v>0</v>
      </c>
      <c r="J2194" s="4"/>
      <c r="K2194" s="4">
        <f t="shared" si="180"/>
        <v>0</v>
      </c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 spans="1:26" ht="15.75" customHeight="1" x14ac:dyDescent="0.2">
      <c r="A2195" s="1">
        <v>371</v>
      </c>
      <c r="B2195" s="13" t="s">
        <v>246</v>
      </c>
      <c r="C2195" s="14" t="s">
        <v>2119</v>
      </c>
      <c r="D2195" s="14" t="s">
        <v>292</v>
      </c>
      <c r="E2195" s="14" t="s">
        <v>650</v>
      </c>
      <c r="F2195" s="14" t="s">
        <v>2111</v>
      </c>
      <c r="G2195" s="14" t="s">
        <v>2029</v>
      </c>
      <c r="H2195" s="4"/>
      <c r="I2195" s="4">
        <f t="shared" si="198"/>
        <v>0</v>
      </c>
      <c r="J2195" s="4"/>
      <c r="K2195" s="4">
        <f t="shared" si="180"/>
        <v>0</v>
      </c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 spans="1:26" ht="15.75" customHeight="1" x14ac:dyDescent="0.2">
      <c r="A2196" s="1">
        <v>405</v>
      </c>
      <c r="B2196" s="13" t="s">
        <v>1299</v>
      </c>
      <c r="C2196" s="14" t="s">
        <v>2119</v>
      </c>
      <c r="D2196" s="14" t="s">
        <v>292</v>
      </c>
      <c r="E2196" s="14" t="s">
        <v>650</v>
      </c>
      <c r="F2196" s="14" t="s">
        <v>2111</v>
      </c>
      <c r="G2196" s="14" t="s">
        <v>2029</v>
      </c>
      <c r="H2196" s="4"/>
      <c r="I2196" s="4">
        <f t="shared" si="198"/>
        <v>0</v>
      </c>
      <c r="J2196" s="4"/>
      <c r="K2196" s="4">
        <f t="shared" si="180"/>
        <v>0</v>
      </c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 spans="1:26" ht="15.75" customHeight="1" x14ac:dyDescent="0.2">
      <c r="A2197" s="1">
        <v>1443</v>
      </c>
      <c r="B2197" s="13" t="s">
        <v>261</v>
      </c>
      <c r="C2197" s="14" t="s">
        <v>2119</v>
      </c>
      <c r="D2197" s="14" t="s">
        <v>292</v>
      </c>
      <c r="E2197" s="14" t="s">
        <v>650</v>
      </c>
      <c r="F2197" s="14" t="s">
        <v>2111</v>
      </c>
      <c r="G2197" s="14" t="s">
        <v>2029</v>
      </c>
      <c r="H2197" s="4"/>
      <c r="I2197" s="4">
        <f t="shared" si="198"/>
        <v>0</v>
      </c>
      <c r="J2197" s="4"/>
      <c r="K2197" s="4">
        <f t="shared" si="180"/>
        <v>0</v>
      </c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 spans="1:26" ht="15.75" customHeight="1" x14ac:dyDescent="0.2">
      <c r="A2198" s="1">
        <v>1893</v>
      </c>
      <c r="B2198" s="13" t="s">
        <v>277</v>
      </c>
      <c r="C2198" s="14" t="s">
        <v>2119</v>
      </c>
      <c r="D2198" s="14" t="s">
        <v>292</v>
      </c>
      <c r="E2198" s="14" t="s">
        <v>650</v>
      </c>
      <c r="F2198" s="14" t="s">
        <v>2111</v>
      </c>
      <c r="G2198" s="14" t="s">
        <v>2029</v>
      </c>
      <c r="H2198" s="4"/>
      <c r="I2198" s="4">
        <f t="shared" si="198"/>
        <v>0</v>
      </c>
      <c r="J2198" s="4"/>
      <c r="K2198" s="4">
        <f t="shared" si="180"/>
        <v>0</v>
      </c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 spans="1:26" ht="15.75" customHeight="1" x14ac:dyDescent="0.2">
      <c r="A2199" s="1">
        <v>2143</v>
      </c>
      <c r="B2199" s="13" t="s">
        <v>281</v>
      </c>
      <c r="C2199" s="14" t="s">
        <v>2119</v>
      </c>
      <c r="D2199" s="14" t="s">
        <v>292</v>
      </c>
      <c r="E2199" s="14" t="s">
        <v>650</v>
      </c>
      <c r="F2199" s="14" t="s">
        <v>2111</v>
      </c>
      <c r="G2199" s="14" t="s">
        <v>2029</v>
      </c>
      <c r="H2199" s="4"/>
      <c r="I2199" s="4">
        <f t="shared" si="198"/>
        <v>0</v>
      </c>
      <c r="J2199" s="4"/>
      <c r="K2199" s="4">
        <f t="shared" si="180"/>
        <v>0</v>
      </c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 spans="1:26" ht="15.75" customHeight="1" x14ac:dyDescent="0.2">
      <c r="A2200" s="1"/>
      <c r="B2200" s="2" t="s">
        <v>323</v>
      </c>
      <c r="C2200" s="3" t="s">
        <v>2119</v>
      </c>
      <c r="D2200" s="3" t="s">
        <v>120</v>
      </c>
      <c r="E2200" s="3" t="s">
        <v>650</v>
      </c>
      <c r="F2200" s="3" t="s">
        <v>2111</v>
      </c>
      <c r="G2200" s="3" t="s">
        <v>2029</v>
      </c>
      <c r="H2200" s="4"/>
      <c r="I2200" s="4">
        <f t="shared" si="198"/>
        <v>0</v>
      </c>
      <c r="J2200" s="4"/>
      <c r="K2200" s="4">
        <f t="shared" si="180"/>
        <v>0</v>
      </c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 spans="1:26" ht="15.75" customHeight="1" x14ac:dyDescent="0.2">
      <c r="A2201" s="1"/>
      <c r="B2201" s="2" t="s">
        <v>303</v>
      </c>
      <c r="C2201" s="3" t="s">
        <v>2119</v>
      </c>
      <c r="D2201" s="3" t="s">
        <v>120</v>
      </c>
      <c r="E2201" s="3" t="s">
        <v>650</v>
      </c>
      <c r="F2201" s="3" t="s">
        <v>2111</v>
      </c>
      <c r="G2201" s="3" t="s">
        <v>2029</v>
      </c>
      <c r="H2201" s="4"/>
      <c r="I2201" s="4">
        <f t="shared" si="198"/>
        <v>0</v>
      </c>
      <c r="J2201" s="4"/>
      <c r="K2201" s="4">
        <f t="shared" si="180"/>
        <v>0</v>
      </c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 spans="1:26" ht="15.75" customHeight="1" x14ac:dyDescent="0.2">
      <c r="A2202" s="1"/>
      <c r="B2202" s="2" t="s">
        <v>94</v>
      </c>
      <c r="C2202" s="3" t="s">
        <v>2119</v>
      </c>
      <c r="D2202" s="3" t="s">
        <v>120</v>
      </c>
      <c r="E2202" s="3" t="s">
        <v>650</v>
      </c>
      <c r="F2202" s="3" t="s">
        <v>2111</v>
      </c>
      <c r="G2202" s="3" t="s">
        <v>2029</v>
      </c>
      <c r="H2202" s="4"/>
      <c r="I2202" s="4">
        <f t="shared" si="198"/>
        <v>0</v>
      </c>
      <c r="J2202" s="4"/>
      <c r="K2202" s="4">
        <f t="shared" si="180"/>
        <v>0</v>
      </c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 spans="1:26" ht="15.75" customHeight="1" x14ac:dyDescent="0.2">
      <c r="A2203" s="1">
        <v>53</v>
      </c>
      <c r="B2203" s="13" t="s">
        <v>226</v>
      </c>
      <c r="C2203" s="14" t="s">
        <v>2120</v>
      </c>
      <c r="D2203" s="14" t="s">
        <v>2121</v>
      </c>
      <c r="E2203" s="14" t="s">
        <v>996</v>
      </c>
      <c r="F2203" s="14" t="s">
        <v>2122</v>
      </c>
      <c r="G2203" s="14" t="s">
        <v>2029</v>
      </c>
      <c r="H2203" s="4"/>
      <c r="I2203" s="4">
        <f t="shared" ref="I2203:I2211" si="199">H2203*2300</f>
        <v>0</v>
      </c>
      <c r="J2203" s="4"/>
      <c r="K2203" s="4">
        <f t="shared" si="180"/>
        <v>0</v>
      </c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 spans="1:26" ht="15.75" customHeight="1" x14ac:dyDescent="0.2">
      <c r="A2204" s="1">
        <v>101</v>
      </c>
      <c r="B2204" s="13" t="s">
        <v>415</v>
      </c>
      <c r="C2204" s="14" t="s">
        <v>2120</v>
      </c>
      <c r="D2204" s="14" t="s">
        <v>2121</v>
      </c>
      <c r="E2204" s="14" t="s">
        <v>996</v>
      </c>
      <c r="F2204" s="14" t="s">
        <v>2122</v>
      </c>
      <c r="G2204" s="14" t="s">
        <v>2029</v>
      </c>
      <c r="H2204" s="4"/>
      <c r="I2204" s="4">
        <f t="shared" si="199"/>
        <v>0</v>
      </c>
      <c r="J2204" s="4"/>
      <c r="K2204" s="4">
        <f t="shared" si="180"/>
        <v>0</v>
      </c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 spans="1:26" ht="15.75" customHeight="1" x14ac:dyDescent="0.2">
      <c r="A2205" s="1">
        <v>175</v>
      </c>
      <c r="B2205" s="13" t="s">
        <v>1125</v>
      </c>
      <c r="C2205" s="14" t="s">
        <v>2120</v>
      </c>
      <c r="D2205" s="14" t="s">
        <v>2121</v>
      </c>
      <c r="E2205" s="14" t="s">
        <v>996</v>
      </c>
      <c r="F2205" s="14" t="s">
        <v>2122</v>
      </c>
      <c r="G2205" s="14" t="s">
        <v>2029</v>
      </c>
      <c r="H2205" s="4"/>
      <c r="I2205" s="4">
        <f t="shared" si="199"/>
        <v>0</v>
      </c>
      <c r="J2205" s="4"/>
      <c r="K2205" s="4">
        <f t="shared" si="180"/>
        <v>0</v>
      </c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 spans="1:26" ht="15.75" customHeight="1" x14ac:dyDescent="0.2">
      <c r="A2206" s="1">
        <v>153</v>
      </c>
      <c r="B2206" s="13" t="s">
        <v>460</v>
      </c>
      <c r="C2206" s="14" t="s">
        <v>1427</v>
      </c>
      <c r="D2206" s="14" t="s">
        <v>1369</v>
      </c>
      <c r="E2206" s="14" t="s">
        <v>79</v>
      </c>
      <c r="F2206" s="14" t="s">
        <v>2123</v>
      </c>
      <c r="G2206" s="14" t="s">
        <v>2029</v>
      </c>
      <c r="H2206" s="4">
        <v>48</v>
      </c>
      <c r="I2206" s="4">
        <f t="shared" si="199"/>
        <v>110400</v>
      </c>
      <c r="J2206" s="4">
        <v>22</v>
      </c>
      <c r="K2206" s="4">
        <f>J2206*1300</f>
        <v>28600</v>
      </c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 spans="1:26" ht="15.75" customHeight="1" x14ac:dyDescent="0.2">
      <c r="A2207" s="1">
        <v>1055</v>
      </c>
      <c r="B2207" s="13" t="s">
        <v>464</v>
      </c>
      <c r="C2207" s="14" t="s">
        <v>1427</v>
      </c>
      <c r="D2207" s="14" t="s">
        <v>1369</v>
      </c>
      <c r="E2207" s="14" t="s">
        <v>79</v>
      </c>
      <c r="F2207" s="14" t="s">
        <v>2123</v>
      </c>
      <c r="G2207" s="14" t="s">
        <v>2029</v>
      </c>
      <c r="H2207" s="4"/>
      <c r="I2207" s="4">
        <f t="shared" si="199"/>
        <v>0</v>
      </c>
      <c r="J2207" s="4"/>
      <c r="K2207" s="4">
        <f t="shared" ref="K2207:K2461" si="200">J2207*4000</f>
        <v>0</v>
      </c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 spans="1:26" ht="15.75" customHeight="1" x14ac:dyDescent="0.2">
      <c r="A2208" s="1">
        <v>1763</v>
      </c>
      <c r="B2208" s="13" t="s">
        <v>459</v>
      </c>
      <c r="C2208" s="14" t="s">
        <v>1427</v>
      </c>
      <c r="D2208" s="14" t="s">
        <v>1369</v>
      </c>
      <c r="E2208" s="14" t="s">
        <v>79</v>
      </c>
      <c r="F2208" s="14" t="s">
        <v>2123</v>
      </c>
      <c r="G2208" s="14" t="s">
        <v>2029</v>
      </c>
      <c r="H2208" s="4"/>
      <c r="I2208" s="4">
        <f t="shared" si="199"/>
        <v>0</v>
      </c>
      <c r="J2208" s="4"/>
      <c r="K2208" s="4">
        <f t="shared" si="200"/>
        <v>0</v>
      </c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 spans="1:26" ht="15.75" customHeight="1" x14ac:dyDescent="0.2">
      <c r="A2209" s="1">
        <v>2085</v>
      </c>
      <c r="B2209" s="13" t="s">
        <v>653</v>
      </c>
      <c r="C2209" s="14" t="s">
        <v>1427</v>
      </c>
      <c r="D2209" s="14" t="s">
        <v>1369</v>
      </c>
      <c r="E2209" s="14" t="s">
        <v>79</v>
      </c>
      <c r="F2209" s="14" t="s">
        <v>2123</v>
      </c>
      <c r="G2209" s="14" t="s">
        <v>2029</v>
      </c>
      <c r="H2209" s="4"/>
      <c r="I2209" s="4">
        <f t="shared" si="199"/>
        <v>0</v>
      </c>
      <c r="J2209" s="4"/>
      <c r="K2209" s="4">
        <f t="shared" si="200"/>
        <v>0</v>
      </c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 spans="1:26" ht="15.75" customHeight="1" x14ac:dyDescent="0.2">
      <c r="A2210" s="1">
        <v>1133</v>
      </c>
      <c r="B2210" s="13" t="s">
        <v>449</v>
      </c>
      <c r="C2210" s="14" t="s">
        <v>2124</v>
      </c>
      <c r="D2210" s="14" t="s">
        <v>295</v>
      </c>
      <c r="E2210" s="14" t="s">
        <v>348</v>
      </c>
      <c r="F2210" s="14" t="s">
        <v>2123</v>
      </c>
      <c r="G2210" s="14" t="s">
        <v>2029</v>
      </c>
      <c r="H2210" s="4"/>
      <c r="I2210" s="4">
        <f t="shared" si="199"/>
        <v>0</v>
      </c>
      <c r="J2210" s="4"/>
      <c r="K2210" s="4">
        <f t="shared" si="200"/>
        <v>0</v>
      </c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 spans="1:26" ht="15.75" customHeight="1" x14ac:dyDescent="0.2">
      <c r="A2211" s="1">
        <v>1841</v>
      </c>
      <c r="B2211" s="13" t="s">
        <v>439</v>
      </c>
      <c r="C2211" s="14" t="s">
        <v>2124</v>
      </c>
      <c r="D2211" s="14" t="s">
        <v>295</v>
      </c>
      <c r="E2211" s="14" t="s">
        <v>348</v>
      </c>
      <c r="F2211" s="14" t="s">
        <v>2123</v>
      </c>
      <c r="G2211" s="14" t="s">
        <v>2029</v>
      </c>
      <c r="H2211" s="4"/>
      <c r="I2211" s="4">
        <f t="shared" si="199"/>
        <v>0</v>
      </c>
      <c r="J2211" s="4"/>
      <c r="K2211" s="4">
        <f t="shared" si="200"/>
        <v>0</v>
      </c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 spans="1:26" ht="15.75" customHeight="1" x14ac:dyDescent="0.2">
      <c r="A2212" s="1"/>
      <c r="B2212" s="2" t="s">
        <v>315</v>
      </c>
      <c r="C2212" s="3" t="s">
        <v>1427</v>
      </c>
      <c r="D2212" s="3" t="s">
        <v>58</v>
      </c>
      <c r="E2212" s="3" t="s">
        <v>79</v>
      </c>
      <c r="F2212" s="3" t="s">
        <v>2123</v>
      </c>
      <c r="G2212" s="3" t="s">
        <v>2029</v>
      </c>
      <c r="H2212" s="4"/>
      <c r="I2212" s="4">
        <f t="shared" ref="I2212:I2232" si="201">H2212*1800</f>
        <v>0</v>
      </c>
      <c r="J2212" s="4"/>
      <c r="K2212" s="4">
        <f t="shared" si="200"/>
        <v>0</v>
      </c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 spans="1:26" ht="15.75" customHeight="1" x14ac:dyDescent="0.2">
      <c r="A2213" s="1"/>
      <c r="B2213" s="2" t="s">
        <v>323</v>
      </c>
      <c r="C2213" s="3" t="s">
        <v>1427</v>
      </c>
      <c r="D2213" s="3" t="s">
        <v>58</v>
      </c>
      <c r="E2213" s="3" t="s">
        <v>79</v>
      </c>
      <c r="F2213" s="3" t="s">
        <v>2123</v>
      </c>
      <c r="G2213" s="3" t="s">
        <v>2029</v>
      </c>
      <c r="H2213" s="4"/>
      <c r="I2213" s="4">
        <f t="shared" si="201"/>
        <v>0</v>
      </c>
      <c r="J2213" s="4"/>
      <c r="K2213" s="4">
        <f t="shared" si="200"/>
        <v>0</v>
      </c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 spans="1:26" ht="15.75" customHeight="1" x14ac:dyDescent="0.2">
      <c r="A2214" s="1"/>
      <c r="B2214" s="2" t="s">
        <v>94</v>
      </c>
      <c r="C2214" s="3" t="s">
        <v>1427</v>
      </c>
      <c r="D2214" s="3" t="s">
        <v>58</v>
      </c>
      <c r="E2214" s="3" t="s">
        <v>79</v>
      </c>
      <c r="F2214" s="3" t="s">
        <v>2123</v>
      </c>
      <c r="G2214" s="3" t="s">
        <v>2029</v>
      </c>
      <c r="H2214" s="4"/>
      <c r="I2214" s="4">
        <f t="shared" si="201"/>
        <v>0</v>
      </c>
      <c r="J2214" s="4"/>
      <c r="K2214" s="4">
        <f t="shared" si="200"/>
        <v>0</v>
      </c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 spans="1:26" ht="15.75" customHeight="1" x14ac:dyDescent="0.2">
      <c r="A2215" s="1"/>
      <c r="B2215" s="2" t="s">
        <v>315</v>
      </c>
      <c r="C2215" s="3" t="s">
        <v>2125</v>
      </c>
      <c r="D2215" s="3" t="s">
        <v>1937</v>
      </c>
      <c r="E2215" s="3" t="s">
        <v>319</v>
      </c>
      <c r="F2215" s="3" t="s">
        <v>2123</v>
      </c>
      <c r="G2215" s="3" t="s">
        <v>2029</v>
      </c>
      <c r="H2215" s="4"/>
      <c r="I2215" s="4">
        <f t="shared" si="201"/>
        <v>0</v>
      </c>
      <c r="J2215" s="4"/>
      <c r="K2215" s="4">
        <f t="shared" si="200"/>
        <v>0</v>
      </c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 spans="1:26" ht="15.75" customHeight="1" x14ac:dyDescent="0.2">
      <c r="A2216" s="1"/>
      <c r="B2216" s="2" t="s">
        <v>316</v>
      </c>
      <c r="C2216" s="3" t="s">
        <v>2125</v>
      </c>
      <c r="D2216" s="3" t="s">
        <v>1937</v>
      </c>
      <c r="E2216" s="3" t="s">
        <v>319</v>
      </c>
      <c r="F2216" s="3" t="s">
        <v>2123</v>
      </c>
      <c r="G2216" s="3" t="s">
        <v>2029</v>
      </c>
      <c r="H2216" s="4"/>
      <c r="I2216" s="4">
        <f t="shared" si="201"/>
        <v>0</v>
      </c>
      <c r="J2216" s="4"/>
      <c r="K2216" s="4">
        <f t="shared" si="200"/>
        <v>0</v>
      </c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 spans="1:26" ht="15.75" customHeight="1" x14ac:dyDescent="0.2">
      <c r="A2217" s="1"/>
      <c r="B2217" s="2" t="s">
        <v>94</v>
      </c>
      <c r="C2217" s="3" t="s">
        <v>2125</v>
      </c>
      <c r="D2217" s="3" t="s">
        <v>1937</v>
      </c>
      <c r="E2217" s="3" t="s">
        <v>319</v>
      </c>
      <c r="F2217" s="3" t="s">
        <v>2123</v>
      </c>
      <c r="G2217" s="3" t="s">
        <v>2029</v>
      </c>
      <c r="H2217" s="4"/>
      <c r="I2217" s="4">
        <f t="shared" si="201"/>
        <v>0</v>
      </c>
      <c r="J2217" s="4"/>
      <c r="K2217" s="4">
        <f t="shared" si="200"/>
        <v>0</v>
      </c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 spans="1:26" ht="15.75" customHeight="1" x14ac:dyDescent="0.2">
      <c r="A2218" s="1"/>
      <c r="B2218" s="2" t="s">
        <v>102</v>
      </c>
      <c r="C2218" s="3" t="s">
        <v>2126</v>
      </c>
      <c r="D2218" s="3" t="s">
        <v>295</v>
      </c>
      <c r="E2218" s="3" t="s">
        <v>18</v>
      </c>
      <c r="F2218" s="3" t="s">
        <v>2123</v>
      </c>
      <c r="G2218" s="3" t="s">
        <v>2029</v>
      </c>
      <c r="H2218" s="4"/>
      <c r="I2218" s="4">
        <f t="shared" si="201"/>
        <v>0</v>
      </c>
      <c r="J2218" s="4"/>
      <c r="K2218" s="4">
        <f t="shared" si="200"/>
        <v>0</v>
      </c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 spans="1:26" ht="15.75" customHeight="1" x14ac:dyDescent="0.2">
      <c r="A2219" s="1"/>
      <c r="B2219" s="2" t="s">
        <v>108</v>
      </c>
      <c r="C2219" s="3" t="s">
        <v>2126</v>
      </c>
      <c r="D2219" s="3" t="s">
        <v>295</v>
      </c>
      <c r="E2219" s="3" t="s">
        <v>18</v>
      </c>
      <c r="F2219" s="3" t="s">
        <v>2123</v>
      </c>
      <c r="G2219" s="3" t="s">
        <v>2029</v>
      </c>
      <c r="H2219" s="4"/>
      <c r="I2219" s="4">
        <f t="shared" si="201"/>
        <v>0</v>
      </c>
      <c r="J2219" s="4"/>
      <c r="K2219" s="4">
        <f t="shared" si="200"/>
        <v>0</v>
      </c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 spans="1:26" ht="15.75" customHeight="1" x14ac:dyDescent="0.2">
      <c r="A2220" s="1"/>
      <c r="B2220" s="2" t="s">
        <v>300</v>
      </c>
      <c r="C2220" s="3" t="s">
        <v>2127</v>
      </c>
      <c r="D2220" s="3" t="s">
        <v>58</v>
      </c>
      <c r="E2220" s="3" t="s">
        <v>32</v>
      </c>
      <c r="F2220" s="3" t="s">
        <v>2123</v>
      </c>
      <c r="G2220" s="3" t="s">
        <v>2029</v>
      </c>
      <c r="H2220" s="4"/>
      <c r="I2220" s="4">
        <f t="shared" si="201"/>
        <v>0</v>
      </c>
      <c r="J2220" s="4"/>
      <c r="K2220" s="4">
        <f t="shared" si="200"/>
        <v>0</v>
      </c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 spans="1:26" ht="15.75" customHeight="1" x14ac:dyDescent="0.2">
      <c r="A2221" s="1"/>
      <c r="B2221" s="2" t="s">
        <v>102</v>
      </c>
      <c r="C2221" s="3" t="s">
        <v>2127</v>
      </c>
      <c r="D2221" s="3" t="s">
        <v>58</v>
      </c>
      <c r="E2221" s="3" t="s">
        <v>32</v>
      </c>
      <c r="F2221" s="3" t="s">
        <v>2123</v>
      </c>
      <c r="G2221" s="3" t="s">
        <v>2029</v>
      </c>
      <c r="H2221" s="4"/>
      <c r="I2221" s="4">
        <f t="shared" si="201"/>
        <v>0</v>
      </c>
      <c r="J2221" s="4"/>
      <c r="K2221" s="4">
        <f t="shared" si="200"/>
        <v>0</v>
      </c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 spans="1:26" ht="15.75" customHeight="1" x14ac:dyDescent="0.2">
      <c r="A2222" s="1"/>
      <c r="B2222" s="2" t="s">
        <v>109</v>
      </c>
      <c r="C2222" s="3" t="s">
        <v>2128</v>
      </c>
      <c r="D2222" s="3" t="s">
        <v>86</v>
      </c>
      <c r="E2222" s="3" t="s">
        <v>40</v>
      </c>
      <c r="F2222" s="3" t="s">
        <v>2123</v>
      </c>
      <c r="G2222" s="3" t="s">
        <v>2029</v>
      </c>
      <c r="H2222" s="4"/>
      <c r="I2222" s="4">
        <f t="shared" si="201"/>
        <v>0</v>
      </c>
      <c r="J2222" s="4"/>
      <c r="K2222" s="4">
        <f t="shared" si="200"/>
        <v>0</v>
      </c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 spans="1:26" ht="15.75" customHeight="1" x14ac:dyDescent="0.2">
      <c r="A2223" s="1"/>
      <c r="B2223" s="2" t="s">
        <v>108</v>
      </c>
      <c r="C2223" s="3" t="s">
        <v>2128</v>
      </c>
      <c r="D2223" s="3" t="s">
        <v>86</v>
      </c>
      <c r="E2223" s="3" t="s">
        <v>40</v>
      </c>
      <c r="F2223" s="3" t="s">
        <v>2123</v>
      </c>
      <c r="G2223" s="3" t="s">
        <v>2029</v>
      </c>
      <c r="H2223" s="4"/>
      <c r="I2223" s="4">
        <f t="shared" si="201"/>
        <v>0</v>
      </c>
      <c r="J2223" s="4"/>
      <c r="K2223" s="4">
        <f t="shared" si="200"/>
        <v>0</v>
      </c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 spans="1:26" ht="15.75" customHeight="1" x14ac:dyDescent="0.2">
      <c r="A2224" s="1"/>
      <c r="B2224" s="2" t="s">
        <v>315</v>
      </c>
      <c r="C2224" s="3" t="s">
        <v>2129</v>
      </c>
      <c r="D2224" s="3" t="s">
        <v>491</v>
      </c>
      <c r="E2224" s="3" t="s">
        <v>630</v>
      </c>
      <c r="F2224" s="3" t="s">
        <v>2123</v>
      </c>
      <c r="G2224" s="3" t="s">
        <v>2029</v>
      </c>
      <c r="H2224" s="4"/>
      <c r="I2224" s="4">
        <f t="shared" si="201"/>
        <v>0</v>
      </c>
      <c r="J2224" s="4"/>
      <c r="K2224" s="4">
        <f t="shared" si="200"/>
        <v>0</v>
      </c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 spans="1:26" ht="15.75" customHeight="1" x14ac:dyDescent="0.2">
      <c r="A2225" s="1"/>
      <c r="B2225" s="2" t="s">
        <v>323</v>
      </c>
      <c r="C2225" s="3" t="s">
        <v>2129</v>
      </c>
      <c r="D2225" s="3" t="s">
        <v>491</v>
      </c>
      <c r="E2225" s="3" t="s">
        <v>630</v>
      </c>
      <c r="F2225" s="3" t="s">
        <v>2123</v>
      </c>
      <c r="G2225" s="3" t="s">
        <v>2029</v>
      </c>
      <c r="H2225" s="4"/>
      <c r="I2225" s="4">
        <f t="shared" si="201"/>
        <v>0</v>
      </c>
      <c r="J2225" s="4"/>
      <c r="K2225" s="4">
        <f t="shared" si="200"/>
        <v>0</v>
      </c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 spans="1:26" ht="15.75" customHeight="1" x14ac:dyDescent="0.2">
      <c r="A2226" s="1"/>
      <c r="B2226" s="2" t="s">
        <v>108</v>
      </c>
      <c r="C2226" s="3" t="s">
        <v>2129</v>
      </c>
      <c r="D2226" s="3" t="s">
        <v>491</v>
      </c>
      <c r="E2226" s="3" t="s">
        <v>630</v>
      </c>
      <c r="F2226" s="3" t="s">
        <v>2123</v>
      </c>
      <c r="G2226" s="3" t="s">
        <v>2029</v>
      </c>
      <c r="H2226" s="4"/>
      <c r="I2226" s="4">
        <f t="shared" si="201"/>
        <v>0</v>
      </c>
      <c r="J2226" s="4"/>
      <c r="K2226" s="4">
        <f t="shared" si="200"/>
        <v>0</v>
      </c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 spans="1:26" ht="15.75" customHeight="1" x14ac:dyDescent="0.2">
      <c r="A2227" s="1"/>
      <c r="B2227" s="2" t="s">
        <v>300</v>
      </c>
      <c r="C2227" s="3" t="s">
        <v>2130</v>
      </c>
      <c r="D2227" s="3" t="s">
        <v>58</v>
      </c>
      <c r="E2227" s="3" t="s">
        <v>32</v>
      </c>
      <c r="F2227" s="3" t="s">
        <v>2123</v>
      </c>
      <c r="G2227" s="3" t="s">
        <v>2029</v>
      </c>
      <c r="H2227" s="4"/>
      <c r="I2227" s="4">
        <f t="shared" si="201"/>
        <v>0</v>
      </c>
      <c r="J2227" s="4"/>
      <c r="K2227" s="4">
        <f t="shared" si="200"/>
        <v>0</v>
      </c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 spans="1:26" ht="15.75" customHeight="1" x14ac:dyDescent="0.2">
      <c r="A2228" s="1"/>
      <c r="B2228" s="2" t="s">
        <v>102</v>
      </c>
      <c r="C2228" s="3" t="s">
        <v>2130</v>
      </c>
      <c r="D2228" s="3" t="s">
        <v>58</v>
      </c>
      <c r="E2228" s="3" t="s">
        <v>32</v>
      </c>
      <c r="F2228" s="3" t="s">
        <v>2123</v>
      </c>
      <c r="G2228" s="3" t="s">
        <v>2029</v>
      </c>
      <c r="H2228" s="4"/>
      <c r="I2228" s="4">
        <f t="shared" si="201"/>
        <v>0</v>
      </c>
      <c r="J2228" s="4"/>
      <c r="K2228" s="4">
        <f t="shared" si="200"/>
        <v>0</v>
      </c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 spans="1:26" ht="15.75" customHeight="1" x14ac:dyDescent="0.2">
      <c r="A2229" s="1"/>
      <c r="B2229" s="2" t="s">
        <v>122</v>
      </c>
      <c r="C2229" s="3" t="s">
        <v>2131</v>
      </c>
      <c r="D2229" s="3" t="s">
        <v>989</v>
      </c>
      <c r="E2229" s="3" t="s">
        <v>2132</v>
      </c>
      <c r="F2229" s="3" t="s">
        <v>2123</v>
      </c>
      <c r="G2229" s="3" t="s">
        <v>2029</v>
      </c>
      <c r="H2229" s="4"/>
      <c r="I2229" s="4">
        <f t="shared" si="201"/>
        <v>0</v>
      </c>
      <c r="J2229" s="4"/>
      <c r="K2229" s="4">
        <f t="shared" si="200"/>
        <v>0</v>
      </c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 spans="1:26" ht="15.75" customHeight="1" x14ac:dyDescent="0.2">
      <c r="A2230" s="1"/>
      <c r="B2230" s="2" t="s">
        <v>126</v>
      </c>
      <c r="C2230" s="3" t="s">
        <v>2131</v>
      </c>
      <c r="D2230" s="3" t="s">
        <v>989</v>
      </c>
      <c r="E2230" s="3" t="s">
        <v>2132</v>
      </c>
      <c r="F2230" s="3" t="s">
        <v>2123</v>
      </c>
      <c r="G2230" s="3" t="s">
        <v>2029</v>
      </c>
      <c r="H2230" s="4"/>
      <c r="I2230" s="4">
        <f t="shared" si="201"/>
        <v>0</v>
      </c>
      <c r="J2230" s="4"/>
      <c r="K2230" s="4">
        <f t="shared" si="200"/>
        <v>0</v>
      </c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 spans="1:26" ht="15.75" customHeight="1" x14ac:dyDescent="0.2">
      <c r="A2231" s="1"/>
      <c r="B2231" s="2" t="s">
        <v>315</v>
      </c>
      <c r="C2231" s="3" t="s">
        <v>2133</v>
      </c>
      <c r="D2231" s="3" t="s">
        <v>78</v>
      </c>
      <c r="E2231" s="3" t="s">
        <v>87</v>
      </c>
      <c r="F2231" s="3" t="s">
        <v>2123</v>
      </c>
      <c r="G2231" s="3" t="s">
        <v>2029</v>
      </c>
      <c r="H2231" s="4"/>
      <c r="I2231" s="4">
        <f t="shared" si="201"/>
        <v>0</v>
      </c>
      <c r="J2231" s="4"/>
      <c r="K2231" s="4">
        <f t="shared" si="200"/>
        <v>0</v>
      </c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 spans="1:26" ht="15.75" customHeight="1" x14ac:dyDescent="0.2">
      <c r="A2232" s="1"/>
      <c r="B2232" s="2" t="s">
        <v>108</v>
      </c>
      <c r="C2232" s="3" t="s">
        <v>2133</v>
      </c>
      <c r="D2232" s="3" t="s">
        <v>78</v>
      </c>
      <c r="E2232" s="3" t="s">
        <v>87</v>
      </c>
      <c r="F2232" s="3" t="s">
        <v>2123</v>
      </c>
      <c r="G2232" s="3" t="s">
        <v>2029</v>
      </c>
      <c r="H2232" s="4"/>
      <c r="I2232" s="4">
        <f t="shared" si="201"/>
        <v>0</v>
      </c>
      <c r="J2232" s="4"/>
      <c r="K2232" s="4">
        <f t="shared" si="200"/>
        <v>0</v>
      </c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 spans="1:26" ht="15.75" customHeight="1" x14ac:dyDescent="0.2">
      <c r="A2233" s="1">
        <v>1413</v>
      </c>
      <c r="B2233" s="13" t="s">
        <v>386</v>
      </c>
      <c r="C2233" s="14" t="s">
        <v>2134</v>
      </c>
      <c r="D2233" s="14" t="s">
        <v>183</v>
      </c>
      <c r="E2233" s="14" t="s">
        <v>2135</v>
      </c>
      <c r="F2233" s="14" t="s">
        <v>2123</v>
      </c>
      <c r="G2233" s="14" t="s">
        <v>2029</v>
      </c>
      <c r="H2233" s="4"/>
      <c r="I2233" s="4">
        <f t="shared" ref="I2233:I2234" si="202">H2233*2300</f>
        <v>0</v>
      </c>
      <c r="J2233" s="4"/>
      <c r="K2233" s="4">
        <f t="shared" si="200"/>
        <v>0</v>
      </c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 spans="1:26" ht="15.75" customHeight="1" x14ac:dyDescent="0.2">
      <c r="A2234" s="1">
        <v>2153</v>
      </c>
      <c r="B2234" s="13" t="s">
        <v>281</v>
      </c>
      <c r="C2234" s="14" t="s">
        <v>2134</v>
      </c>
      <c r="D2234" s="14" t="s">
        <v>183</v>
      </c>
      <c r="E2234" s="14" t="s">
        <v>2135</v>
      </c>
      <c r="F2234" s="14" t="s">
        <v>2123</v>
      </c>
      <c r="G2234" s="14" t="s">
        <v>2029</v>
      </c>
      <c r="H2234" s="4"/>
      <c r="I2234" s="4">
        <f t="shared" si="202"/>
        <v>0</v>
      </c>
      <c r="J2234" s="4"/>
      <c r="K2234" s="4">
        <f t="shared" si="200"/>
        <v>0</v>
      </c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 spans="1:26" ht="15.75" customHeight="1" x14ac:dyDescent="0.2">
      <c r="A2235" s="1"/>
      <c r="B2235" s="2" t="s">
        <v>114</v>
      </c>
      <c r="C2235" s="3" t="s">
        <v>2136</v>
      </c>
      <c r="D2235" s="3" t="s">
        <v>441</v>
      </c>
      <c r="E2235" s="3" t="s">
        <v>129</v>
      </c>
      <c r="F2235" s="3" t="s">
        <v>2123</v>
      </c>
      <c r="G2235" s="3" t="s">
        <v>2029</v>
      </c>
      <c r="H2235" s="4"/>
      <c r="I2235" s="4">
        <f t="shared" ref="I2235:I2236" si="203">H2235*1800</f>
        <v>0</v>
      </c>
      <c r="J2235" s="4"/>
      <c r="K2235" s="4">
        <f t="shared" si="200"/>
        <v>0</v>
      </c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 spans="1:26" ht="15.75" customHeight="1" x14ac:dyDescent="0.2">
      <c r="A2236" s="1"/>
      <c r="B2236" s="2" t="s">
        <v>108</v>
      </c>
      <c r="C2236" s="3" t="s">
        <v>2136</v>
      </c>
      <c r="D2236" s="3" t="s">
        <v>441</v>
      </c>
      <c r="E2236" s="3" t="s">
        <v>129</v>
      </c>
      <c r="F2236" s="3" t="s">
        <v>2123</v>
      </c>
      <c r="G2236" s="3" t="s">
        <v>2029</v>
      </c>
      <c r="H2236" s="4"/>
      <c r="I2236" s="4">
        <f t="shared" si="203"/>
        <v>0</v>
      </c>
      <c r="J2236" s="4"/>
      <c r="K2236" s="4">
        <f t="shared" si="200"/>
        <v>0</v>
      </c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 spans="1:26" ht="15.75" customHeight="1" x14ac:dyDescent="0.2">
      <c r="A2237" s="1">
        <v>1593</v>
      </c>
      <c r="B2237" s="13" t="s">
        <v>264</v>
      </c>
      <c r="C2237" s="14" t="s">
        <v>2137</v>
      </c>
      <c r="D2237" s="14" t="s">
        <v>1685</v>
      </c>
      <c r="E2237" s="14" t="s">
        <v>326</v>
      </c>
      <c r="F2237" s="14" t="s">
        <v>2123</v>
      </c>
      <c r="G2237" s="14" t="s">
        <v>2029</v>
      </c>
      <c r="H2237" s="4"/>
      <c r="I2237" s="4">
        <f>H2237*2300</f>
        <v>0</v>
      </c>
      <c r="J2237" s="4"/>
      <c r="K2237" s="4">
        <f t="shared" si="200"/>
        <v>0</v>
      </c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 spans="1:26" ht="15.75" customHeight="1" x14ac:dyDescent="0.2">
      <c r="A2238" s="1"/>
      <c r="B2238" s="2" t="s">
        <v>102</v>
      </c>
      <c r="C2238" s="3" t="s">
        <v>2138</v>
      </c>
      <c r="D2238" s="3" t="s">
        <v>104</v>
      </c>
      <c r="E2238" s="3" t="s">
        <v>596</v>
      </c>
      <c r="F2238" s="3" t="s">
        <v>2123</v>
      </c>
      <c r="G2238" s="3" t="s">
        <v>2029</v>
      </c>
      <c r="H2238" s="4"/>
      <c r="I2238" s="4">
        <f t="shared" ref="I2238:I2240" si="204">H2238*1800</f>
        <v>0</v>
      </c>
      <c r="J2238" s="4"/>
      <c r="K2238" s="4">
        <f t="shared" si="200"/>
        <v>0</v>
      </c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 spans="1:26" ht="15.75" customHeight="1" x14ac:dyDescent="0.2">
      <c r="A2239" s="1"/>
      <c r="B2239" s="2" t="s">
        <v>102</v>
      </c>
      <c r="C2239" s="3" t="s">
        <v>2139</v>
      </c>
      <c r="D2239" s="3" t="s">
        <v>600</v>
      </c>
      <c r="E2239" s="3" t="s">
        <v>319</v>
      </c>
      <c r="F2239" s="3" t="s">
        <v>2123</v>
      </c>
      <c r="G2239" s="3" t="s">
        <v>2029</v>
      </c>
      <c r="H2239" s="4"/>
      <c r="I2239" s="4">
        <f t="shared" si="204"/>
        <v>0</v>
      </c>
      <c r="J2239" s="4"/>
      <c r="K2239" s="4">
        <f t="shared" si="200"/>
        <v>0</v>
      </c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 spans="1:26" ht="15.75" customHeight="1" x14ac:dyDescent="0.2">
      <c r="A2240" s="1"/>
      <c r="B2240" s="2" t="s">
        <v>108</v>
      </c>
      <c r="C2240" s="3" t="s">
        <v>2139</v>
      </c>
      <c r="D2240" s="3" t="s">
        <v>600</v>
      </c>
      <c r="E2240" s="3" t="s">
        <v>319</v>
      </c>
      <c r="F2240" s="3" t="s">
        <v>2123</v>
      </c>
      <c r="G2240" s="3" t="s">
        <v>2029</v>
      </c>
      <c r="H2240" s="4"/>
      <c r="I2240" s="4">
        <f t="shared" si="204"/>
        <v>0</v>
      </c>
      <c r="J2240" s="4"/>
      <c r="K2240" s="4">
        <f t="shared" si="200"/>
        <v>0</v>
      </c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 spans="1:26" ht="15.75" customHeight="1" x14ac:dyDescent="0.2">
      <c r="A2241" s="1">
        <v>1393</v>
      </c>
      <c r="B2241" s="13" t="s">
        <v>386</v>
      </c>
      <c r="C2241" s="14" t="s">
        <v>2140</v>
      </c>
      <c r="D2241" s="14" t="s">
        <v>86</v>
      </c>
      <c r="E2241" s="14" t="s">
        <v>40</v>
      </c>
      <c r="F2241" s="14" t="s">
        <v>2141</v>
      </c>
      <c r="G2241" s="14" t="s">
        <v>2029</v>
      </c>
      <c r="H2241" s="4"/>
      <c r="I2241" s="4">
        <f t="shared" ref="I2241:I2248" si="205">H2241*2300</f>
        <v>0</v>
      </c>
      <c r="J2241" s="4"/>
      <c r="K2241" s="4">
        <f t="shared" si="200"/>
        <v>0</v>
      </c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 spans="1:26" ht="15.75" customHeight="1" x14ac:dyDescent="0.2">
      <c r="A2242" s="1">
        <v>1867</v>
      </c>
      <c r="B2242" s="13" t="s">
        <v>711</v>
      </c>
      <c r="C2242" s="14" t="s">
        <v>2140</v>
      </c>
      <c r="D2242" s="14" t="s">
        <v>86</v>
      </c>
      <c r="E2242" s="14" t="s">
        <v>40</v>
      </c>
      <c r="F2242" s="14" t="s">
        <v>2141</v>
      </c>
      <c r="G2242" s="14" t="s">
        <v>2029</v>
      </c>
      <c r="H2242" s="4"/>
      <c r="I2242" s="4">
        <f t="shared" si="205"/>
        <v>0</v>
      </c>
      <c r="J2242" s="4"/>
      <c r="K2242" s="4">
        <f t="shared" si="200"/>
        <v>0</v>
      </c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 spans="1:26" ht="15.75" customHeight="1" x14ac:dyDescent="0.2">
      <c r="A2243" s="1">
        <v>1397</v>
      </c>
      <c r="B2243" s="13" t="s">
        <v>386</v>
      </c>
      <c r="C2243" s="14" t="s">
        <v>1047</v>
      </c>
      <c r="D2243" s="14" t="s">
        <v>64</v>
      </c>
      <c r="E2243" s="14" t="s">
        <v>2142</v>
      </c>
      <c r="F2243" s="14" t="s">
        <v>2141</v>
      </c>
      <c r="G2243" s="14" t="s">
        <v>2029</v>
      </c>
      <c r="H2243" s="4"/>
      <c r="I2243" s="4">
        <f t="shared" si="205"/>
        <v>0</v>
      </c>
      <c r="J2243" s="4"/>
      <c r="K2243" s="4">
        <f t="shared" si="200"/>
        <v>0</v>
      </c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 spans="1:26" ht="15.75" customHeight="1" x14ac:dyDescent="0.2">
      <c r="A2244" s="1">
        <v>1869</v>
      </c>
      <c r="B2244" s="13" t="s">
        <v>711</v>
      </c>
      <c r="C2244" s="14" t="s">
        <v>1047</v>
      </c>
      <c r="D2244" s="14" t="s">
        <v>64</v>
      </c>
      <c r="E2244" s="14" t="s">
        <v>2142</v>
      </c>
      <c r="F2244" s="14" t="s">
        <v>2141</v>
      </c>
      <c r="G2244" s="14" t="s">
        <v>2029</v>
      </c>
      <c r="H2244" s="4"/>
      <c r="I2244" s="4">
        <f t="shared" si="205"/>
        <v>0</v>
      </c>
      <c r="J2244" s="4"/>
      <c r="K2244" s="4">
        <f t="shared" si="200"/>
        <v>0</v>
      </c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 spans="1:26" ht="15.75" customHeight="1" x14ac:dyDescent="0.2">
      <c r="A2245" s="1">
        <v>1271</v>
      </c>
      <c r="B2245" s="13" t="s">
        <v>453</v>
      </c>
      <c r="C2245" s="14" t="s">
        <v>2143</v>
      </c>
      <c r="D2245" s="14" t="s">
        <v>901</v>
      </c>
      <c r="E2245" s="14" t="s">
        <v>1811</v>
      </c>
      <c r="F2245" s="14" t="s">
        <v>2141</v>
      </c>
      <c r="G2245" s="14" t="s">
        <v>2029</v>
      </c>
      <c r="H2245" s="4"/>
      <c r="I2245" s="4">
        <f t="shared" si="205"/>
        <v>0</v>
      </c>
      <c r="J2245" s="4"/>
      <c r="K2245" s="4">
        <f t="shared" si="200"/>
        <v>0</v>
      </c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 spans="1:26" ht="15.75" customHeight="1" x14ac:dyDescent="0.2">
      <c r="A2246" s="1">
        <v>2923</v>
      </c>
      <c r="B2246" s="13" t="s">
        <v>722</v>
      </c>
      <c r="C2246" s="14" t="s">
        <v>2143</v>
      </c>
      <c r="D2246" s="14" t="s">
        <v>901</v>
      </c>
      <c r="E2246" s="14" t="s">
        <v>1811</v>
      </c>
      <c r="F2246" s="14" t="s">
        <v>2141</v>
      </c>
      <c r="G2246" s="14" t="s">
        <v>2029</v>
      </c>
      <c r="H2246" s="4"/>
      <c r="I2246" s="4">
        <f t="shared" si="205"/>
        <v>0</v>
      </c>
      <c r="J2246" s="4"/>
      <c r="K2246" s="4">
        <f t="shared" si="200"/>
        <v>0</v>
      </c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 spans="1:26" ht="15.75" customHeight="1" x14ac:dyDescent="0.2">
      <c r="A2247" s="1">
        <v>123</v>
      </c>
      <c r="B2247" s="13" t="s">
        <v>504</v>
      </c>
      <c r="C2247" s="14" t="s">
        <v>2144</v>
      </c>
      <c r="D2247" s="14" t="s">
        <v>236</v>
      </c>
      <c r="E2247" s="14" t="s">
        <v>40</v>
      </c>
      <c r="F2247" s="14" t="s">
        <v>2141</v>
      </c>
      <c r="G2247" s="14" t="s">
        <v>2029</v>
      </c>
      <c r="H2247" s="4"/>
      <c r="I2247" s="4">
        <f t="shared" si="205"/>
        <v>0</v>
      </c>
      <c r="J2247" s="4"/>
      <c r="K2247" s="4">
        <f t="shared" si="200"/>
        <v>0</v>
      </c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 spans="1:26" ht="15.75" customHeight="1" x14ac:dyDescent="0.2">
      <c r="A2248" s="1">
        <v>1013</v>
      </c>
      <c r="B2248" s="13" t="s">
        <v>1076</v>
      </c>
      <c r="C2248" s="14" t="s">
        <v>2144</v>
      </c>
      <c r="D2248" s="14" t="s">
        <v>236</v>
      </c>
      <c r="E2248" s="14" t="s">
        <v>40</v>
      </c>
      <c r="F2248" s="14" t="s">
        <v>2141</v>
      </c>
      <c r="G2248" s="14" t="s">
        <v>2029</v>
      </c>
      <c r="H2248" s="4"/>
      <c r="I2248" s="4">
        <f t="shared" si="205"/>
        <v>0</v>
      </c>
      <c r="J2248" s="4"/>
      <c r="K2248" s="4">
        <f t="shared" si="200"/>
        <v>0</v>
      </c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 spans="1:26" ht="15.75" customHeight="1" x14ac:dyDescent="0.2">
      <c r="A2249" s="1"/>
      <c r="B2249" s="2" t="s">
        <v>315</v>
      </c>
      <c r="C2249" s="3" t="s">
        <v>2145</v>
      </c>
      <c r="D2249" s="3" t="s">
        <v>318</v>
      </c>
      <c r="E2249" s="3" t="s">
        <v>2146</v>
      </c>
      <c r="F2249" s="3" t="s">
        <v>2141</v>
      </c>
      <c r="G2249" s="3" t="s">
        <v>2029</v>
      </c>
      <c r="H2249" s="4"/>
      <c r="I2249" s="4">
        <f t="shared" ref="I2249:I2261" si="206">H2249*1800</f>
        <v>0</v>
      </c>
      <c r="J2249" s="4"/>
      <c r="K2249" s="4">
        <f t="shared" si="200"/>
        <v>0</v>
      </c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 spans="1:26" ht="15.75" customHeight="1" x14ac:dyDescent="0.2">
      <c r="A2250" s="1"/>
      <c r="B2250" s="2" t="s">
        <v>108</v>
      </c>
      <c r="C2250" s="3" t="s">
        <v>2145</v>
      </c>
      <c r="D2250" s="3" t="s">
        <v>318</v>
      </c>
      <c r="E2250" s="3" t="s">
        <v>2146</v>
      </c>
      <c r="F2250" s="3" t="s">
        <v>2141</v>
      </c>
      <c r="G2250" s="3" t="s">
        <v>2029</v>
      </c>
      <c r="H2250" s="4"/>
      <c r="I2250" s="4">
        <f t="shared" si="206"/>
        <v>0</v>
      </c>
      <c r="J2250" s="4"/>
      <c r="K2250" s="4">
        <f t="shared" si="200"/>
        <v>0</v>
      </c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 spans="1:26" ht="15.75" customHeight="1" x14ac:dyDescent="0.2">
      <c r="A2251" s="1"/>
      <c r="B2251" s="2" t="s">
        <v>126</v>
      </c>
      <c r="C2251" s="3" t="s">
        <v>2140</v>
      </c>
      <c r="D2251" s="3" t="s">
        <v>333</v>
      </c>
      <c r="E2251" s="3" t="s">
        <v>40</v>
      </c>
      <c r="F2251" s="3" t="s">
        <v>2141</v>
      </c>
      <c r="G2251" s="3" t="s">
        <v>2029</v>
      </c>
      <c r="H2251" s="4"/>
      <c r="I2251" s="4">
        <f t="shared" si="206"/>
        <v>0</v>
      </c>
      <c r="J2251" s="4"/>
      <c r="K2251" s="4">
        <f t="shared" si="200"/>
        <v>0</v>
      </c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 spans="1:26" ht="15.75" customHeight="1" x14ac:dyDescent="0.2">
      <c r="A2252" s="1"/>
      <c r="B2252" s="2" t="s">
        <v>131</v>
      </c>
      <c r="C2252" s="3" t="s">
        <v>2140</v>
      </c>
      <c r="D2252" s="3" t="s">
        <v>333</v>
      </c>
      <c r="E2252" s="3" t="s">
        <v>40</v>
      </c>
      <c r="F2252" s="3" t="s">
        <v>2141</v>
      </c>
      <c r="G2252" s="3" t="s">
        <v>2029</v>
      </c>
      <c r="H2252" s="4"/>
      <c r="I2252" s="4">
        <f t="shared" si="206"/>
        <v>0</v>
      </c>
      <c r="J2252" s="4"/>
      <c r="K2252" s="4">
        <f t="shared" si="200"/>
        <v>0</v>
      </c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 spans="1:26" ht="15.75" customHeight="1" x14ac:dyDescent="0.2">
      <c r="A2253" s="1"/>
      <c r="B2253" s="2" t="s">
        <v>109</v>
      </c>
      <c r="C2253" s="3" t="s">
        <v>2147</v>
      </c>
      <c r="D2253" s="3" t="s">
        <v>554</v>
      </c>
      <c r="E2253" s="3" t="s">
        <v>40</v>
      </c>
      <c r="F2253" s="3" t="s">
        <v>2141</v>
      </c>
      <c r="G2253" s="3" t="s">
        <v>2029</v>
      </c>
      <c r="H2253" s="4"/>
      <c r="I2253" s="4">
        <f t="shared" si="206"/>
        <v>0</v>
      </c>
      <c r="J2253" s="4"/>
      <c r="K2253" s="4">
        <f t="shared" si="200"/>
        <v>0</v>
      </c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 spans="1:26" ht="15.75" customHeight="1" x14ac:dyDescent="0.2">
      <c r="A2254" s="1"/>
      <c r="B2254" s="2" t="s">
        <v>108</v>
      </c>
      <c r="C2254" s="3" t="s">
        <v>2147</v>
      </c>
      <c r="D2254" s="3" t="s">
        <v>554</v>
      </c>
      <c r="E2254" s="3" t="s">
        <v>40</v>
      </c>
      <c r="F2254" s="3" t="s">
        <v>2141</v>
      </c>
      <c r="G2254" s="3" t="s">
        <v>2029</v>
      </c>
      <c r="H2254" s="4"/>
      <c r="I2254" s="4">
        <f t="shared" si="206"/>
        <v>0</v>
      </c>
      <c r="J2254" s="4"/>
      <c r="K2254" s="4">
        <f t="shared" si="200"/>
        <v>0</v>
      </c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 spans="1:26" ht="15.75" customHeight="1" x14ac:dyDescent="0.2">
      <c r="A2255" s="1"/>
      <c r="B2255" s="2" t="s">
        <v>303</v>
      </c>
      <c r="C2255" s="3" t="s">
        <v>2148</v>
      </c>
      <c r="D2255" s="3" t="s">
        <v>104</v>
      </c>
      <c r="E2255" s="3" t="s">
        <v>134</v>
      </c>
      <c r="F2255" s="3" t="s">
        <v>2141</v>
      </c>
      <c r="G2255" s="3" t="s">
        <v>2029</v>
      </c>
      <c r="H2255" s="4"/>
      <c r="I2255" s="4">
        <f t="shared" si="206"/>
        <v>0</v>
      </c>
      <c r="J2255" s="4"/>
      <c r="K2255" s="4">
        <f t="shared" si="200"/>
        <v>0</v>
      </c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 spans="1:26" ht="15.75" customHeight="1" x14ac:dyDescent="0.2">
      <c r="A2256" s="1"/>
      <c r="B2256" s="2" t="s">
        <v>94</v>
      </c>
      <c r="C2256" s="3" t="s">
        <v>2148</v>
      </c>
      <c r="D2256" s="3" t="s">
        <v>104</v>
      </c>
      <c r="E2256" s="3" t="s">
        <v>134</v>
      </c>
      <c r="F2256" s="3" t="s">
        <v>2141</v>
      </c>
      <c r="G2256" s="3" t="s">
        <v>2029</v>
      </c>
      <c r="H2256" s="4"/>
      <c r="I2256" s="4">
        <f t="shared" si="206"/>
        <v>0</v>
      </c>
      <c r="J2256" s="4"/>
      <c r="K2256" s="4">
        <f t="shared" si="200"/>
        <v>0</v>
      </c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 spans="1:26" ht="15.75" customHeight="1" x14ac:dyDescent="0.2">
      <c r="A2257" s="1"/>
      <c r="B2257" s="2" t="s">
        <v>94</v>
      </c>
      <c r="C2257" s="3" t="s">
        <v>2148</v>
      </c>
      <c r="D2257" s="3" t="s">
        <v>513</v>
      </c>
      <c r="E2257" s="3" t="s">
        <v>134</v>
      </c>
      <c r="F2257" s="3" t="s">
        <v>2141</v>
      </c>
      <c r="G2257" s="3" t="s">
        <v>2029</v>
      </c>
      <c r="H2257" s="4"/>
      <c r="I2257" s="4">
        <f t="shared" si="206"/>
        <v>0</v>
      </c>
      <c r="J2257" s="4"/>
      <c r="K2257" s="4">
        <f t="shared" si="200"/>
        <v>0</v>
      </c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 spans="1:26" ht="15.75" customHeight="1" x14ac:dyDescent="0.2">
      <c r="A2258" s="1"/>
      <c r="B2258" s="2" t="s">
        <v>108</v>
      </c>
      <c r="C2258" s="3" t="s">
        <v>2149</v>
      </c>
      <c r="D2258" s="3" t="s">
        <v>471</v>
      </c>
      <c r="E2258" s="3" t="s">
        <v>259</v>
      </c>
      <c r="F2258" s="3" t="s">
        <v>2141</v>
      </c>
      <c r="G2258" s="3" t="s">
        <v>2029</v>
      </c>
      <c r="H2258" s="4"/>
      <c r="I2258" s="4">
        <f t="shared" si="206"/>
        <v>0</v>
      </c>
      <c r="J2258" s="4"/>
      <c r="K2258" s="4">
        <f t="shared" si="200"/>
        <v>0</v>
      </c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 spans="1:26" ht="15.75" customHeight="1" x14ac:dyDescent="0.2">
      <c r="A2259" s="1"/>
      <c r="B2259" s="2" t="s">
        <v>303</v>
      </c>
      <c r="C2259" s="3" t="s">
        <v>2149</v>
      </c>
      <c r="D2259" s="3" t="s">
        <v>471</v>
      </c>
      <c r="E2259" s="3" t="s">
        <v>259</v>
      </c>
      <c r="F2259" s="3" t="s">
        <v>2141</v>
      </c>
      <c r="G2259" s="3" t="s">
        <v>2029</v>
      </c>
      <c r="H2259" s="4"/>
      <c r="I2259" s="4">
        <f t="shared" si="206"/>
        <v>0</v>
      </c>
      <c r="J2259" s="4"/>
      <c r="K2259" s="4">
        <f t="shared" si="200"/>
        <v>0</v>
      </c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 spans="1:26" ht="15.75" customHeight="1" x14ac:dyDescent="0.2">
      <c r="A2260" s="1"/>
      <c r="B2260" s="2" t="s">
        <v>94</v>
      </c>
      <c r="C2260" s="3" t="s">
        <v>2149</v>
      </c>
      <c r="D2260" s="3" t="s">
        <v>471</v>
      </c>
      <c r="E2260" s="3" t="s">
        <v>259</v>
      </c>
      <c r="F2260" s="3" t="s">
        <v>2141</v>
      </c>
      <c r="G2260" s="3" t="s">
        <v>2029</v>
      </c>
      <c r="H2260" s="4"/>
      <c r="I2260" s="4">
        <f t="shared" si="206"/>
        <v>0</v>
      </c>
      <c r="J2260" s="4"/>
      <c r="K2260" s="4">
        <f t="shared" si="200"/>
        <v>0</v>
      </c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 spans="1:26" ht="15.75" customHeight="1" x14ac:dyDescent="0.2">
      <c r="A2261" s="1"/>
      <c r="B2261" s="2" t="s">
        <v>94</v>
      </c>
      <c r="C2261" s="3" t="s">
        <v>2144</v>
      </c>
      <c r="D2261" s="3" t="s">
        <v>295</v>
      </c>
      <c r="E2261" s="3" t="s">
        <v>259</v>
      </c>
      <c r="F2261" s="3" t="s">
        <v>2141</v>
      </c>
      <c r="G2261" s="3" t="s">
        <v>2029</v>
      </c>
      <c r="H2261" s="4"/>
      <c r="I2261" s="4">
        <f t="shared" si="206"/>
        <v>0</v>
      </c>
      <c r="J2261" s="4"/>
      <c r="K2261" s="4">
        <f t="shared" si="200"/>
        <v>0</v>
      </c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 spans="1:26" ht="15.75" customHeight="1" x14ac:dyDescent="0.2">
      <c r="A2262" s="1">
        <v>975</v>
      </c>
      <c r="B2262" s="13" t="s">
        <v>698</v>
      </c>
      <c r="C2262" s="14" t="s">
        <v>2150</v>
      </c>
      <c r="D2262" s="14" t="s">
        <v>574</v>
      </c>
      <c r="E2262" s="14" t="s">
        <v>348</v>
      </c>
      <c r="F2262" s="14" t="s">
        <v>2151</v>
      </c>
      <c r="G2262" s="14" t="s">
        <v>2029</v>
      </c>
      <c r="H2262" s="4"/>
      <c r="I2262" s="4">
        <f t="shared" ref="I2262:I2269" si="207">H2262*2300</f>
        <v>0</v>
      </c>
      <c r="J2262" s="4"/>
      <c r="K2262" s="4">
        <f t="shared" si="200"/>
        <v>0</v>
      </c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 spans="1:26" ht="15.75" customHeight="1" x14ac:dyDescent="0.2">
      <c r="A2263" s="1">
        <v>1497</v>
      </c>
      <c r="B2263" s="13" t="s">
        <v>262</v>
      </c>
      <c r="C2263" s="14" t="s">
        <v>2150</v>
      </c>
      <c r="D2263" s="14" t="s">
        <v>1107</v>
      </c>
      <c r="E2263" s="14" t="s">
        <v>348</v>
      </c>
      <c r="F2263" s="14" t="s">
        <v>2151</v>
      </c>
      <c r="G2263" s="14" t="s">
        <v>2029</v>
      </c>
      <c r="H2263" s="4"/>
      <c r="I2263" s="4">
        <f t="shared" si="207"/>
        <v>0</v>
      </c>
      <c r="J2263" s="4"/>
      <c r="K2263" s="4">
        <f t="shared" si="200"/>
        <v>0</v>
      </c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 spans="1:26" ht="15.75" customHeight="1" x14ac:dyDescent="0.2">
      <c r="A2264" s="1">
        <v>2251</v>
      </c>
      <c r="B2264" s="13" t="s">
        <v>627</v>
      </c>
      <c r="C2264" s="14" t="s">
        <v>2150</v>
      </c>
      <c r="D2264" s="14" t="s">
        <v>574</v>
      </c>
      <c r="E2264" s="14" t="s">
        <v>348</v>
      </c>
      <c r="F2264" s="14" t="s">
        <v>2151</v>
      </c>
      <c r="G2264" s="14" t="s">
        <v>2029</v>
      </c>
      <c r="H2264" s="4"/>
      <c r="I2264" s="4">
        <f t="shared" si="207"/>
        <v>0</v>
      </c>
      <c r="J2264" s="4"/>
      <c r="K2264" s="4">
        <f t="shared" si="200"/>
        <v>0</v>
      </c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 spans="1:26" ht="15.75" customHeight="1" x14ac:dyDescent="0.2">
      <c r="A2265" s="1">
        <v>2291</v>
      </c>
      <c r="B2265" s="13" t="s">
        <v>284</v>
      </c>
      <c r="C2265" s="14" t="s">
        <v>2150</v>
      </c>
      <c r="D2265" s="14" t="s">
        <v>1107</v>
      </c>
      <c r="E2265" s="14" t="s">
        <v>348</v>
      </c>
      <c r="F2265" s="14" t="s">
        <v>2151</v>
      </c>
      <c r="G2265" s="14" t="s">
        <v>2029</v>
      </c>
      <c r="H2265" s="4"/>
      <c r="I2265" s="4">
        <f t="shared" si="207"/>
        <v>0</v>
      </c>
      <c r="J2265" s="4"/>
      <c r="K2265" s="4">
        <f t="shared" si="200"/>
        <v>0</v>
      </c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 spans="1:26" ht="15.75" customHeight="1" x14ac:dyDescent="0.2">
      <c r="A2266" s="1">
        <v>2289</v>
      </c>
      <c r="B2266" s="13" t="s">
        <v>284</v>
      </c>
      <c r="C2266" s="14" t="s">
        <v>2152</v>
      </c>
      <c r="D2266" s="14" t="s">
        <v>350</v>
      </c>
      <c r="E2266" s="14" t="s">
        <v>530</v>
      </c>
      <c r="F2266" s="14" t="s">
        <v>2151</v>
      </c>
      <c r="G2266" s="14" t="s">
        <v>2029</v>
      </c>
      <c r="H2266" s="4"/>
      <c r="I2266" s="4">
        <f t="shared" si="207"/>
        <v>0</v>
      </c>
      <c r="J2266" s="4"/>
      <c r="K2266" s="4">
        <f t="shared" si="200"/>
        <v>0</v>
      </c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 spans="1:26" ht="15.75" customHeight="1" x14ac:dyDescent="0.2">
      <c r="A2267" s="1">
        <v>2855</v>
      </c>
      <c r="B2267" s="13" t="s">
        <v>519</v>
      </c>
      <c r="C2267" s="14" t="s">
        <v>2152</v>
      </c>
      <c r="D2267" s="14" t="s">
        <v>350</v>
      </c>
      <c r="E2267" s="14" t="s">
        <v>530</v>
      </c>
      <c r="F2267" s="14" t="s">
        <v>2151</v>
      </c>
      <c r="G2267" s="14" t="s">
        <v>2029</v>
      </c>
      <c r="H2267" s="4"/>
      <c r="I2267" s="4">
        <f t="shared" si="207"/>
        <v>0</v>
      </c>
      <c r="J2267" s="4"/>
      <c r="K2267" s="4">
        <f t="shared" si="200"/>
        <v>0</v>
      </c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 spans="1:26" ht="15.75" customHeight="1" x14ac:dyDescent="0.2">
      <c r="A2268" s="1">
        <v>1549</v>
      </c>
      <c r="B2268" s="13" t="s">
        <v>377</v>
      </c>
      <c r="C2268" s="14" t="s">
        <v>2153</v>
      </c>
      <c r="D2268" s="14" t="s">
        <v>373</v>
      </c>
      <c r="E2268" s="14" t="s">
        <v>2154</v>
      </c>
      <c r="F2268" s="14" t="s">
        <v>2151</v>
      </c>
      <c r="G2268" s="14" t="s">
        <v>2029</v>
      </c>
      <c r="H2268" s="4"/>
      <c r="I2268" s="4">
        <f t="shared" si="207"/>
        <v>0</v>
      </c>
      <c r="J2268" s="4"/>
      <c r="K2268" s="4">
        <f t="shared" si="200"/>
        <v>0</v>
      </c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 spans="1:26" ht="15.75" customHeight="1" x14ac:dyDescent="0.2">
      <c r="A2269" s="1">
        <v>2329</v>
      </c>
      <c r="B2269" s="13" t="s">
        <v>285</v>
      </c>
      <c r="C2269" s="14" t="s">
        <v>2153</v>
      </c>
      <c r="D2269" s="14" t="s">
        <v>373</v>
      </c>
      <c r="E2269" s="14" t="s">
        <v>2154</v>
      </c>
      <c r="F2269" s="14" t="s">
        <v>2151</v>
      </c>
      <c r="G2269" s="14" t="s">
        <v>2029</v>
      </c>
      <c r="H2269" s="4"/>
      <c r="I2269" s="4">
        <f t="shared" si="207"/>
        <v>0</v>
      </c>
      <c r="J2269" s="4"/>
      <c r="K2269" s="4">
        <f t="shared" si="200"/>
        <v>0</v>
      </c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 spans="1:26" ht="15.75" customHeight="1" x14ac:dyDescent="0.2">
      <c r="A2270" s="1">
        <v>999</v>
      </c>
      <c r="B2270" s="13" t="s">
        <v>624</v>
      </c>
      <c r="C2270" s="14" t="s">
        <v>2155</v>
      </c>
      <c r="D2270" s="14" t="s">
        <v>345</v>
      </c>
      <c r="E2270" s="14" t="s">
        <v>91</v>
      </c>
      <c r="F2270" s="14" t="s">
        <v>2151</v>
      </c>
      <c r="G2270" s="14" t="s">
        <v>2029</v>
      </c>
      <c r="H2270" s="4"/>
      <c r="I2270" s="4">
        <f t="shared" ref="I2270:I2273" si="208">H2270*1800</f>
        <v>0</v>
      </c>
      <c r="J2270" s="4"/>
      <c r="K2270" s="4">
        <f t="shared" si="200"/>
        <v>0</v>
      </c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 spans="1:26" ht="15.75" customHeight="1" x14ac:dyDescent="0.2">
      <c r="A2271" s="1">
        <v>1545</v>
      </c>
      <c r="B2271" s="13" t="s">
        <v>377</v>
      </c>
      <c r="C2271" s="14" t="s">
        <v>2155</v>
      </c>
      <c r="D2271" s="14" t="s">
        <v>295</v>
      </c>
      <c r="E2271" s="14" t="s">
        <v>91</v>
      </c>
      <c r="F2271" s="14" t="s">
        <v>2151</v>
      </c>
      <c r="G2271" s="14" t="s">
        <v>2029</v>
      </c>
      <c r="H2271" s="4"/>
      <c r="I2271" s="4">
        <f t="shared" si="208"/>
        <v>0</v>
      </c>
      <c r="J2271" s="4"/>
      <c r="K2271" s="4">
        <f t="shared" si="200"/>
        <v>0</v>
      </c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 spans="1:26" ht="15.75" customHeight="1" x14ac:dyDescent="0.2">
      <c r="A2272" s="1">
        <v>2253</v>
      </c>
      <c r="B2272" s="13" t="s">
        <v>627</v>
      </c>
      <c r="C2272" s="14" t="s">
        <v>2155</v>
      </c>
      <c r="D2272" s="14" t="s">
        <v>345</v>
      </c>
      <c r="E2272" s="14" t="s">
        <v>91</v>
      </c>
      <c r="F2272" s="14" t="s">
        <v>2151</v>
      </c>
      <c r="G2272" s="14" t="s">
        <v>2029</v>
      </c>
      <c r="H2272" s="4"/>
      <c r="I2272" s="4">
        <f t="shared" si="208"/>
        <v>0</v>
      </c>
      <c r="J2272" s="4"/>
      <c r="K2272" s="4">
        <f t="shared" si="200"/>
        <v>0</v>
      </c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 spans="1:26" ht="15.75" customHeight="1" x14ac:dyDescent="0.2">
      <c r="A2273" s="1">
        <v>2285</v>
      </c>
      <c r="B2273" s="13" t="s">
        <v>284</v>
      </c>
      <c r="C2273" s="14" t="s">
        <v>2155</v>
      </c>
      <c r="D2273" s="14" t="s">
        <v>295</v>
      </c>
      <c r="E2273" s="14" t="s">
        <v>91</v>
      </c>
      <c r="F2273" s="14" t="s">
        <v>2151</v>
      </c>
      <c r="G2273" s="14" t="s">
        <v>2029</v>
      </c>
      <c r="H2273" s="4"/>
      <c r="I2273" s="4">
        <f t="shared" si="208"/>
        <v>0</v>
      </c>
      <c r="J2273" s="4"/>
      <c r="K2273" s="4">
        <f t="shared" si="200"/>
        <v>0</v>
      </c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 spans="1:26" ht="15.75" customHeight="1" x14ac:dyDescent="0.2">
      <c r="A2274" s="1">
        <v>25</v>
      </c>
      <c r="B2274" s="13" t="s">
        <v>2156</v>
      </c>
      <c r="C2274" s="14" t="s">
        <v>2157</v>
      </c>
      <c r="D2274" s="14" t="s">
        <v>2158</v>
      </c>
      <c r="E2274" s="14" t="s">
        <v>329</v>
      </c>
      <c r="F2274" s="14" t="s">
        <v>2159</v>
      </c>
      <c r="G2274" s="14" t="s">
        <v>2029</v>
      </c>
      <c r="H2274" s="4"/>
      <c r="I2274" s="4">
        <f t="shared" ref="I2274:I2276" si="209">H2274*2300</f>
        <v>0</v>
      </c>
      <c r="J2274" s="4"/>
      <c r="K2274" s="4">
        <f t="shared" si="200"/>
        <v>0</v>
      </c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 spans="1:26" ht="15.75" customHeight="1" x14ac:dyDescent="0.2">
      <c r="A2275" s="1">
        <v>47</v>
      </c>
      <c r="B2275" s="13" t="s">
        <v>226</v>
      </c>
      <c r="C2275" s="14" t="s">
        <v>2157</v>
      </c>
      <c r="D2275" s="14" t="s">
        <v>2158</v>
      </c>
      <c r="E2275" s="14" t="s">
        <v>329</v>
      </c>
      <c r="F2275" s="14" t="s">
        <v>2159</v>
      </c>
      <c r="G2275" s="14" t="s">
        <v>2029</v>
      </c>
      <c r="H2275" s="4"/>
      <c r="I2275" s="4">
        <f t="shared" si="209"/>
        <v>0</v>
      </c>
      <c r="J2275" s="4"/>
      <c r="K2275" s="4">
        <f t="shared" si="200"/>
        <v>0</v>
      </c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 spans="1:26" ht="15.75" customHeight="1" x14ac:dyDescent="0.2">
      <c r="A2276" s="1">
        <v>43</v>
      </c>
      <c r="B2276" s="13" t="s">
        <v>2156</v>
      </c>
      <c r="C2276" s="14" t="s">
        <v>2160</v>
      </c>
      <c r="D2276" s="14" t="s">
        <v>2161</v>
      </c>
      <c r="E2276" s="14"/>
      <c r="F2276" s="14" t="s">
        <v>2162</v>
      </c>
      <c r="G2276" s="14" t="s">
        <v>2163</v>
      </c>
      <c r="H2276" s="4"/>
      <c r="I2276" s="4">
        <f t="shared" si="209"/>
        <v>0</v>
      </c>
      <c r="J2276" s="4"/>
      <c r="K2276" s="4">
        <f t="shared" si="200"/>
        <v>0</v>
      </c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 spans="1:26" ht="15.75" customHeight="1" x14ac:dyDescent="0.2">
      <c r="A2277" s="1"/>
      <c r="B2277" s="2" t="s">
        <v>232</v>
      </c>
      <c r="C2277" s="3" t="s">
        <v>1679</v>
      </c>
      <c r="D2277" s="3" t="s">
        <v>554</v>
      </c>
      <c r="E2277" s="3" t="s">
        <v>546</v>
      </c>
      <c r="F2277" s="3" t="s">
        <v>2162</v>
      </c>
      <c r="G2277" s="3" t="s">
        <v>2163</v>
      </c>
      <c r="H2277" s="4"/>
      <c r="I2277" s="4">
        <f t="shared" ref="I2277:I2283" si="210">H2277*1800</f>
        <v>0</v>
      </c>
      <c r="J2277" s="4"/>
      <c r="K2277" s="4">
        <f t="shared" si="200"/>
        <v>0</v>
      </c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 spans="1:26" ht="15.75" customHeight="1" x14ac:dyDescent="0.2">
      <c r="A2278" s="1"/>
      <c r="B2278" s="2" t="s">
        <v>114</v>
      </c>
      <c r="C2278" s="3" t="s">
        <v>1679</v>
      </c>
      <c r="D2278" s="3" t="s">
        <v>554</v>
      </c>
      <c r="E2278" s="3" t="s">
        <v>546</v>
      </c>
      <c r="F2278" s="3" t="s">
        <v>2162</v>
      </c>
      <c r="G2278" s="3" t="s">
        <v>2163</v>
      </c>
      <c r="H2278" s="4"/>
      <c r="I2278" s="4">
        <f t="shared" si="210"/>
        <v>0</v>
      </c>
      <c r="J2278" s="4"/>
      <c r="K2278" s="4">
        <f t="shared" si="200"/>
        <v>0</v>
      </c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 spans="1:26" ht="15.75" customHeight="1" x14ac:dyDescent="0.2">
      <c r="A2279" s="1"/>
      <c r="B2279" s="2" t="s">
        <v>88</v>
      </c>
      <c r="C2279" s="3" t="s">
        <v>1679</v>
      </c>
      <c r="D2279" s="3" t="s">
        <v>554</v>
      </c>
      <c r="E2279" s="3" t="s">
        <v>546</v>
      </c>
      <c r="F2279" s="3" t="s">
        <v>2162</v>
      </c>
      <c r="G2279" s="3" t="s">
        <v>2163</v>
      </c>
      <c r="H2279" s="4"/>
      <c r="I2279" s="4">
        <f t="shared" si="210"/>
        <v>0</v>
      </c>
      <c r="J2279" s="4"/>
      <c r="K2279" s="4">
        <f t="shared" si="200"/>
        <v>0</v>
      </c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 spans="1:26" ht="15.75" customHeight="1" x14ac:dyDescent="0.2">
      <c r="A2280" s="1"/>
      <c r="B2280" s="2" t="s">
        <v>88</v>
      </c>
      <c r="C2280" s="3" t="s">
        <v>2164</v>
      </c>
      <c r="D2280" s="3" t="s">
        <v>1068</v>
      </c>
      <c r="E2280" s="3" t="s">
        <v>319</v>
      </c>
      <c r="F2280" s="3" t="s">
        <v>2162</v>
      </c>
      <c r="G2280" s="3" t="s">
        <v>2163</v>
      </c>
      <c r="H2280" s="4"/>
      <c r="I2280" s="4">
        <f t="shared" si="210"/>
        <v>0</v>
      </c>
      <c r="J2280" s="4"/>
      <c r="K2280" s="4">
        <f t="shared" si="200"/>
        <v>0</v>
      </c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 spans="1:26" ht="15.75" customHeight="1" x14ac:dyDescent="0.2">
      <c r="A2281" s="1"/>
      <c r="B2281" s="2" t="s">
        <v>548</v>
      </c>
      <c r="C2281" s="3" t="s">
        <v>2164</v>
      </c>
      <c r="D2281" s="3" t="s">
        <v>1068</v>
      </c>
      <c r="E2281" s="3" t="s">
        <v>319</v>
      </c>
      <c r="F2281" s="3" t="s">
        <v>2162</v>
      </c>
      <c r="G2281" s="3" t="s">
        <v>2163</v>
      </c>
      <c r="H2281" s="4"/>
      <c r="I2281" s="4">
        <f t="shared" si="210"/>
        <v>0</v>
      </c>
      <c r="J2281" s="4"/>
      <c r="K2281" s="4">
        <f t="shared" si="200"/>
        <v>0</v>
      </c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 spans="1:26" ht="15.75" customHeight="1" x14ac:dyDescent="0.2">
      <c r="A2282" s="1"/>
      <c r="B2282" s="2" t="s">
        <v>296</v>
      </c>
      <c r="C2282" s="3" t="s">
        <v>940</v>
      </c>
      <c r="D2282" s="3" t="s">
        <v>128</v>
      </c>
      <c r="E2282" s="3" t="s">
        <v>397</v>
      </c>
      <c r="F2282" s="3" t="s">
        <v>2162</v>
      </c>
      <c r="G2282" s="3" t="s">
        <v>2163</v>
      </c>
      <c r="H2282" s="4"/>
      <c r="I2282" s="4">
        <f t="shared" si="210"/>
        <v>0</v>
      </c>
      <c r="J2282" s="4"/>
      <c r="K2282" s="4">
        <f t="shared" si="200"/>
        <v>0</v>
      </c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 spans="1:26" ht="15.75" customHeight="1" x14ac:dyDescent="0.2">
      <c r="A2283" s="1"/>
      <c r="B2283" s="2" t="s">
        <v>88</v>
      </c>
      <c r="C2283" s="3" t="s">
        <v>940</v>
      </c>
      <c r="D2283" s="3" t="s">
        <v>128</v>
      </c>
      <c r="E2283" s="3" t="s">
        <v>397</v>
      </c>
      <c r="F2283" s="3" t="s">
        <v>2162</v>
      </c>
      <c r="G2283" s="3" t="s">
        <v>2163</v>
      </c>
      <c r="H2283" s="4"/>
      <c r="I2283" s="4">
        <f t="shared" si="210"/>
        <v>0</v>
      </c>
      <c r="J2283" s="4"/>
      <c r="K2283" s="4">
        <f t="shared" si="200"/>
        <v>0</v>
      </c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 spans="1:26" ht="15.75" customHeight="1" x14ac:dyDescent="0.2">
      <c r="A2284" s="1">
        <v>1345</v>
      </c>
      <c r="B2284" s="13" t="s">
        <v>260</v>
      </c>
      <c r="C2284" s="14" t="s">
        <v>1541</v>
      </c>
      <c r="D2284" s="14" t="s">
        <v>2165</v>
      </c>
      <c r="E2284" s="14" t="s">
        <v>452</v>
      </c>
      <c r="F2284" s="14" t="s">
        <v>2166</v>
      </c>
      <c r="G2284" s="14" t="s">
        <v>2163</v>
      </c>
      <c r="H2284" s="4"/>
      <c r="I2284" s="4">
        <f t="shared" ref="I2284:I2286" si="211">H2284*2300</f>
        <v>0</v>
      </c>
      <c r="J2284" s="4"/>
      <c r="K2284" s="4">
        <f t="shared" si="200"/>
        <v>0</v>
      </c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 spans="1:26" ht="15.75" customHeight="1" x14ac:dyDescent="0.2">
      <c r="A2285" s="1">
        <v>2137</v>
      </c>
      <c r="B2285" s="13" t="s">
        <v>280</v>
      </c>
      <c r="C2285" s="14" t="s">
        <v>1541</v>
      </c>
      <c r="D2285" s="14" t="s">
        <v>2165</v>
      </c>
      <c r="E2285" s="14" t="s">
        <v>452</v>
      </c>
      <c r="F2285" s="14" t="s">
        <v>2166</v>
      </c>
      <c r="G2285" s="14" t="s">
        <v>2163</v>
      </c>
      <c r="H2285" s="4"/>
      <c r="I2285" s="4">
        <f t="shared" si="211"/>
        <v>0</v>
      </c>
      <c r="J2285" s="4"/>
      <c r="K2285" s="4">
        <f t="shared" si="200"/>
        <v>0</v>
      </c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 spans="1:26" ht="15.75" customHeight="1" x14ac:dyDescent="0.2">
      <c r="A2286" s="1">
        <v>795</v>
      </c>
      <c r="B2286" s="13" t="s">
        <v>691</v>
      </c>
      <c r="C2286" s="14" t="s">
        <v>2167</v>
      </c>
      <c r="D2286" s="14" t="s">
        <v>2168</v>
      </c>
      <c r="E2286" s="14" t="s">
        <v>836</v>
      </c>
      <c r="F2286" s="14" t="s">
        <v>2166</v>
      </c>
      <c r="G2286" s="14" t="s">
        <v>2163</v>
      </c>
      <c r="H2286" s="4"/>
      <c r="I2286" s="4">
        <f t="shared" si="211"/>
        <v>0</v>
      </c>
      <c r="J2286" s="4"/>
      <c r="K2286" s="4">
        <f t="shared" si="200"/>
        <v>0</v>
      </c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 spans="1:26" ht="15.75" customHeight="1" x14ac:dyDescent="0.2">
      <c r="A2287" s="1"/>
      <c r="B2287" s="2" t="s">
        <v>94</v>
      </c>
      <c r="C2287" s="3" t="s">
        <v>2167</v>
      </c>
      <c r="D2287" s="3" t="s">
        <v>2169</v>
      </c>
      <c r="E2287" s="3" t="s">
        <v>743</v>
      </c>
      <c r="F2287" s="3" t="s">
        <v>2166</v>
      </c>
      <c r="G2287" s="3" t="s">
        <v>2163</v>
      </c>
      <c r="H2287" s="4"/>
      <c r="I2287" s="4">
        <f t="shared" ref="I2287:I2294" si="212">H2287*1800</f>
        <v>0</v>
      </c>
      <c r="J2287" s="4"/>
      <c r="K2287" s="4">
        <f t="shared" si="200"/>
        <v>0</v>
      </c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 spans="1:26" ht="15.75" customHeight="1" x14ac:dyDescent="0.2">
      <c r="A2288" s="1"/>
      <c r="B2288" s="2" t="s">
        <v>118</v>
      </c>
      <c r="C2288" s="3" t="s">
        <v>2170</v>
      </c>
      <c r="D2288" s="3" t="s">
        <v>325</v>
      </c>
      <c r="E2288" s="3" t="s">
        <v>40</v>
      </c>
      <c r="F2288" s="3" t="s">
        <v>2166</v>
      </c>
      <c r="G2288" s="3" t="s">
        <v>2163</v>
      </c>
      <c r="H2288" s="4"/>
      <c r="I2288" s="4">
        <f t="shared" si="212"/>
        <v>0</v>
      </c>
      <c r="J2288" s="4"/>
      <c r="K2288" s="4">
        <f t="shared" si="200"/>
        <v>0</v>
      </c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 spans="1:26" ht="15.75" customHeight="1" x14ac:dyDescent="0.2">
      <c r="A2289" s="1"/>
      <c r="B2289" s="2" t="s">
        <v>88</v>
      </c>
      <c r="C2289" s="3" t="s">
        <v>2170</v>
      </c>
      <c r="D2289" s="3" t="s">
        <v>325</v>
      </c>
      <c r="E2289" s="3" t="s">
        <v>40</v>
      </c>
      <c r="F2289" s="3" t="s">
        <v>2166</v>
      </c>
      <c r="G2289" s="3" t="s">
        <v>2163</v>
      </c>
      <c r="H2289" s="4"/>
      <c r="I2289" s="4">
        <f t="shared" si="212"/>
        <v>0</v>
      </c>
      <c r="J2289" s="4"/>
      <c r="K2289" s="4">
        <f t="shared" si="200"/>
        <v>0</v>
      </c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 spans="1:26" ht="15.75" customHeight="1" x14ac:dyDescent="0.2">
      <c r="A2290" s="1"/>
      <c r="B2290" s="2" t="s">
        <v>94</v>
      </c>
      <c r="C2290" s="3" t="s">
        <v>2170</v>
      </c>
      <c r="D2290" s="3" t="s">
        <v>325</v>
      </c>
      <c r="E2290" s="3" t="s">
        <v>40</v>
      </c>
      <c r="F2290" s="3" t="s">
        <v>2166</v>
      </c>
      <c r="G2290" s="3" t="s">
        <v>2163</v>
      </c>
      <c r="H2290" s="4"/>
      <c r="I2290" s="4">
        <f t="shared" si="212"/>
        <v>0</v>
      </c>
      <c r="J2290" s="4"/>
      <c r="K2290" s="4">
        <f t="shared" si="200"/>
        <v>0</v>
      </c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 spans="1:26" ht="15.75" customHeight="1" x14ac:dyDescent="0.2">
      <c r="A2291" s="1"/>
      <c r="B2291" s="2" t="s">
        <v>102</v>
      </c>
      <c r="C2291" s="3" t="s">
        <v>2171</v>
      </c>
      <c r="D2291" s="3" t="s">
        <v>526</v>
      </c>
      <c r="E2291" s="3" t="s">
        <v>539</v>
      </c>
      <c r="F2291" s="3" t="s">
        <v>2166</v>
      </c>
      <c r="G2291" s="3" t="s">
        <v>2163</v>
      </c>
      <c r="H2291" s="4"/>
      <c r="I2291" s="4">
        <f t="shared" si="212"/>
        <v>0</v>
      </c>
      <c r="J2291" s="4"/>
      <c r="K2291" s="4">
        <f t="shared" si="200"/>
        <v>0</v>
      </c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 spans="1:26" ht="15.75" customHeight="1" x14ac:dyDescent="0.2">
      <c r="A2292" s="1"/>
      <c r="B2292" s="2" t="s">
        <v>108</v>
      </c>
      <c r="C2292" s="3" t="s">
        <v>2171</v>
      </c>
      <c r="D2292" s="3" t="s">
        <v>526</v>
      </c>
      <c r="E2292" s="3" t="s">
        <v>539</v>
      </c>
      <c r="F2292" s="3" t="s">
        <v>2166</v>
      </c>
      <c r="G2292" s="3" t="s">
        <v>2163</v>
      </c>
      <c r="H2292" s="4"/>
      <c r="I2292" s="4">
        <f t="shared" si="212"/>
        <v>0</v>
      </c>
      <c r="J2292" s="4"/>
      <c r="K2292" s="4">
        <f t="shared" si="200"/>
        <v>0</v>
      </c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 spans="1:26" ht="15.75" customHeight="1" x14ac:dyDescent="0.2">
      <c r="A2293" s="1"/>
      <c r="B2293" s="2" t="s">
        <v>88</v>
      </c>
      <c r="C2293" s="3" t="s">
        <v>2172</v>
      </c>
      <c r="D2293" s="3" t="s">
        <v>120</v>
      </c>
      <c r="E2293" s="3" t="s">
        <v>87</v>
      </c>
      <c r="F2293" s="3" t="s">
        <v>2166</v>
      </c>
      <c r="G2293" s="3" t="s">
        <v>2163</v>
      </c>
      <c r="H2293" s="4"/>
      <c r="I2293" s="4">
        <f t="shared" si="212"/>
        <v>0</v>
      </c>
      <c r="J2293" s="4"/>
      <c r="K2293" s="4">
        <f t="shared" si="200"/>
        <v>0</v>
      </c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 spans="1:26" ht="15.75" customHeight="1" x14ac:dyDescent="0.2">
      <c r="A2294" s="1"/>
      <c r="B2294" s="2" t="s">
        <v>94</v>
      </c>
      <c r="C2294" s="3" t="s">
        <v>2172</v>
      </c>
      <c r="D2294" s="3" t="s">
        <v>120</v>
      </c>
      <c r="E2294" s="3" t="s">
        <v>87</v>
      </c>
      <c r="F2294" s="3" t="s">
        <v>2166</v>
      </c>
      <c r="G2294" s="3" t="s">
        <v>2163</v>
      </c>
      <c r="H2294" s="4"/>
      <c r="I2294" s="4">
        <f t="shared" si="212"/>
        <v>0</v>
      </c>
      <c r="J2294" s="4"/>
      <c r="K2294" s="4">
        <f t="shared" si="200"/>
        <v>0</v>
      </c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 spans="1:26" ht="15.75" customHeight="1" x14ac:dyDescent="0.2">
      <c r="A2295" s="1">
        <v>357</v>
      </c>
      <c r="B2295" s="13" t="s">
        <v>100</v>
      </c>
      <c r="C2295" s="14" t="s">
        <v>2173</v>
      </c>
      <c r="D2295" s="14" t="s">
        <v>2174</v>
      </c>
      <c r="E2295" s="14"/>
      <c r="F2295" s="14" t="s">
        <v>2175</v>
      </c>
      <c r="G2295" s="14" t="s">
        <v>2163</v>
      </c>
      <c r="H2295" s="4"/>
      <c r="I2295" s="4">
        <f>H2295*2300</f>
        <v>0</v>
      </c>
      <c r="J2295" s="4"/>
      <c r="K2295" s="4">
        <f t="shared" si="200"/>
        <v>0</v>
      </c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 spans="1:26" ht="15.75" customHeight="1" x14ac:dyDescent="0.2">
      <c r="A2296" s="1"/>
      <c r="B2296" s="2" t="s">
        <v>94</v>
      </c>
      <c r="C2296" s="3" t="s">
        <v>2176</v>
      </c>
      <c r="D2296" s="3" t="s">
        <v>534</v>
      </c>
      <c r="E2296" s="3" t="s">
        <v>2177</v>
      </c>
      <c r="F2296" s="3" t="s">
        <v>2175</v>
      </c>
      <c r="G2296" s="3" t="s">
        <v>2163</v>
      </c>
      <c r="H2296" s="4"/>
      <c r="I2296" s="4">
        <f>H2296*1800</f>
        <v>0</v>
      </c>
      <c r="J2296" s="4"/>
      <c r="K2296" s="4">
        <f t="shared" si="200"/>
        <v>0</v>
      </c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 spans="1:26" ht="15.75" customHeight="1" x14ac:dyDescent="0.2">
      <c r="A2297" s="1">
        <v>1567</v>
      </c>
      <c r="B2297" s="13" t="s">
        <v>377</v>
      </c>
      <c r="C2297" s="14" t="s">
        <v>2178</v>
      </c>
      <c r="D2297" s="14" t="s">
        <v>399</v>
      </c>
      <c r="E2297" s="14" t="s">
        <v>2179</v>
      </c>
      <c r="F2297" s="14" t="s">
        <v>2180</v>
      </c>
      <c r="G2297" s="14" t="s">
        <v>2163</v>
      </c>
      <c r="H2297" s="4"/>
      <c r="I2297" s="4">
        <f t="shared" ref="I2297:I2300" si="213">H2297*2300</f>
        <v>0</v>
      </c>
      <c r="J2297" s="4"/>
      <c r="K2297" s="4">
        <f t="shared" si="200"/>
        <v>0</v>
      </c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 spans="1:26" ht="15.75" customHeight="1" x14ac:dyDescent="0.2">
      <c r="A2298" s="1">
        <v>2315</v>
      </c>
      <c r="B2298" s="13" t="s">
        <v>284</v>
      </c>
      <c r="C2298" s="14" t="s">
        <v>2178</v>
      </c>
      <c r="D2298" s="14" t="s">
        <v>399</v>
      </c>
      <c r="E2298" s="14" t="s">
        <v>2179</v>
      </c>
      <c r="F2298" s="14" t="s">
        <v>2180</v>
      </c>
      <c r="G2298" s="14" t="s">
        <v>2163</v>
      </c>
      <c r="H2298" s="4"/>
      <c r="I2298" s="4">
        <f t="shared" si="213"/>
        <v>0</v>
      </c>
      <c r="J2298" s="4"/>
      <c r="K2298" s="4">
        <f t="shared" si="200"/>
        <v>0</v>
      </c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 spans="1:26" ht="15.75" customHeight="1" x14ac:dyDescent="0.2">
      <c r="A2299" s="1">
        <v>2317</v>
      </c>
      <c r="B2299" s="13" t="s">
        <v>284</v>
      </c>
      <c r="C2299" s="14" t="s">
        <v>2181</v>
      </c>
      <c r="D2299" s="14" t="s">
        <v>574</v>
      </c>
      <c r="E2299" s="14" t="s">
        <v>676</v>
      </c>
      <c r="F2299" s="14" t="s">
        <v>2180</v>
      </c>
      <c r="G2299" s="14" t="s">
        <v>2163</v>
      </c>
      <c r="H2299" s="4"/>
      <c r="I2299" s="4">
        <f t="shared" si="213"/>
        <v>0</v>
      </c>
      <c r="J2299" s="4"/>
      <c r="K2299" s="4">
        <f t="shared" si="200"/>
        <v>0</v>
      </c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 spans="1:26" ht="15.75" customHeight="1" x14ac:dyDescent="0.2">
      <c r="A2300" s="1">
        <v>2877</v>
      </c>
      <c r="B2300" s="13" t="s">
        <v>519</v>
      </c>
      <c r="C2300" s="14" t="s">
        <v>2181</v>
      </c>
      <c r="D2300" s="14" t="s">
        <v>574</v>
      </c>
      <c r="E2300" s="14" t="s">
        <v>676</v>
      </c>
      <c r="F2300" s="14" t="s">
        <v>2180</v>
      </c>
      <c r="G2300" s="14" t="s">
        <v>2163</v>
      </c>
      <c r="H2300" s="4"/>
      <c r="I2300" s="4">
        <f t="shared" si="213"/>
        <v>0</v>
      </c>
      <c r="J2300" s="4"/>
      <c r="K2300" s="4">
        <f t="shared" si="200"/>
        <v>0</v>
      </c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 spans="1:26" ht="15.75" customHeight="1" x14ac:dyDescent="0.2">
      <c r="A2301" s="1"/>
      <c r="B2301" s="2" t="s">
        <v>114</v>
      </c>
      <c r="C2301" s="3" t="s">
        <v>2182</v>
      </c>
      <c r="D2301" s="3" t="s">
        <v>526</v>
      </c>
      <c r="E2301" s="3" t="s">
        <v>1083</v>
      </c>
      <c r="F2301" s="3" t="s">
        <v>2180</v>
      </c>
      <c r="G2301" s="3" t="s">
        <v>2163</v>
      </c>
      <c r="H2301" s="4"/>
      <c r="I2301" s="4">
        <f t="shared" ref="I2301:I2302" si="214">H2301*1800</f>
        <v>0</v>
      </c>
      <c r="J2301" s="4"/>
      <c r="K2301" s="4">
        <f t="shared" si="200"/>
        <v>0</v>
      </c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 spans="1:26" ht="15.75" customHeight="1" x14ac:dyDescent="0.2">
      <c r="A2302" s="1"/>
      <c r="B2302" s="2" t="s">
        <v>108</v>
      </c>
      <c r="C2302" s="3" t="s">
        <v>2182</v>
      </c>
      <c r="D2302" s="3" t="s">
        <v>526</v>
      </c>
      <c r="E2302" s="3" t="s">
        <v>1083</v>
      </c>
      <c r="F2302" s="3" t="s">
        <v>2180</v>
      </c>
      <c r="G2302" s="3" t="s">
        <v>2163</v>
      </c>
      <c r="H2302" s="4"/>
      <c r="I2302" s="4">
        <f t="shared" si="214"/>
        <v>0</v>
      </c>
      <c r="J2302" s="4"/>
      <c r="K2302" s="4">
        <f t="shared" si="200"/>
        <v>0</v>
      </c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 spans="1:26" ht="15.75" customHeight="1" x14ac:dyDescent="0.2">
      <c r="A2303" s="1">
        <v>1121</v>
      </c>
      <c r="B2303" s="13" t="s">
        <v>1344</v>
      </c>
      <c r="C2303" s="14" t="s">
        <v>2183</v>
      </c>
      <c r="D2303" s="14" t="s">
        <v>605</v>
      </c>
      <c r="E2303" s="14" t="s">
        <v>314</v>
      </c>
      <c r="F2303" s="14" t="s">
        <v>2180</v>
      </c>
      <c r="G2303" s="14" t="s">
        <v>2163</v>
      </c>
      <c r="H2303" s="4">
        <v>11</v>
      </c>
      <c r="I2303" s="4">
        <f t="shared" ref="I2303:I2304" si="215">H2303*2300</f>
        <v>25300</v>
      </c>
      <c r="J2303" s="4"/>
      <c r="K2303" s="4">
        <f t="shared" si="200"/>
        <v>0</v>
      </c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 spans="1:26" ht="15.75" customHeight="1" x14ac:dyDescent="0.2">
      <c r="A2304" s="1">
        <v>1845</v>
      </c>
      <c r="B2304" s="13" t="s">
        <v>439</v>
      </c>
      <c r="C2304" s="14" t="s">
        <v>2183</v>
      </c>
      <c r="D2304" s="14" t="s">
        <v>605</v>
      </c>
      <c r="E2304" s="14" t="s">
        <v>314</v>
      </c>
      <c r="F2304" s="14" t="s">
        <v>2180</v>
      </c>
      <c r="G2304" s="14" t="s">
        <v>2163</v>
      </c>
      <c r="H2304" s="4"/>
      <c r="I2304" s="4">
        <f t="shared" si="215"/>
        <v>0</v>
      </c>
      <c r="J2304" s="4"/>
      <c r="K2304" s="4">
        <f t="shared" si="200"/>
        <v>0</v>
      </c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 spans="1:26" ht="15.75" customHeight="1" x14ac:dyDescent="0.2">
      <c r="A2305" s="1"/>
      <c r="B2305" s="2" t="s">
        <v>126</v>
      </c>
      <c r="C2305" s="3" t="s">
        <v>2183</v>
      </c>
      <c r="D2305" s="3" t="s">
        <v>513</v>
      </c>
      <c r="E2305" s="3" t="s">
        <v>314</v>
      </c>
      <c r="F2305" s="3" t="s">
        <v>2180</v>
      </c>
      <c r="G2305" s="3" t="s">
        <v>2163</v>
      </c>
      <c r="H2305" s="4"/>
      <c r="I2305" s="4">
        <f t="shared" ref="I2305:I2320" si="216">H2305*1800</f>
        <v>0</v>
      </c>
      <c r="J2305" s="4"/>
      <c r="K2305" s="4">
        <f t="shared" si="200"/>
        <v>0</v>
      </c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 spans="1:26" ht="15.75" customHeight="1" x14ac:dyDescent="0.2">
      <c r="A2306" s="1"/>
      <c r="B2306" s="2" t="s">
        <v>131</v>
      </c>
      <c r="C2306" s="3" t="s">
        <v>2183</v>
      </c>
      <c r="D2306" s="3" t="s">
        <v>513</v>
      </c>
      <c r="E2306" s="3" t="s">
        <v>314</v>
      </c>
      <c r="F2306" s="3" t="s">
        <v>2180</v>
      </c>
      <c r="G2306" s="3" t="s">
        <v>2163</v>
      </c>
      <c r="H2306" s="4"/>
      <c r="I2306" s="4">
        <f t="shared" si="216"/>
        <v>0</v>
      </c>
      <c r="J2306" s="4"/>
      <c r="K2306" s="4">
        <f t="shared" si="200"/>
        <v>0</v>
      </c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 spans="1:26" ht="15.75" customHeight="1" x14ac:dyDescent="0.2">
      <c r="A2307" s="1"/>
      <c r="B2307" s="2" t="s">
        <v>88</v>
      </c>
      <c r="C2307" s="3" t="s">
        <v>2183</v>
      </c>
      <c r="D2307" s="3" t="s">
        <v>513</v>
      </c>
      <c r="E2307" s="3" t="s">
        <v>314</v>
      </c>
      <c r="F2307" s="3" t="s">
        <v>2180</v>
      </c>
      <c r="G2307" s="3" t="s">
        <v>2163</v>
      </c>
      <c r="H2307" s="4"/>
      <c r="I2307" s="4">
        <f t="shared" si="216"/>
        <v>0</v>
      </c>
      <c r="J2307" s="4"/>
      <c r="K2307" s="4">
        <f t="shared" si="200"/>
        <v>0</v>
      </c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 spans="1:26" ht="15.75" customHeight="1" x14ac:dyDescent="0.2">
      <c r="A2308" s="1"/>
      <c r="B2308" s="2" t="s">
        <v>300</v>
      </c>
      <c r="C2308" s="3" t="s">
        <v>2183</v>
      </c>
      <c r="D2308" s="3" t="s">
        <v>350</v>
      </c>
      <c r="E2308" s="3" t="s">
        <v>314</v>
      </c>
      <c r="F2308" s="3" t="s">
        <v>2180</v>
      </c>
      <c r="G2308" s="3" t="s">
        <v>2163</v>
      </c>
      <c r="H2308" s="4"/>
      <c r="I2308" s="4">
        <f t="shared" si="216"/>
        <v>0</v>
      </c>
      <c r="J2308" s="4"/>
      <c r="K2308" s="4">
        <f t="shared" si="200"/>
        <v>0</v>
      </c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 spans="1:26" ht="15.75" customHeight="1" x14ac:dyDescent="0.2">
      <c r="A2309" s="1"/>
      <c r="B2309" s="2" t="s">
        <v>102</v>
      </c>
      <c r="C2309" s="3" t="s">
        <v>2183</v>
      </c>
      <c r="D2309" s="3" t="s">
        <v>350</v>
      </c>
      <c r="E2309" s="3" t="s">
        <v>314</v>
      </c>
      <c r="F2309" s="3" t="s">
        <v>2180</v>
      </c>
      <c r="G2309" s="3" t="s">
        <v>2163</v>
      </c>
      <c r="H2309" s="4"/>
      <c r="I2309" s="4">
        <f t="shared" si="216"/>
        <v>0</v>
      </c>
      <c r="J2309" s="4"/>
      <c r="K2309" s="4">
        <f t="shared" si="200"/>
        <v>0</v>
      </c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 spans="1:26" ht="15.75" customHeight="1" x14ac:dyDescent="0.2">
      <c r="A2310" s="1"/>
      <c r="B2310" s="2" t="s">
        <v>88</v>
      </c>
      <c r="C2310" s="3" t="s">
        <v>2183</v>
      </c>
      <c r="D2310" s="3" t="s">
        <v>350</v>
      </c>
      <c r="E2310" s="3" t="s">
        <v>314</v>
      </c>
      <c r="F2310" s="3" t="s">
        <v>2180</v>
      </c>
      <c r="G2310" s="3" t="s">
        <v>2163</v>
      </c>
      <c r="H2310" s="4"/>
      <c r="I2310" s="4">
        <f t="shared" si="216"/>
        <v>0</v>
      </c>
      <c r="J2310" s="4"/>
      <c r="K2310" s="4">
        <f t="shared" si="200"/>
        <v>0</v>
      </c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 spans="1:26" ht="15.75" customHeight="1" x14ac:dyDescent="0.2">
      <c r="A2311" s="1"/>
      <c r="B2311" s="2" t="s">
        <v>315</v>
      </c>
      <c r="C2311" s="3" t="s">
        <v>2184</v>
      </c>
      <c r="D2311" s="3" t="s">
        <v>600</v>
      </c>
      <c r="E2311" s="3" t="s">
        <v>105</v>
      </c>
      <c r="F2311" s="3" t="s">
        <v>2180</v>
      </c>
      <c r="G2311" s="3" t="s">
        <v>2163</v>
      </c>
      <c r="H2311" s="4"/>
      <c r="I2311" s="4">
        <f t="shared" si="216"/>
        <v>0</v>
      </c>
      <c r="J2311" s="4"/>
      <c r="K2311" s="4">
        <f t="shared" si="200"/>
        <v>0</v>
      </c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 spans="1:26" ht="15.75" customHeight="1" x14ac:dyDescent="0.2">
      <c r="A2312" s="1"/>
      <c r="B2312" s="2" t="s">
        <v>88</v>
      </c>
      <c r="C2312" s="3" t="s">
        <v>2184</v>
      </c>
      <c r="D2312" s="3" t="s">
        <v>600</v>
      </c>
      <c r="E2312" s="3" t="s">
        <v>105</v>
      </c>
      <c r="F2312" s="3" t="s">
        <v>2180</v>
      </c>
      <c r="G2312" s="3" t="s">
        <v>2163</v>
      </c>
      <c r="H2312" s="4"/>
      <c r="I2312" s="4">
        <f t="shared" si="216"/>
        <v>0</v>
      </c>
      <c r="J2312" s="4"/>
      <c r="K2312" s="4">
        <f t="shared" si="200"/>
        <v>0</v>
      </c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 spans="1:26" ht="15.75" customHeight="1" x14ac:dyDescent="0.2">
      <c r="A2313" s="1"/>
      <c r="B2313" s="2" t="s">
        <v>323</v>
      </c>
      <c r="C2313" s="3" t="s">
        <v>2185</v>
      </c>
      <c r="D2313" s="3" t="s">
        <v>58</v>
      </c>
      <c r="E2313" s="3" t="s">
        <v>397</v>
      </c>
      <c r="F2313" s="3" t="s">
        <v>2180</v>
      </c>
      <c r="G2313" s="3" t="s">
        <v>2163</v>
      </c>
      <c r="H2313" s="4"/>
      <c r="I2313" s="4">
        <f t="shared" si="216"/>
        <v>0</v>
      </c>
      <c r="J2313" s="4"/>
      <c r="K2313" s="4">
        <f t="shared" si="200"/>
        <v>0</v>
      </c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 spans="1:26" ht="15.75" customHeight="1" x14ac:dyDescent="0.2">
      <c r="A2314" s="1"/>
      <c r="B2314" s="2" t="s">
        <v>297</v>
      </c>
      <c r="C2314" s="3" t="s">
        <v>2185</v>
      </c>
      <c r="D2314" s="3" t="s">
        <v>58</v>
      </c>
      <c r="E2314" s="3" t="s">
        <v>397</v>
      </c>
      <c r="F2314" s="3" t="s">
        <v>2180</v>
      </c>
      <c r="G2314" s="3" t="s">
        <v>2163</v>
      </c>
      <c r="H2314" s="4"/>
      <c r="I2314" s="4">
        <f t="shared" si="216"/>
        <v>0</v>
      </c>
      <c r="J2314" s="4"/>
      <c r="K2314" s="4">
        <f t="shared" si="200"/>
        <v>0</v>
      </c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 spans="1:26" ht="15.75" customHeight="1" x14ac:dyDescent="0.2">
      <c r="A2315" s="1"/>
      <c r="B2315" s="2" t="s">
        <v>316</v>
      </c>
      <c r="C2315" s="3" t="s">
        <v>2186</v>
      </c>
      <c r="D2315" s="3" t="s">
        <v>90</v>
      </c>
      <c r="E2315" s="3" t="s">
        <v>1200</v>
      </c>
      <c r="F2315" s="3" t="s">
        <v>2180</v>
      </c>
      <c r="G2315" s="3" t="s">
        <v>2163</v>
      </c>
      <c r="H2315" s="4"/>
      <c r="I2315" s="4">
        <f t="shared" si="216"/>
        <v>0</v>
      </c>
      <c r="J2315" s="4"/>
      <c r="K2315" s="4">
        <f t="shared" si="200"/>
        <v>0</v>
      </c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 spans="1:26" ht="15.75" customHeight="1" x14ac:dyDescent="0.2">
      <c r="A2316" s="1"/>
      <c r="B2316" s="2" t="s">
        <v>102</v>
      </c>
      <c r="C2316" s="3" t="s">
        <v>2186</v>
      </c>
      <c r="D2316" s="3" t="s">
        <v>90</v>
      </c>
      <c r="E2316" s="3" t="s">
        <v>1200</v>
      </c>
      <c r="F2316" s="3" t="s">
        <v>2180</v>
      </c>
      <c r="G2316" s="3" t="s">
        <v>2163</v>
      </c>
      <c r="H2316" s="4"/>
      <c r="I2316" s="4">
        <f t="shared" si="216"/>
        <v>0</v>
      </c>
      <c r="J2316" s="4"/>
      <c r="K2316" s="4">
        <f t="shared" si="200"/>
        <v>0</v>
      </c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 spans="1:26" ht="15.75" customHeight="1" x14ac:dyDescent="0.2">
      <c r="A2317" s="1"/>
      <c r="B2317" s="2" t="s">
        <v>88</v>
      </c>
      <c r="C2317" s="3" t="s">
        <v>2186</v>
      </c>
      <c r="D2317" s="3" t="s">
        <v>90</v>
      </c>
      <c r="E2317" s="3" t="s">
        <v>1200</v>
      </c>
      <c r="F2317" s="3" t="s">
        <v>2180</v>
      </c>
      <c r="G2317" s="3" t="s">
        <v>2163</v>
      </c>
      <c r="H2317" s="4"/>
      <c r="I2317" s="4">
        <f t="shared" si="216"/>
        <v>0</v>
      </c>
      <c r="J2317" s="4"/>
      <c r="K2317" s="4">
        <f t="shared" si="200"/>
        <v>0</v>
      </c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 spans="1:26" ht="15.75" customHeight="1" x14ac:dyDescent="0.2">
      <c r="A2318" s="1"/>
      <c r="B2318" s="2" t="s">
        <v>102</v>
      </c>
      <c r="C2318" s="3" t="s">
        <v>2187</v>
      </c>
      <c r="D2318" s="3" t="s">
        <v>1171</v>
      </c>
      <c r="E2318" s="3" t="s">
        <v>357</v>
      </c>
      <c r="F2318" s="3" t="s">
        <v>2180</v>
      </c>
      <c r="G2318" s="3" t="s">
        <v>2163</v>
      </c>
      <c r="H2318" s="4"/>
      <c r="I2318" s="4">
        <f t="shared" si="216"/>
        <v>0</v>
      </c>
      <c r="J2318" s="4"/>
      <c r="K2318" s="4">
        <f t="shared" si="200"/>
        <v>0</v>
      </c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 spans="1:26" ht="15.75" customHeight="1" x14ac:dyDescent="0.2">
      <c r="A2319" s="1"/>
      <c r="B2319" s="2" t="s">
        <v>421</v>
      </c>
      <c r="C2319" s="3" t="s">
        <v>2187</v>
      </c>
      <c r="D2319" s="3" t="s">
        <v>1171</v>
      </c>
      <c r="E2319" s="3" t="s">
        <v>357</v>
      </c>
      <c r="F2319" s="3" t="s">
        <v>2180</v>
      </c>
      <c r="G2319" s="3" t="s">
        <v>2163</v>
      </c>
      <c r="H2319" s="4"/>
      <c r="I2319" s="4">
        <f t="shared" si="216"/>
        <v>0</v>
      </c>
      <c r="J2319" s="4"/>
      <c r="K2319" s="4">
        <f t="shared" si="200"/>
        <v>0</v>
      </c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 spans="1:26" ht="15.75" customHeight="1" x14ac:dyDescent="0.2">
      <c r="A2320" s="1"/>
      <c r="B2320" s="2" t="s">
        <v>108</v>
      </c>
      <c r="C2320" s="3" t="s">
        <v>2187</v>
      </c>
      <c r="D2320" s="3" t="s">
        <v>1171</v>
      </c>
      <c r="E2320" s="3" t="s">
        <v>357</v>
      </c>
      <c r="F2320" s="3" t="s">
        <v>2180</v>
      </c>
      <c r="G2320" s="3" t="s">
        <v>2163</v>
      </c>
      <c r="H2320" s="4"/>
      <c r="I2320" s="4">
        <f t="shared" si="216"/>
        <v>0</v>
      </c>
      <c r="J2320" s="4"/>
      <c r="K2320" s="4">
        <f t="shared" si="200"/>
        <v>0</v>
      </c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 spans="1:26" ht="15.75" customHeight="1" x14ac:dyDescent="0.2">
      <c r="A2321" s="1">
        <v>757</v>
      </c>
      <c r="B2321" s="13" t="s">
        <v>977</v>
      </c>
      <c r="C2321" s="14" t="s">
        <v>443</v>
      </c>
      <c r="D2321" s="14" t="s">
        <v>183</v>
      </c>
      <c r="E2321" s="14" t="s">
        <v>650</v>
      </c>
      <c r="F2321" s="14" t="s">
        <v>2180</v>
      </c>
      <c r="G2321" s="14" t="s">
        <v>2163</v>
      </c>
      <c r="H2321" s="4"/>
      <c r="I2321" s="4">
        <f>H2321*2300</f>
        <v>0</v>
      </c>
      <c r="J2321" s="4"/>
      <c r="K2321" s="4">
        <f t="shared" si="200"/>
        <v>0</v>
      </c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 spans="1:26" ht="15.75" customHeight="1" x14ac:dyDescent="0.2">
      <c r="A2322" s="1"/>
      <c r="B2322" s="2" t="s">
        <v>421</v>
      </c>
      <c r="C2322" s="3" t="s">
        <v>443</v>
      </c>
      <c r="D2322" s="3" t="s">
        <v>441</v>
      </c>
      <c r="E2322" s="3" t="s">
        <v>32</v>
      </c>
      <c r="F2322" s="3" t="s">
        <v>2180</v>
      </c>
      <c r="G2322" s="3" t="s">
        <v>2163</v>
      </c>
      <c r="H2322" s="4"/>
      <c r="I2322" s="4">
        <f t="shared" ref="I2322:I2333" si="217">H2322*1800</f>
        <v>0</v>
      </c>
      <c r="J2322" s="4"/>
      <c r="K2322" s="4">
        <f t="shared" si="200"/>
        <v>0</v>
      </c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 spans="1:26" ht="15.75" customHeight="1" x14ac:dyDescent="0.2">
      <c r="A2323" s="1"/>
      <c r="B2323" s="2" t="s">
        <v>307</v>
      </c>
      <c r="C2323" s="3" t="s">
        <v>443</v>
      </c>
      <c r="D2323" s="3" t="s">
        <v>441</v>
      </c>
      <c r="E2323" s="3" t="s">
        <v>32</v>
      </c>
      <c r="F2323" s="3" t="s">
        <v>2180</v>
      </c>
      <c r="G2323" s="3" t="s">
        <v>2163</v>
      </c>
      <c r="H2323" s="4"/>
      <c r="I2323" s="4">
        <f t="shared" si="217"/>
        <v>0</v>
      </c>
      <c r="J2323" s="4"/>
      <c r="K2323" s="4">
        <f t="shared" si="200"/>
        <v>0</v>
      </c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 spans="1:26" ht="15.75" customHeight="1" x14ac:dyDescent="0.2">
      <c r="A2324" s="1"/>
      <c r="B2324" s="2" t="s">
        <v>88</v>
      </c>
      <c r="C2324" s="3" t="s">
        <v>443</v>
      </c>
      <c r="D2324" s="3" t="s">
        <v>441</v>
      </c>
      <c r="E2324" s="3" t="s">
        <v>32</v>
      </c>
      <c r="F2324" s="3" t="s">
        <v>2180</v>
      </c>
      <c r="G2324" s="3" t="s">
        <v>2163</v>
      </c>
      <c r="H2324" s="4"/>
      <c r="I2324" s="4">
        <f t="shared" si="217"/>
        <v>0</v>
      </c>
      <c r="J2324" s="4"/>
      <c r="K2324" s="4">
        <f t="shared" si="200"/>
        <v>0</v>
      </c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 spans="1:26" ht="15.75" customHeight="1" x14ac:dyDescent="0.2">
      <c r="A2325" s="1"/>
      <c r="B2325" s="2" t="s">
        <v>297</v>
      </c>
      <c r="C2325" s="3" t="s">
        <v>2188</v>
      </c>
      <c r="D2325" s="3" t="s">
        <v>120</v>
      </c>
      <c r="E2325" s="3" t="s">
        <v>40</v>
      </c>
      <c r="F2325" s="3" t="s">
        <v>2180</v>
      </c>
      <c r="G2325" s="3" t="s">
        <v>2163</v>
      </c>
      <c r="H2325" s="4"/>
      <c r="I2325" s="4">
        <f t="shared" si="217"/>
        <v>0</v>
      </c>
      <c r="J2325" s="4"/>
      <c r="K2325" s="4">
        <f t="shared" si="200"/>
        <v>0</v>
      </c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 spans="1:26" ht="15.75" customHeight="1" x14ac:dyDescent="0.2">
      <c r="A2326" s="1"/>
      <c r="B2326" s="2" t="s">
        <v>300</v>
      </c>
      <c r="C2326" s="3" t="s">
        <v>2188</v>
      </c>
      <c r="D2326" s="3" t="s">
        <v>120</v>
      </c>
      <c r="E2326" s="3" t="s">
        <v>40</v>
      </c>
      <c r="F2326" s="3" t="s">
        <v>2180</v>
      </c>
      <c r="G2326" s="3" t="s">
        <v>2163</v>
      </c>
      <c r="H2326" s="4"/>
      <c r="I2326" s="4">
        <f t="shared" si="217"/>
        <v>0</v>
      </c>
      <c r="J2326" s="4"/>
      <c r="K2326" s="4">
        <f t="shared" si="200"/>
        <v>0</v>
      </c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 spans="1:26" ht="15.75" customHeight="1" x14ac:dyDescent="0.2">
      <c r="A2327" s="1"/>
      <c r="B2327" s="2" t="s">
        <v>88</v>
      </c>
      <c r="C2327" s="3" t="s">
        <v>2188</v>
      </c>
      <c r="D2327" s="3" t="s">
        <v>120</v>
      </c>
      <c r="E2327" s="3" t="s">
        <v>40</v>
      </c>
      <c r="F2327" s="3" t="s">
        <v>2180</v>
      </c>
      <c r="G2327" s="3" t="s">
        <v>2163</v>
      </c>
      <c r="H2327" s="4"/>
      <c r="I2327" s="4">
        <f t="shared" si="217"/>
        <v>0</v>
      </c>
      <c r="J2327" s="4"/>
      <c r="K2327" s="4">
        <f t="shared" si="200"/>
        <v>0</v>
      </c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 spans="1:26" ht="15.75" customHeight="1" x14ac:dyDescent="0.2">
      <c r="A2328" s="1"/>
      <c r="B2328" s="2" t="s">
        <v>315</v>
      </c>
      <c r="C2328" s="3" t="s">
        <v>2189</v>
      </c>
      <c r="D2328" s="3" t="s">
        <v>399</v>
      </c>
      <c r="E2328" s="3" t="s">
        <v>259</v>
      </c>
      <c r="F2328" s="3" t="s">
        <v>2180</v>
      </c>
      <c r="G2328" s="3" t="s">
        <v>2163</v>
      </c>
      <c r="H2328" s="4"/>
      <c r="I2328" s="4">
        <f t="shared" si="217"/>
        <v>0</v>
      </c>
      <c r="J2328" s="4"/>
      <c r="K2328" s="4">
        <f t="shared" si="200"/>
        <v>0</v>
      </c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 spans="1:26" ht="15.75" customHeight="1" x14ac:dyDescent="0.2">
      <c r="A2329" s="1"/>
      <c r="B2329" s="2" t="s">
        <v>316</v>
      </c>
      <c r="C2329" s="3" t="s">
        <v>2189</v>
      </c>
      <c r="D2329" s="3" t="s">
        <v>399</v>
      </c>
      <c r="E2329" s="3" t="s">
        <v>259</v>
      </c>
      <c r="F2329" s="3" t="s">
        <v>2180</v>
      </c>
      <c r="G2329" s="3" t="s">
        <v>2163</v>
      </c>
      <c r="H2329" s="4"/>
      <c r="I2329" s="4">
        <f t="shared" si="217"/>
        <v>0</v>
      </c>
      <c r="J2329" s="4"/>
      <c r="K2329" s="4">
        <f t="shared" si="200"/>
        <v>0</v>
      </c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 spans="1:26" ht="15.75" customHeight="1" x14ac:dyDescent="0.2">
      <c r="A2330" s="1"/>
      <c r="B2330" s="2" t="s">
        <v>88</v>
      </c>
      <c r="C2330" s="3" t="s">
        <v>2189</v>
      </c>
      <c r="D2330" s="3" t="s">
        <v>399</v>
      </c>
      <c r="E2330" s="3" t="s">
        <v>259</v>
      </c>
      <c r="F2330" s="3" t="s">
        <v>2180</v>
      </c>
      <c r="G2330" s="3" t="s">
        <v>2163</v>
      </c>
      <c r="H2330" s="4"/>
      <c r="I2330" s="4">
        <f t="shared" si="217"/>
        <v>0</v>
      </c>
      <c r="J2330" s="4"/>
      <c r="K2330" s="4">
        <f t="shared" si="200"/>
        <v>0</v>
      </c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 spans="1:26" ht="15.75" customHeight="1" x14ac:dyDescent="0.2">
      <c r="A2331" s="1"/>
      <c r="B2331" s="2" t="s">
        <v>118</v>
      </c>
      <c r="C2331" s="3" t="s">
        <v>274</v>
      </c>
      <c r="D2331" s="3" t="s">
        <v>309</v>
      </c>
      <c r="E2331" s="3" t="s">
        <v>79</v>
      </c>
      <c r="F2331" s="3" t="s">
        <v>2180</v>
      </c>
      <c r="G2331" s="3" t="s">
        <v>2163</v>
      </c>
      <c r="H2331" s="4"/>
      <c r="I2331" s="4">
        <f t="shared" si="217"/>
        <v>0</v>
      </c>
      <c r="J2331" s="4"/>
      <c r="K2331" s="4">
        <f t="shared" si="200"/>
        <v>0</v>
      </c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 spans="1:26" ht="15.75" customHeight="1" x14ac:dyDescent="0.2">
      <c r="A2332" s="1"/>
      <c r="B2332" s="2" t="s">
        <v>121</v>
      </c>
      <c r="C2332" s="3" t="s">
        <v>274</v>
      </c>
      <c r="D2332" s="3" t="s">
        <v>309</v>
      </c>
      <c r="E2332" s="3" t="s">
        <v>79</v>
      </c>
      <c r="F2332" s="3" t="s">
        <v>2180</v>
      </c>
      <c r="G2332" s="3" t="s">
        <v>2163</v>
      </c>
      <c r="H2332" s="4"/>
      <c r="I2332" s="4">
        <f t="shared" si="217"/>
        <v>0</v>
      </c>
      <c r="J2332" s="4"/>
      <c r="K2332" s="4">
        <f t="shared" si="200"/>
        <v>0</v>
      </c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 spans="1:26" ht="15.75" customHeight="1" x14ac:dyDescent="0.2">
      <c r="A2333" s="1"/>
      <c r="B2333" s="2" t="s">
        <v>88</v>
      </c>
      <c r="C2333" s="3" t="s">
        <v>274</v>
      </c>
      <c r="D2333" s="3" t="s">
        <v>309</v>
      </c>
      <c r="E2333" s="3" t="s">
        <v>79</v>
      </c>
      <c r="F2333" s="3" t="s">
        <v>2180</v>
      </c>
      <c r="G2333" s="3" t="s">
        <v>2163</v>
      </c>
      <c r="H2333" s="4"/>
      <c r="I2333" s="4">
        <f t="shared" si="217"/>
        <v>0</v>
      </c>
      <c r="J2333" s="4"/>
      <c r="K2333" s="4">
        <f t="shared" si="200"/>
        <v>0</v>
      </c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 spans="1:26" ht="15.75" customHeight="1" x14ac:dyDescent="0.2">
      <c r="A2334" s="1">
        <v>1057</v>
      </c>
      <c r="B2334" s="13" t="s">
        <v>464</v>
      </c>
      <c r="C2334" s="14" t="s">
        <v>2190</v>
      </c>
      <c r="D2334" s="14" t="s">
        <v>992</v>
      </c>
      <c r="E2334" s="14" t="s">
        <v>424</v>
      </c>
      <c r="F2334" s="14" t="s">
        <v>2180</v>
      </c>
      <c r="G2334" s="14" t="s">
        <v>2163</v>
      </c>
      <c r="H2334" s="4"/>
      <c r="I2334" s="4">
        <f t="shared" ref="I2334:I2338" si="218">H2334*2300</f>
        <v>0</v>
      </c>
      <c r="J2334" s="4"/>
      <c r="K2334" s="4">
        <f t="shared" si="200"/>
        <v>0</v>
      </c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 spans="1:26" ht="15.75" customHeight="1" x14ac:dyDescent="0.2">
      <c r="A2335" s="1">
        <v>1749</v>
      </c>
      <c r="B2335" s="13" t="s">
        <v>465</v>
      </c>
      <c r="C2335" s="14" t="s">
        <v>2190</v>
      </c>
      <c r="D2335" s="14" t="s">
        <v>992</v>
      </c>
      <c r="E2335" s="14" t="s">
        <v>424</v>
      </c>
      <c r="F2335" s="14" t="s">
        <v>2180</v>
      </c>
      <c r="G2335" s="14" t="s">
        <v>2163</v>
      </c>
      <c r="H2335" s="4"/>
      <c r="I2335" s="4">
        <f t="shared" si="218"/>
        <v>0</v>
      </c>
      <c r="J2335" s="4"/>
      <c r="K2335" s="4">
        <f t="shared" si="200"/>
        <v>0</v>
      </c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 spans="1:26" ht="15.75" customHeight="1" x14ac:dyDescent="0.2">
      <c r="A2336" s="1">
        <v>2091</v>
      </c>
      <c r="B2336" s="13" t="s">
        <v>653</v>
      </c>
      <c r="C2336" s="14" t="s">
        <v>2190</v>
      </c>
      <c r="D2336" s="14" t="s">
        <v>992</v>
      </c>
      <c r="E2336" s="14" t="s">
        <v>424</v>
      </c>
      <c r="F2336" s="14" t="s">
        <v>2180</v>
      </c>
      <c r="G2336" s="14" t="s">
        <v>2163</v>
      </c>
      <c r="H2336" s="4"/>
      <c r="I2336" s="4">
        <f t="shared" si="218"/>
        <v>0</v>
      </c>
      <c r="J2336" s="4"/>
      <c r="K2336" s="4">
        <f t="shared" si="200"/>
        <v>0</v>
      </c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 spans="1:26" ht="15.75" customHeight="1" x14ac:dyDescent="0.2">
      <c r="A2337" s="1">
        <v>383</v>
      </c>
      <c r="B2337" s="13" t="s">
        <v>246</v>
      </c>
      <c r="C2337" s="14" t="s">
        <v>2191</v>
      </c>
      <c r="D2337" s="14" t="s">
        <v>491</v>
      </c>
      <c r="E2337" s="14" t="s">
        <v>87</v>
      </c>
      <c r="F2337" s="14" t="s">
        <v>2192</v>
      </c>
      <c r="G2337" s="14" t="s">
        <v>2193</v>
      </c>
      <c r="H2337" s="4">
        <v>38</v>
      </c>
      <c r="I2337" s="4">
        <f t="shared" si="218"/>
        <v>87400</v>
      </c>
      <c r="J2337" s="4"/>
      <c r="K2337" s="4">
        <f t="shared" si="200"/>
        <v>0</v>
      </c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 spans="1:26" ht="15.75" customHeight="1" x14ac:dyDescent="0.2">
      <c r="A2338" s="1">
        <v>2151</v>
      </c>
      <c r="B2338" s="13" t="s">
        <v>281</v>
      </c>
      <c r="C2338" s="14" t="s">
        <v>2191</v>
      </c>
      <c r="D2338" s="14" t="s">
        <v>491</v>
      </c>
      <c r="E2338" s="14" t="s">
        <v>87</v>
      </c>
      <c r="F2338" s="14" t="s">
        <v>2192</v>
      </c>
      <c r="G2338" s="14" t="s">
        <v>2193</v>
      </c>
      <c r="H2338" s="4"/>
      <c r="I2338" s="4">
        <f t="shared" si="218"/>
        <v>0</v>
      </c>
      <c r="J2338" s="4"/>
      <c r="K2338" s="4">
        <f t="shared" si="200"/>
        <v>0</v>
      </c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 spans="1:26" ht="15.75" customHeight="1" x14ac:dyDescent="0.2">
      <c r="A2339" s="1"/>
      <c r="B2339" s="2" t="s">
        <v>126</v>
      </c>
      <c r="C2339" s="3" t="s">
        <v>2194</v>
      </c>
      <c r="D2339" s="3" t="s">
        <v>272</v>
      </c>
      <c r="E2339" s="3" t="s">
        <v>79</v>
      </c>
      <c r="F2339" s="3" t="s">
        <v>2192</v>
      </c>
      <c r="G2339" s="3" t="s">
        <v>2193</v>
      </c>
      <c r="H2339" s="4"/>
      <c r="I2339" s="4">
        <f t="shared" ref="I2339:I2342" si="219">H2339*1800</f>
        <v>0</v>
      </c>
      <c r="J2339" s="4"/>
      <c r="K2339" s="4">
        <f t="shared" si="200"/>
        <v>0</v>
      </c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 spans="1:26" ht="15.75" customHeight="1" x14ac:dyDescent="0.2">
      <c r="A2340" s="1"/>
      <c r="B2340" s="2" t="s">
        <v>94</v>
      </c>
      <c r="C2340" s="3" t="s">
        <v>2194</v>
      </c>
      <c r="D2340" s="3" t="s">
        <v>272</v>
      </c>
      <c r="E2340" s="3" t="s">
        <v>79</v>
      </c>
      <c r="F2340" s="3" t="s">
        <v>2192</v>
      </c>
      <c r="G2340" s="3" t="s">
        <v>2193</v>
      </c>
      <c r="H2340" s="4"/>
      <c r="I2340" s="4">
        <f t="shared" si="219"/>
        <v>0</v>
      </c>
      <c r="J2340" s="4"/>
      <c r="K2340" s="4">
        <f t="shared" si="200"/>
        <v>0</v>
      </c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 spans="1:26" ht="15.75" customHeight="1" x14ac:dyDescent="0.2">
      <c r="A2341" s="1"/>
      <c r="B2341" s="2" t="s">
        <v>126</v>
      </c>
      <c r="C2341" s="3" t="s">
        <v>2195</v>
      </c>
      <c r="D2341" s="3" t="s">
        <v>73</v>
      </c>
      <c r="E2341" s="3" t="s">
        <v>326</v>
      </c>
      <c r="F2341" s="3" t="s">
        <v>2192</v>
      </c>
      <c r="G2341" s="3" t="s">
        <v>2193</v>
      </c>
      <c r="H2341" s="4"/>
      <c r="I2341" s="4">
        <f t="shared" si="219"/>
        <v>0</v>
      </c>
      <c r="J2341" s="4"/>
      <c r="K2341" s="4">
        <f t="shared" si="200"/>
        <v>0</v>
      </c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 spans="1:26" ht="15.75" customHeight="1" x14ac:dyDescent="0.2">
      <c r="A2342" s="1"/>
      <c r="B2342" s="2" t="s">
        <v>94</v>
      </c>
      <c r="C2342" s="3" t="s">
        <v>2195</v>
      </c>
      <c r="D2342" s="3" t="s">
        <v>73</v>
      </c>
      <c r="E2342" s="3" t="s">
        <v>326</v>
      </c>
      <c r="F2342" s="3" t="s">
        <v>2192</v>
      </c>
      <c r="G2342" s="3" t="s">
        <v>2193</v>
      </c>
      <c r="H2342" s="4"/>
      <c r="I2342" s="4">
        <f t="shared" si="219"/>
        <v>0</v>
      </c>
      <c r="J2342" s="4"/>
      <c r="K2342" s="4">
        <f t="shared" si="200"/>
        <v>0</v>
      </c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 spans="1:26" ht="15.75" customHeight="1" x14ac:dyDescent="0.2">
      <c r="A2343" s="1">
        <v>275</v>
      </c>
      <c r="B2343" s="13" t="s">
        <v>896</v>
      </c>
      <c r="C2343" s="14" t="s">
        <v>2196</v>
      </c>
      <c r="D2343" s="14" t="s">
        <v>21</v>
      </c>
      <c r="E2343" s="14" t="s">
        <v>306</v>
      </c>
      <c r="F2343" s="14" t="s">
        <v>2197</v>
      </c>
      <c r="G2343" s="14" t="s">
        <v>2193</v>
      </c>
      <c r="H2343" s="4"/>
      <c r="I2343" s="4">
        <f t="shared" ref="I2343:I2349" si="220">H2343*2300</f>
        <v>0</v>
      </c>
      <c r="J2343" s="4"/>
      <c r="K2343" s="4">
        <f t="shared" si="200"/>
        <v>0</v>
      </c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 spans="1:26" ht="15.75" customHeight="1" x14ac:dyDescent="0.2">
      <c r="A2344" s="1">
        <v>853</v>
      </c>
      <c r="B2344" s="13" t="s">
        <v>975</v>
      </c>
      <c r="C2344" s="14" t="s">
        <v>2198</v>
      </c>
      <c r="D2344" s="14" t="s">
        <v>534</v>
      </c>
      <c r="E2344" s="14" t="s">
        <v>1566</v>
      </c>
      <c r="F2344" s="14" t="s">
        <v>2199</v>
      </c>
      <c r="G2344" s="14" t="s">
        <v>2193</v>
      </c>
      <c r="H2344" s="4"/>
      <c r="I2344" s="4">
        <f t="shared" si="220"/>
        <v>0</v>
      </c>
      <c r="J2344" s="4"/>
      <c r="K2344" s="4">
        <f t="shared" si="200"/>
        <v>0</v>
      </c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 spans="1:26" ht="15.75" customHeight="1" x14ac:dyDescent="0.2">
      <c r="A2345" s="1">
        <v>855</v>
      </c>
      <c r="B2345" s="13" t="s">
        <v>975</v>
      </c>
      <c r="C2345" s="14" t="s">
        <v>833</v>
      </c>
      <c r="D2345" s="14" t="s">
        <v>1497</v>
      </c>
      <c r="E2345" s="14" t="s">
        <v>259</v>
      </c>
      <c r="F2345" s="14" t="s">
        <v>2199</v>
      </c>
      <c r="G2345" s="14" t="s">
        <v>2193</v>
      </c>
      <c r="H2345" s="4"/>
      <c r="I2345" s="4">
        <f t="shared" si="220"/>
        <v>0</v>
      </c>
      <c r="J2345" s="4"/>
      <c r="K2345" s="4">
        <f t="shared" si="200"/>
        <v>0</v>
      </c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 spans="1:26" ht="15.75" customHeight="1" x14ac:dyDescent="0.2">
      <c r="A2346" s="1">
        <v>2471</v>
      </c>
      <c r="B2346" s="13" t="s">
        <v>16</v>
      </c>
      <c r="C2346" s="14" t="s">
        <v>2198</v>
      </c>
      <c r="D2346" s="14" t="s">
        <v>534</v>
      </c>
      <c r="E2346" s="14" t="s">
        <v>1566</v>
      </c>
      <c r="F2346" s="14" t="s">
        <v>2199</v>
      </c>
      <c r="G2346" s="14" t="s">
        <v>2193</v>
      </c>
      <c r="H2346" s="4"/>
      <c r="I2346" s="4">
        <f t="shared" si="220"/>
        <v>0</v>
      </c>
      <c r="J2346" s="4"/>
      <c r="K2346" s="4">
        <f t="shared" si="200"/>
        <v>0</v>
      </c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 spans="1:26" ht="15.75" customHeight="1" x14ac:dyDescent="0.2">
      <c r="A2347" s="1">
        <v>2473</v>
      </c>
      <c r="B2347" s="13" t="s">
        <v>16</v>
      </c>
      <c r="C2347" s="14" t="s">
        <v>833</v>
      </c>
      <c r="D2347" s="14" t="s">
        <v>1497</v>
      </c>
      <c r="E2347" s="14" t="s">
        <v>259</v>
      </c>
      <c r="F2347" s="14" t="s">
        <v>2199</v>
      </c>
      <c r="G2347" s="14" t="s">
        <v>2193</v>
      </c>
      <c r="H2347" s="4"/>
      <c r="I2347" s="4">
        <f t="shared" si="220"/>
        <v>0</v>
      </c>
      <c r="J2347" s="4"/>
      <c r="K2347" s="4">
        <f t="shared" si="200"/>
        <v>0</v>
      </c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 spans="1:26" ht="15.75" customHeight="1" x14ac:dyDescent="0.2">
      <c r="A2348" s="1">
        <v>837</v>
      </c>
      <c r="B2348" s="13" t="s">
        <v>971</v>
      </c>
      <c r="C2348" s="14" t="s">
        <v>2200</v>
      </c>
      <c r="D2348" s="14" t="s">
        <v>31</v>
      </c>
      <c r="E2348" s="14" t="s">
        <v>1212</v>
      </c>
      <c r="F2348" s="14" t="s">
        <v>2201</v>
      </c>
      <c r="G2348" s="14" t="s">
        <v>2193</v>
      </c>
      <c r="H2348" s="4"/>
      <c r="I2348" s="4">
        <f t="shared" si="220"/>
        <v>0</v>
      </c>
      <c r="J2348" s="4"/>
      <c r="K2348" s="4">
        <f t="shared" si="200"/>
        <v>0</v>
      </c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 spans="1:26" ht="15.75" customHeight="1" x14ac:dyDescent="0.2">
      <c r="A2349" s="1">
        <v>839</v>
      </c>
      <c r="B2349" s="13" t="s">
        <v>971</v>
      </c>
      <c r="C2349" s="14" t="s">
        <v>700</v>
      </c>
      <c r="D2349" s="14" t="s">
        <v>78</v>
      </c>
      <c r="E2349" s="14" t="s">
        <v>32</v>
      </c>
      <c r="F2349" s="14" t="s">
        <v>2201</v>
      </c>
      <c r="G2349" s="14" t="s">
        <v>2193</v>
      </c>
      <c r="H2349" s="4"/>
      <c r="I2349" s="4">
        <f t="shared" si="220"/>
        <v>0</v>
      </c>
      <c r="J2349" s="4"/>
      <c r="K2349" s="4">
        <f t="shared" si="200"/>
        <v>0</v>
      </c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 spans="1:26" ht="15.75" customHeight="1" x14ac:dyDescent="0.2">
      <c r="A2350" s="1"/>
      <c r="B2350" s="2" t="s">
        <v>45</v>
      </c>
      <c r="C2350" s="3" t="s">
        <v>655</v>
      </c>
      <c r="D2350" s="3" t="s">
        <v>1171</v>
      </c>
      <c r="E2350" s="3" t="s">
        <v>259</v>
      </c>
      <c r="F2350" s="3" t="s">
        <v>2201</v>
      </c>
      <c r="G2350" s="3" t="s">
        <v>2193</v>
      </c>
      <c r="H2350" s="4">
        <v>38</v>
      </c>
      <c r="I2350" s="4">
        <f>H2350*1800</f>
        <v>68400</v>
      </c>
      <c r="J2350" s="4"/>
      <c r="K2350" s="4">
        <f t="shared" si="200"/>
        <v>0</v>
      </c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 spans="1:26" ht="15.75" customHeight="1" x14ac:dyDescent="0.2">
      <c r="A2351" s="1">
        <v>1531</v>
      </c>
      <c r="B2351" s="13" t="s">
        <v>263</v>
      </c>
      <c r="C2351" s="14" t="s">
        <v>2202</v>
      </c>
      <c r="D2351" s="14" t="s">
        <v>513</v>
      </c>
      <c r="E2351" s="14" t="s">
        <v>18</v>
      </c>
      <c r="F2351" s="14" t="s">
        <v>2203</v>
      </c>
      <c r="G2351" s="14" t="s">
        <v>2193</v>
      </c>
      <c r="H2351" s="4"/>
      <c r="I2351" s="4">
        <f>H2351*2300</f>
        <v>0</v>
      </c>
      <c r="J2351" s="4"/>
      <c r="K2351" s="4">
        <f t="shared" si="200"/>
        <v>0</v>
      </c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 spans="1:26" ht="15.75" customHeight="1" x14ac:dyDescent="0.2">
      <c r="A2352" s="1"/>
      <c r="B2352" s="2" t="s">
        <v>102</v>
      </c>
      <c r="C2352" s="3" t="s">
        <v>2204</v>
      </c>
      <c r="D2352" s="3" t="s">
        <v>58</v>
      </c>
      <c r="E2352" s="3" t="s">
        <v>40</v>
      </c>
      <c r="F2352" s="3" t="s">
        <v>2203</v>
      </c>
      <c r="G2352" s="3" t="s">
        <v>2193</v>
      </c>
      <c r="H2352" s="4"/>
      <c r="I2352" s="4">
        <f t="shared" ref="I2352:I2355" si="221">H2352*1800</f>
        <v>0</v>
      </c>
      <c r="J2352" s="4"/>
      <c r="K2352" s="4">
        <f t="shared" si="200"/>
        <v>0</v>
      </c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 spans="1:26" ht="15.75" customHeight="1" x14ac:dyDescent="0.2">
      <c r="A2353" s="1"/>
      <c r="B2353" s="2" t="s">
        <v>297</v>
      </c>
      <c r="C2353" s="3" t="s">
        <v>2205</v>
      </c>
      <c r="D2353" s="3" t="s">
        <v>1401</v>
      </c>
      <c r="E2353" s="3" t="s">
        <v>326</v>
      </c>
      <c r="F2353" s="3" t="s">
        <v>2203</v>
      </c>
      <c r="G2353" s="3" t="s">
        <v>2193</v>
      </c>
      <c r="H2353" s="4"/>
      <c r="I2353" s="4">
        <f t="shared" si="221"/>
        <v>0</v>
      </c>
      <c r="J2353" s="4"/>
      <c r="K2353" s="4">
        <f t="shared" si="200"/>
        <v>0</v>
      </c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 spans="1:26" ht="15.75" customHeight="1" x14ac:dyDescent="0.2">
      <c r="A2354" s="1"/>
      <c r="B2354" s="2" t="s">
        <v>315</v>
      </c>
      <c r="C2354" s="3" t="s">
        <v>2206</v>
      </c>
      <c r="D2354" s="3" t="s">
        <v>474</v>
      </c>
      <c r="E2354" s="3" t="s">
        <v>319</v>
      </c>
      <c r="F2354" s="3" t="s">
        <v>2203</v>
      </c>
      <c r="G2354" s="3" t="s">
        <v>2193</v>
      </c>
      <c r="H2354" s="4"/>
      <c r="I2354" s="4">
        <f t="shared" si="221"/>
        <v>0</v>
      </c>
      <c r="J2354" s="4"/>
      <c r="K2354" s="4">
        <f t="shared" si="200"/>
        <v>0</v>
      </c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 spans="1:26" ht="15.75" customHeight="1" x14ac:dyDescent="0.2">
      <c r="A2355" s="1"/>
      <c r="B2355" s="2" t="s">
        <v>315</v>
      </c>
      <c r="C2355" s="3" t="s">
        <v>878</v>
      </c>
      <c r="D2355" s="3" t="s">
        <v>557</v>
      </c>
      <c r="E2355" s="3" t="s">
        <v>32</v>
      </c>
      <c r="F2355" s="3" t="s">
        <v>2203</v>
      </c>
      <c r="G2355" s="3" t="s">
        <v>2193</v>
      </c>
      <c r="H2355" s="4"/>
      <c r="I2355" s="4">
        <f t="shared" si="221"/>
        <v>0</v>
      </c>
      <c r="J2355" s="4"/>
      <c r="K2355" s="4">
        <f t="shared" si="200"/>
        <v>0</v>
      </c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 spans="1:26" ht="15.75" customHeight="1" x14ac:dyDescent="0.2">
      <c r="A2356" s="1">
        <v>833</v>
      </c>
      <c r="B2356" s="13" t="s">
        <v>971</v>
      </c>
      <c r="C2356" s="14" t="s">
        <v>2207</v>
      </c>
      <c r="D2356" s="14" t="s">
        <v>39</v>
      </c>
      <c r="E2356" s="14" t="s">
        <v>306</v>
      </c>
      <c r="F2356" s="14" t="s">
        <v>2208</v>
      </c>
      <c r="G2356" s="14" t="s">
        <v>2193</v>
      </c>
      <c r="H2356" s="4"/>
      <c r="I2356" s="4">
        <f t="shared" ref="I2356:I2360" si="222">H2356*2300</f>
        <v>0</v>
      </c>
      <c r="J2356" s="4"/>
      <c r="K2356" s="4">
        <f t="shared" si="200"/>
        <v>0</v>
      </c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 spans="1:26" ht="15.75" customHeight="1" x14ac:dyDescent="0.2">
      <c r="A2357" s="1">
        <v>847</v>
      </c>
      <c r="B2357" s="13" t="s">
        <v>980</v>
      </c>
      <c r="C2357" s="14" t="s">
        <v>2209</v>
      </c>
      <c r="D2357" s="14" t="s">
        <v>388</v>
      </c>
      <c r="E2357" s="14" t="s">
        <v>259</v>
      </c>
      <c r="F2357" s="14" t="s">
        <v>2208</v>
      </c>
      <c r="G2357" s="14" t="s">
        <v>2193</v>
      </c>
      <c r="H2357" s="4"/>
      <c r="I2357" s="4">
        <f t="shared" si="222"/>
        <v>0</v>
      </c>
      <c r="J2357" s="4"/>
      <c r="K2357" s="4">
        <f t="shared" si="200"/>
        <v>0</v>
      </c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 spans="1:26" ht="15.75" customHeight="1" x14ac:dyDescent="0.2">
      <c r="A2358" s="1">
        <v>857</v>
      </c>
      <c r="B2358" s="13" t="s">
        <v>975</v>
      </c>
      <c r="C2358" s="14" t="s">
        <v>2210</v>
      </c>
      <c r="D2358" s="14" t="s">
        <v>593</v>
      </c>
      <c r="E2358" s="14" t="s">
        <v>530</v>
      </c>
      <c r="F2358" s="14" t="s">
        <v>2208</v>
      </c>
      <c r="G2358" s="14" t="s">
        <v>2193</v>
      </c>
      <c r="H2358" s="4"/>
      <c r="I2358" s="4">
        <f t="shared" si="222"/>
        <v>0</v>
      </c>
      <c r="J2358" s="4"/>
      <c r="K2358" s="4">
        <f t="shared" si="200"/>
        <v>0</v>
      </c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 spans="1:26" ht="15.75" customHeight="1" x14ac:dyDescent="0.2">
      <c r="A2359" s="1">
        <v>2387</v>
      </c>
      <c r="B2359" s="13" t="s">
        <v>150</v>
      </c>
      <c r="C2359" s="14" t="s">
        <v>2209</v>
      </c>
      <c r="D2359" s="14" t="s">
        <v>388</v>
      </c>
      <c r="E2359" s="14" t="s">
        <v>259</v>
      </c>
      <c r="F2359" s="14" t="s">
        <v>2208</v>
      </c>
      <c r="G2359" s="14" t="s">
        <v>2193</v>
      </c>
      <c r="H2359" s="4"/>
      <c r="I2359" s="4">
        <f t="shared" si="222"/>
        <v>0</v>
      </c>
      <c r="J2359" s="4"/>
      <c r="K2359" s="4">
        <f t="shared" si="200"/>
        <v>0</v>
      </c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 spans="1:26" ht="15.75" customHeight="1" x14ac:dyDescent="0.2">
      <c r="A2360" s="1">
        <v>2401</v>
      </c>
      <c r="B2360" s="13" t="s">
        <v>154</v>
      </c>
      <c r="C2360" s="14" t="s">
        <v>2207</v>
      </c>
      <c r="D2360" s="14" t="s">
        <v>39</v>
      </c>
      <c r="E2360" s="14" t="s">
        <v>306</v>
      </c>
      <c r="F2360" s="14" t="s">
        <v>2208</v>
      </c>
      <c r="G2360" s="14" t="s">
        <v>2193</v>
      </c>
      <c r="H2360" s="4"/>
      <c r="I2360" s="4">
        <f t="shared" si="222"/>
        <v>0</v>
      </c>
      <c r="J2360" s="4"/>
      <c r="K2360" s="4">
        <f t="shared" si="200"/>
        <v>0</v>
      </c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 spans="1:26" ht="15.75" customHeight="1" x14ac:dyDescent="0.2">
      <c r="A2361" s="1"/>
      <c r="B2361" s="2" t="s">
        <v>33</v>
      </c>
      <c r="C2361" s="3" t="s">
        <v>2211</v>
      </c>
      <c r="D2361" s="3" t="s">
        <v>339</v>
      </c>
      <c r="E2361" s="3" t="s">
        <v>40</v>
      </c>
      <c r="F2361" s="3" t="s">
        <v>2208</v>
      </c>
      <c r="G2361" s="3" t="s">
        <v>2193</v>
      </c>
      <c r="H2361" s="4"/>
      <c r="I2361" s="4">
        <f t="shared" ref="I2361:I2367" si="223">H2361*1800</f>
        <v>0</v>
      </c>
      <c r="J2361" s="4"/>
      <c r="K2361" s="4">
        <f t="shared" si="200"/>
        <v>0</v>
      </c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 spans="1:26" ht="15.75" customHeight="1" x14ac:dyDescent="0.2">
      <c r="A2362" s="1"/>
      <c r="B2362" s="2" t="s">
        <v>45</v>
      </c>
      <c r="C2362" s="3" t="s">
        <v>2211</v>
      </c>
      <c r="D2362" s="3" t="s">
        <v>339</v>
      </c>
      <c r="E2362" s="3" t="s">
        <v>40</v>
      </c>
      <c r="F2362" s="3" t="s">
        <v>2208</v>
      </c>
      <c r="G2362" s="3" t="s">
        <v>2193</v>
      </c>
      <c r="H2362" s="4"/>
      <c r="I2362" s="4">
        <f t="shared" si="223"/>
        <v>0</v>
      </c>
      <c r="J2362" s="4"/>
      <c r="K2362" s="4">
        <f t="shared" si="200"/>
        <v>0</v>
      </c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 spans="1:26" ht="15.75" customHeight="1" x14ac:dyDescent="0.2">
      <c r="A2363" s="1"/>
      <c r="B2363" s="2" t="s">
        <v>84</v>
      </c>
      <c r="C2363" s="3" t="s">
        <v>2212</v>
      </c>
      <c r="D2363" s="3" t="s">
        <v>345</v>
      </c>
      <c r="E2363" s="3" t="s">
        <v>259</v>
      </c>
      <c r="F2363" s="3" t="s">
        <v>2208</v>
      </c>
      <c r="G2363" s="3" t="s">
        <v>2193</v>
      </c>
      <c r="H2363" s="4"/>
      <c r="I2363" s="4">
        <f t="shared" si="223"/>
        <v>0</v>
      </c>
      <c r="J2363" s="4"/>
      <c r="K2363" s="4">
        <f t="shared" si="200"/>
        <v>0</v>
      </c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 spans="1:26" ht="15.75" customHeight="1" x14ac:dyDescent="0.2">
      <c r="A2364" s="1"/>
      <c r="B2364" s="2" t="s">
        <v>45</v>
      </c>
      <c r="C2364" s="3" t="s">
        <v>2212</v>
      </c>
      <c r="D2364" s="3" t="s">
        <v>345</v>
      </c>
      <c r="E2364" s="3" t="s">
        <v>259</v>
      </c>
      <c r="F2364" s="3" t="s">
        <v>2208</v>
      </c>
      <c r="G2364" s="3" t="s">
        <v>2193</v>
      </c>
      <c r="H2364" s="4"/>
      <c r="I2364" s="4">
        <f t="shared" si="223"/>
        <v>0</v>
      </c>
      <c r="J2364" s="4"/>
      <c r="K2364" s="4">
        <f t="shared" si="200"/>
        <v>0</v>
      </c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 spans="1:26" ht="15.75" customHeight="1" x14ac:dyDescent="0.2">
      <c r="A2365" s="1"/>
      <c r="B2365" s="2" t="s">
        <v>41</v>
      </c>
      <c r="C2365" s="3" t="s">
        <v>2213</v>
      </c>
      <c r="D2365" s="3" t="s">
        <v>58</v>
      </c>
      <c r="E2365" s="3" t="s">
        <v>79</v>
      </c>
      <c r="F2365" s="3" t="s">
        <v>2208</v>
      </c>
      <c r="G2365" s="3" t="s">
        <v>2193</v>
      </c>
      <c r="H2365" s="4"/>
      <c r="I2365" s="4">
        <f t="shared" si="223"/>
        <v>0</v>
      </c>
      <c r="J2365" s="4"/>
      <c r="K2365" s="4">
        <f t="shared" si="200"/>
        <v>0</v>
      </c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 spans="1:26" ht="15.75" customHeight="1" x14ac:dyDescent="0.2">
      <c r="A2366" s="1"/>
      <c r="B2366" s="2" t="s">
        <v>45</v>
      </c>
      <c r="C2366" s="3" t="s">
        <v>2213</v>
      </c>
      <c r="D2366" s="3" t="s">
        <v>58</v>
      </c>
      <c r="E2366" s="3" t="s">
        <v>79</v>
      </c>
      <c r="F2366" s="3" t="s">
        <v>2208</v>
      </c>
      <c r="G2366" s="3" t="s">
        <v>2193</v>
      </c>
      <c r="H2366" s="4"/>
      <c r="I2366" s="4">
        <f t="shared" si="223"/>
        <v>0</v>
      </c>
      <c r="J2366" s="4"/>
      <c r="K2366" s="4">
        <f t="shared" si="200"/>
        <v>0</v>
      </c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 spans="1:26" ht="15.75" customHeight="1" x14ac:dyDescent="0.2">
      <c r="A2367" s="1"/>
      <c r="B2367" s="2" t="s">
        <v>45</v>
      </c>
      <c r="C2367" s="3" t="s">
        <v>2214</v>
      </c>
      <c r="D2367" s="3" t="s">
        <v>124</v>
      </c>
      <c r="E2367" s="3" t="s">
        <v>637</v>
      </c>
      <c r="F2367" s="3" t="s">
        <v>2208</v>
      </c>
      <c r="G2367" s="3" t="s">
        <v>2193</v>
      </c>
      <c r="H2367" s="4"/>
      <c r="I2367" s="4">
        <f t="shared" si="223"/>
        <v>0</v>
      </c>
      <c r="J2367" s="4"/>
      <c r="K2367" s="4">
        <f t="shared" si="200"/>
        <v>0</v>
      </c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 spans="1:26" ht="15.75" customHeight="1" x14ac:dyDescent="0.2">
      <c r="A2368" s="1">
        <v>261</v>
      </c>
      <c r="B2368" s="13" t="s">
        <v>23</v>
      </c>
      <c r="C2368" s="14" t="s">
        <v>2215</v>
      </c>
      <c r="D2368" s="14" t="s">
        <v>456</v>
      </c>
      <c r="E2368" s="14" t="s">
        <v>237</v>
      </c>
      <c r="F2368" s="14" t="s">
        <v>2216</v>
      </c>
      <c r="G2368" s="14" t="s">
        <v>2193</v>
      </c>
      <c r="H2368" s="4">
        <v>2</v>
      </c>
      <c r="I2368" s="4">
        <f t="shared" ref="I2368:I2379" si="224">H2368*2300</f>
        <v>4600</v>
      </c>
      <c r="J2368" s="4"/>
      <c r="K2368" s="4">
        <f t="shared" si="200"/>
        <v>0</v>
      </c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 spans="1:26" ht="15.75" customHeight="1" x14ac:dyDescent="0.2">
      <c r="A2369" s="1">
        <v>793</v>
      </c>
      <c r="B2369" s="13" t="s">
        <v>691</v>
      </c>
      <c r="C2369" s="14" t="s">
        <v>2217</v>
      </c>
      <c r="D2369" s="14" t="s">
        <v>526</v>
      </c>
      <c r="E2369" s="14" t="s">
        <v>259</v>
      </c>
      <c r="F2369" s="14" t="s">
        <v>2218</v>
      </c>
      <c r="G2369" s="14" t="s">
        <v>2193</v>
      </c>
      <c r="H2369" s="4"/>
      <c r="I2369" s="4">
        <f t="shared" si="224"/>
        <v>0</v>
      </c>
      <c r="J2369" s="4"/>
      <c r="K2369" s="4">
        <f t="shared" si="200"/>
        <v>0</v>
      </c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 spans="1:26" ht="15.75" customHeight="1" x14ac:dyDescent="0.2">
      <c r="A2370" s="1">
        <v>827</v>
      </c>
      <c r="B2370" s="13" t="s">
        <v>971</v>
      </c>
      <c r="C2370" s="14" t="s">
        <v>2219</v>
      </c>
      <c r="D2370" s="14" t="s">
        <v>554</v>
      </c>
      <c r="E2370" s="14" t="s">
        <v>87</v>
      </c>
      <c r="F2370" s="14" t="s">
        <v>2218</v>
      </c>
      <c r="G2370" s="14" t="s">
        <v>2193</v>
      </c>
      <c r="H2370" s="4"/>
      <c r="I2370" s="4">
        <f t="shared" si="224"/>
        <v>0</v>
      </c>
      <c r="J2370" s="4"/>
      <c r="K2370" s="4">
        <f t="shared" si="200"/>
        <v>0</v>
      </c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 spans="1:26" ht="15.75" customHeight="1" x14ac:dyDescent="0.2">
      <c r="A2371" s="1">
        <v>829</v>
      </c>
      <c r="B2371" s="13" t="s">
        <v>971</v>
      </c>
      <c r="C2371" s="14" t="s">
        <v>2220</v>
      </c>
      <c r="D2371" s="14" t="s">
        <v>120</v>
      </c>
      <c r="E2371" s="14" t="s">
        <v>306</v>
      </c>
      <c r="F2371" s="14" t="s">
        <v>2218</v>
      </c>
      <c r="G2371" s="14" t="s">
        <v>2193</v>
      </c>
      <c r="H2371" s="4"/>
      <c r="I2371" s="4">
        <f t="shared" si="224"/>
        <v>0</v>
      </c>
      <c r="J2371" s="4"/>
      <c r="K2371" s="4">
        <f t="shared" si="200"/>
        <v>0</v>
      </c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 spans="1:26" ht="15.75" customHeight="1" x14ac:dyDescent="0.2">
      <c r="A2372" s="1">
        <v>831</v>
      </c>
      <c r="B2372" s="13" t="s">
        <v>971</v>
      </c>
      <c r="C2372" s="14" t="s">
        <v>2221</v>
      </c>
      <c r="D2372" s="14" t="s">
        <v>2222</v>
      </c>
      <c r="E2372" s="14" t="s">
        <v>1048</v>
      </c>
      <c r="F2372" s="14" t="s">
        <v>2218</v>
      </c>
      <c r="G2372" s="14" t="s">
        <v>2193</v>
      </c>
      <c r="H2372" s="4"/>
      <c r="I2372" s="4">
        <f t="shared" si="224"/>
        <v>0</v>
      </c>
      <c r="J2372" s="4"/>
      <c r="K2372" s="4">
        <f t="shared" si="200"/>
        <v>0</v>
      </c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 spans="1:26" ht="15.75" customHeight="1" x14ac:dyDescent="0.2">
      <c r="A2373" s="1">
        <v>2399</v>
      </c>
      <c r="B2373" s="13" t="s">
        <v>154</v>
      </c>
      <c r="C2373" s="14" t="s">
        <v>2219</v>
      </c>
      <c r="D2373" s="14" t="s">
        <v>554</v>
      </c>
      <c r="E2373" s="14" t="s">
        <v>87</v>
      </c>
      <c r="F2373" s="14" t="s">
        <v>2218</v>
      </c>
      <c r="G2373" s="14" t="s">
        <v>2193</v>
      </c>
      <c r="H2373" s="4"/>
      <c r="I2373" s="4">
        <f t="shared" si="224"/>
        <v>0</v>
      </c>
      <c r="J2373" s="4"/>
      <c r="K2373" s="4">
        <f t="shared" si="200"/>
        <v>0</v>
      </c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 spans="1:26" ht="15.75" customHeight="1" x14ac:dyDescent="0.2">
      <c r="A2374" s="1">
        <v>2445</v>
      </c>
      <c r="B2374" s="13" t="s">
        <v>161</v>
      </c>
      <c r="C2374" s="14" t="s">
        <v>2220</v>
      </c>
      <c r="D2374" s="14" t="s">
        <v>120</v>
      </c>
      <c r="E2374" s="14" t="s">
        <v>306</v>
      </c>
      <c r="F2374" s="14" t="s">
        <v>2218</v>
      </c>
      <c r="G2374" s="14" t="s">
        <v>2193</v>
      </c>
      <c r="H2374" s="4"/>
      <c r="I2374" s="4">
        <f t="shared" si="224"/>
        <v>0</v>
      </c>
      <c r="J2374" s="4"/>
      <c r="K2374" s="4">
        <f t="shared" si="200"/>
        <v>0</v>
      </c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 spans="1:26" ht="15.75" customHeight="1" x14ac:dyDescent="0.2">
      <c r="A2375" s="1">
        <v>2447</v>
      </c>
      <c r="B2375" s="13" t="s">
        <v>161</v>
      </c>
      <c r="C2375" s="14" t="s">
        <v>2221</v>
      </c>
      <c r="D2375" s="14" t="s">
        <v>2222</v>
      </c>
      <c r="E2375" s="14" t="s">
        <v>1048</v>
      </c>
      <c r="F2375" s="14" t="s">
        <v>2218</v>
      </c>
      <c r="G2375" s="14" t="s">
        <v>2193</v>
      </c>
      <c r="H2375" s="4"/>
      <c r="I2375" s="4">
        <f t="shared" si="224"/>
        <v>0</v>
      </c>
      <c r="J2375" s="4"/>
      <c r="K2375" s="4">
        <f t="shared" si="200"/>
        <v>0</v>
      </c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 spans="1:26" ht="15.75" customHeight="1" x14ac:dyDescent="0.2">
      <c r="A2376" s="1">
        <v>835</v>
      </c>
      <c r="B2376" s="13" t="s">
        <v>971</v>
      </c>
      <c r="C2376" s="14" t="s">
        <v>2223</v>
      </c>
      <c r="D2376" s="14" t="s">
        <v>58</v>
      </c>
      <c r="E2376" s="14" t="s">
        <v>571</v>
      </c>
      <c r="F2376" s="14" t="s">
        <v>2224</v>
      </c>
      <c r="G2376" s="14" t="s">
        <v>2193</v>
      </c>
      <c r="H2376" s="4"/>
      <c r="I2376" s="4">
        <f t="shared" si="224"/>
        <v>0</v>
      </c>
      <c r="J2376" s="4"/>
      <c r="K2376" s="4">
        <f t="shared" si="200"/>
        <v>0</v>
      </c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 spans="1:26" ht="15.75" customHeight="1" x14ac:dyDescent="0.2">
      <c r="A2377" s="1">
        <v>2415</v>
      </c>
      <c r="B2377" s="13" t="s">
        <v>10</v>
      </c>
      <c r="C2377" s="14" t="s">
        <v>2223</v>
      </c>
      <c r="D2377" s="14" t="s">
        <v>58</v>
      </c>
      <c r="E2377" s="14" t="s">
        <v>571</v>
      </c>
      <c r="F2377" s="14" t="s">
        <v>2224</v>
      </c>
      <c r="G2377" s="14" t="s">
        <v>2193</v>
      </c>
      <c r="H2377" s="4"/>
      <c r="I2377" s="4">
        <f t="shared" si="224"/>
        <v>0</v>
      </c>
      <c r="J2377" s="4"/>
      <c r="K2377" s="4">
        <f t="shared" si="200"/>
        <v>0</v>
      </c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 spans="1:26" ht="15.75" customHeight="1" x14ac:dyDescent="0.2">
      <c r="A2378" s="1">
        <v>2443</v>
      </c>
      <c r="B2378" s="13" t="s">
        <v>161</v>
      </c>
      <c r="C2378" s="14" t="s">
        <v>2225</v>
      </c>
      <c r="D2378" s="14" t="s">
        <v>491</v>
      </c>
      <c r="E2378" s="14" t="s">
        <v>32</v>
      </c>
      <c r="F2378" s="14" t="s">
        <v>2224</v>
      </c>
      <c r="G2378" s="14" t="s">
        <v>2193</v>
      </c>
      <c r="H2378" s="4"/>
      <c r="I2378" s="4">
        <f t="shared" si="224"/>
        <v>0</v>
      </c>
      <c r="J2378" s="4"/>
      <c r="K2378" s="4">
        <f t="shared" si="200"/>
        <v>0</v>
      </c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 spans="1:26" ht="15.75" customHeight="1" x14ac:dyDescent="0.2">
      <c r="A2379" s="1">
        <v>2455</v>
      </c>
      <c r="B2379" s="13" t="s">
        <v>165</v>
      </c>
      <c r="C2379" s="14" t="s">
        <v>2226</v>
      </c>
      <c r="D2379" s="14" t="s">
        <v>2048</v>
      </c>
      <c r="E2379" s="14" t="s">
        <v>1490</v>
      </c>
      <c r="F2379" s="14" t="s">
        <v>2224</v>
      </c>
      <c r="G2379" s="14" t="s">
        <v>2193</v>
      </c>
      <c r="H2379" s="4"/>
      <c r="I2379" s="4">
        <f t="shared" si="224"/>
        <v>0</v>
      </c>
      <c r="J2379" s="4"/>
      <c r="K2379" s="4">
        <f t="shared" si="200"/>
        <v>0</v>
      </c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 spans="1:26" ht="15.75" customHeight="1" x14ac:dyDescent="0.2">
      <c r="A2380" s="1"/>
      <c r="B2380" s="2" t="s">
        <v>71</v>
      </c>
      <c r="C2380" s="3" t="s">
        <v>2227</v>
      </c>
      <c r="D2380" s="3" t="s">
        <v>309</v>
      </c>
      <c r="E2380" s="3" t="s">
        <v>393</v>
      </c>
      <c r="F2380" s="3" t="s">
        <v>2224</v>
      </c>
      <c r="G2380" s="3" t="s">
        <v>2193</v>
      </c>
      <c r="H2380" s="4"/>
      <c r="I2380" s="4">
        <f t="shared" ref="I2380:I2391" si="225">H2380*1800</f>
        <v>0</v>
      </c>
      <c r="J2380" s="4"/>
      <c r="K2380" s="4">
        <f t="shared" si="200"/>
        <v>0</v>
      </c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 spans="1:26" ht="15.75" customHeight="1" x14ac:dyDescent="0.2">
      <c r="A2381" s="1"/>
      <c r="B2381" s="2" t="s">
        <v>45</v>
      </c>
      <c r="C2381" s="3" t="s">
        <v>2227</v>
      </c>
      <c r="D2381" s="3" t="s">
        <v>309</v>
      </c>
      <c r="E2381" s="3" t="s">
        <v>393</v>
      </c>
      <c r="F2381" s="3" t="s">
        <v>2224</v>
      </c>
      <c r="G2381" s="3" t="s">
        <v>2193</v>
      </c>
      <c r="H2381" s="4"/>
      <c r="I2381" s="4">
        <f t="shared" si="225"/>
        <v>0</v>
      </c>
      <c r="J2381" s="4"/>
      <c r="K2381" s="4">
        <f t="shared" si="200"/>
        <v>0</v>
      </c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 spans="1:26" ht="15.75" customHeight="1" x14ac:dyDescent="0.2">
      <c r="A2382" s="1"/>
      <c r="B2382" s="2" t="s">
        <v>26</v>
      </c>
      <c r="C2382" s="3" t="s">
        <v>2228</v>
      </c>
      <c r="D2382" s="3" t="s">
        <v>383</v>
      </c>
      <c r="E2382" s="3" t="s">
        <v>1048</v>
      </c>
      <c r="F2382" s="3" t="s">
        <v>2224</v>
      </c>
      <c r="G2382" s="3" t="s">
        <v>2193</v>
      </c>
      <c r="H2382" s="4"/>
      <c r="I2382" s="4">
        <f t="shared" si="225"/>
        <v>0</v>
      </c>
      <c r="J2382" s="4"/>
      <c r="K2382" s="4">
        <f t="shared" si="200"/>
        <v>0</v>
      </c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 spans="1:26" ht="15.75" customHeight="1" x14ac:dyDescent="0.2">
      <c r="A2383" s="1"/>
      <c r="B2383" s="2" t="s">
        <v>45</v>
      </c>
      <c r="C2383" s="3" t="s">
        <v>2228</v>
      </c>
      <c r="D2383" s="3" t="s">
        <v>383</v>
      </c>
      <c r="E2383" s="3" t="s">
        <v>1048</v>
      </c>
      <c r="F2383" s="3" t="s">
        <v>2224</v>
      </c>
      <c r="G2383" s="3" t="s">
        <v>2193</v>
      </c>
      <c r="H2383" s="4"/>
      <c r="I2383" s="4">
        <f t="shared" si="225"/>
        <v>0</v>
      </c>
      <c r="J2383" s="4"/>
      <c r="K2383" s="4">
        <f t="shared" si="200"/>
        <v>0</v>
      </c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 spans="1:26" ht="15.75" customHeight="1" x14ac:dyDescent="0.2">
      <c r="A2384" s="1"/>
      <c r="B2384" s="2" t="s">
        <v>41</v>
      </c>
      <c r="C2384" s="3" t="s">
        <v>2229</v>
      </c>
      <c r="D2384" s="3" t="s">
        <v>1041</v>
      </c>
      <c r="E2384" s="3" t="s">
        <v>306</v>
      </c>
      <c r="F2384" s="3" t="s">
        <v>2224</v>
      </c>
      <c r="G2384" s="3" t="s">
        <v>2193</v>
      </c>
      <c r="H2384" s="4"/>
      <c r="I2384" s="4">
        <f t="shared" si="225"/>
        <v>0</v>
      </c>
      <c r="J2384" s="4"/>
      <c r="K2384" s="4">
        <f t="shared" si="200"/>
        <v>0</v>
      </c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 spans="1:26" ht="15.75" customHeight="1" x14ac:dyDescent="0.2">
      <c r="A2385" s="1"/>
      <c r="B2385" s="2" t="s">
        <v>45</v>
      </c>
      <c r="C2385" s="3" t="s">
        <v>2229</v>
      </c>
      <c r="D2385" s="3" t="s">
        <v>1041</v>
      </c>
      <c r="E2385" s="3" t="s">
        <v>306</v>
      </c>
      <c r="F2385" s="3" t="s">
        <v>2224</v>
      </c>
      <c r="G2385" s="3" t="s">
        <v>2193</v>
      </c>
      <c r="H2385" s="4"/>
      <c r="I2385" s="4">
        <f t="shared" si="225"/>
        <v>0</v>
      </c>
      <c r="J2385" s="4"/>
      <c r="K2385" s="4">
        <f t="shared" si="200"/>
        <v>0</v>
      </c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 spans="1:26" ht="15.75" customHeight="1" x14ac:dyDescent="0.2">
      <c r="A2386" s="1"/>
      <c r="B2386" s="2" t="s">
        <v>46</v>
      </c>
      <c r="C2386" s="3" t="s">
        <v>2230</v>
      </c>
      <c r="D2386" s="3" t="s">
        <v>309</v>
      </c>
      <c r="E2386" s="3" t="s">
        <v>40</v>
      </c>
      <c r="F2386" s="3" t="s">
        <v>2224</v>
      </c>
      <c r="G2386" s="3" t="s">
        <v>2193</v>
      </c>
      <c r="H2386" s="4"/>
      <c r="I2386" s="4">
        <f t="shared" si="225"/>
        <v>0</v>
      </c>
      <c r="J2386" s="4"/>
      <c r="K2386" s="4">
        <f t="shared" si="200"/>
        <v>0</v>
      </c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 spans="1:26" ht="15.75" customHeight="1" x14ac:dyDescent="0.2">
      <c r="A2387" s="1"/>
      <c r="B2387" s="2" t="s">
        <v>45</v>
      </c>
      <c r="C2387" s="3" t="s">
        <v>2230</v>
      </c>
      <c r="D2387" s="3" t="s">
        <v>309</v>
      </c>
      <c r="E2387" s="3" t="s">
        <v>40</v>
      </c>
      <c r="F2387" s="3" t="s">
        <v>2224</v>
      </c>
      <c r="G2387" s="3" t="s">
        <v>2193</v>
      </c>
      <c r="H2387" s="4"/>
      <c r="I2387" s="4">
        <f t="shared" si="225"/>
        <v>0</v>
      </c>
      <c r="J2387" s="4"/>
      <c r="K2387" s="4">
        <f t="shared" si="200"/>
        <v>0</v>
      </c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 spans="1:26" ht="15.75" customHeight="1" x14ac:dyDescent="0.2">
      <c r="A2388" s="1"/>
      <c r="B2388" s="2" t="s">
        <v>45</v>
      </c>
      <c r="C2388" s="3" t="s">
        <v>2231</v>
      </c>
      <c r="D2388" s="3" t="s">
        <v>1856</v>
      </c>
      <c r="E2388" s="3" t="s">
        <v>18</v>
      </c>
      <c r="F2388" s="3" t="s">
        <v>2224</v>
      </c>
      <c r="G2388" s="3" t="s">
        <v>2193</v>
      </c>
      <c r="H2388" s="4"/>
      <c r="I2388" s="4">
        <f t="shared" si="225"/>
        <v>0</v>
      </c>
      <c r="J2388" s="4"/>
      <c r="K2388" s="4">
        <f t="shared" si="200"/>
        <v>0</v>
      </c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 spans="1:26" ht="15.75" customHeight="1" x14ac:dyDescent="0.2">
      <c r="A2389" s="1"/>
      <c r="B2389" s="2" t="s">
        <v>41</v>
      </c>
      <c r="C2389" s="3" t="s">
        <v>2232</v>
      </c>
      <c r="D2389" s="3" t="s">
        <v>309</v>
      </c>
      <c r="E2389" s="3" t="s">
        <v>40</v>
      </c>
      <c r="F2389" s="3" t="s">
        <v>2224</v>
      </c>
      <c r="G2389" s="3" t="s">
        <v>2193</v>
      </c>
      <c r="H2389" s="4"/>
      <c r="I2389" s="4">
        <f t="shared" si="225"/>
        <v>0</v>
      </c>
      <c r="J2389" s="4"/>
      <c r="K2389" s="4">
        <f t="shared" si="200"/>
        <v>0</v>
      </c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 spans="1:26" ht="15.75" customHeight="1" x14ac:dyDescent="0.2">
      <c r="A2390" s="1"/>
      <c r="B2390" s="2" t="s">
        <v>41</v>
      </c>
      <c r="C2390" s="3" t="s">
        <v>2233</v>
      </c>
      <c r="D2390" s="3" t="s">
        <v>295</v>
      </c>
      <c r="E2390" s="3" t="s">
        <v>251</v>
      </c>
      <c r="F2390" s="3" t="s">
        <v>2224</v>
      </c>
      <c r="G2390" s="3" t="s">
        <v>2193</v>
      </c>
      <c r="H2390" s="4"/>
      <c r="I2390" s="4">
        <f t="shared" si="225"/>
        <v>0</v>
      </c>
      <c r="J2390" s="4"/>
      <c r="K2390" s="4">
        <f t="shared" si="200"/>
        <v>0</v>
      </c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 spans="1:26" ht="15.75" customHeight="1" x14ac:dyDescent="0.2">
      <c r="A2391" s="1"/>
      <c r="B2391" s="2" t="s">
        <v>45</v>
      </c>
      <c r="C2391" s="3" t="s">
        <v>2233</v>
      </c>
      <c r="D2391" s="3" t="s">
        <v>295</v>
      </c>
      <c r="E2391" s="3" t="s">
        <v>251</v>
      </c>
      <c r="F2391" s="3" t="s">
        <v>2224</v>
      </c>
      <c r="G2391" s="3" t="s">
        <v>2193</v>
      </c>
      <c r="H2391" s="4"/>
      <c r="I2391" s="4">
        <f t="shared" si="225"/>
        <v>0</v>
      </c>
      <c r="J2391" s="4"/>
      <c r="K2391" s="4">
        <f t="shared" si="200"/>
        <v>0</v>
      </c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 spans="1:26" ht="15.75" customHeight="1" x14ac:dyDescent="0.2">
      <c r="A2392" s="1">
        <v>813</v>
      </c>
      <c r="B2392" s="13" t="s">
        <v>2234</v>
      </c>
      <c r="C2392" s="14" t="s">
        <v>2235</v>
      </c>
      <c r="D2392" s="14" t="s">
        <v>236</v>
      </c>
      <c r="E2392" s="14" t="s">
        <v>322</v>
      </c>
      <c r="F2392" s="14" t="s">
        <v>2236</v>
      </c>
      <c r="G2392" s="14" t="s">
        <v>2193</v>
      </c>
      <c r="H2392" s="4"/>
      <c r="I2392" s="4">
        <f t="shared" ref="I2392:I2395" si="226">H2392*2300</f>
        <v>0</v>
      </c>
      <c r="J2392" s="4"/>
      <c r="K2392" s="4">
        <f t="shared" si="200"/>
        <v>0</v>
      </c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 spans="1:26" ht="15.75" customHeight="1" x14ac:dyDescent="0.2">
      <c r="A2393" s="1">
        <v>823</v>
      </c>
      <c r="B2393" s="13" t="s">
        <v>971</v>
      </c>
      <c r="C2393" s="14" t="s">
        <v>1057</v>
      </c>
      <c r="D2393" s="14" t="s">
        <v>139</v>
      </c>
      <c r="E2393" s="14" t="s">
        <v>125</v>
      </c>
      <c r="F2393" s="14" t="s">
        <v>2236</v>
      </c>
      <c r="G2393" s="14" t="s">
        <v>2193</v>
      </c>
      <c r="H2393" s="4"/>
      <c r="I2393" s="4">
        <f t="shared" si="226"/>
        <v>0</v>
      </c>
      <c r="J2393" s="4"/>
      <c r="K2393" s="4">
        <f t="shared" si="200"/>
        <v>0</v>
      </c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 spans="1:26" ht="15.75" customHeight="1" x14ac:dyDescent="0.2">
      <c r="A2394" s="1">
        <v>2369</v>
      </c>
      <c r="B2394" s="13" t="s">
        <v>142</v>
      </c>
      <c r="C2394" s="14" t="s">
        <v>2235</v>
      </c>
      <c r="D2394" s="14" t="s">
        <v>236</v>
      </c>
      <c r="E2394" s="14" t="s">
        <v>322</v>
      </c>
      <c r="F2394" s="14" t="s">
        <v>2236</v>
      </c>
      <c r="G2394" s="14" t="s">
        <v>2193</v>
      </c>
      <c r="H2394" s="4"/>
      <c r="I2394" s="4">
        <f t="shared" si="226"/>
        <v>0</v>
      </c>
      <c r="J2394" s="4"/>
      <c r="K2394" s="4">
        <f t="shared" si="200"/>
        <v>0</v>
      </c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 spans="1:26" ht="15.75" customHeight="1" x14ac:dyDescent="0.2">
      <c r="A2395" s="1">
        <v>2391</v>
      </c>
      <c r="B2395" s="13" t="s">
        <v>154</v>
      </c>
      <c r="C2395" s="14" t="s">
        <v>1057</v>
      </c>
      <c r="D2395" s="14" t="s">
        <v>139</v>
      </c>
      <c r="E2395" s="14" t="s">
        <v>125</v>
      </c>
      <c r="F2395" s="14" t="s">
        <v>2236</v>
      </c>
      <c r="G2395" s="14" t="s">
        <v>2193</v>
      </c>
      <c r="H2395" s="4"/>
      <c r="I2395" s="4">
        <f t="shared" si="226"/>
        <v>0</v>
      </c>
      <c r="J2395" s="4"/>
      <c r="K2395" s="4">
        <f t="shared" si="200"/>
        <v>0</v>
      </c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 spans="1:26" ht="15.75" customHeight="1" x14ac:dyDescent="0.2">
      <c r="A2396" s="1"/>
      <c r="B2396" s="2" t="s">
        <v>80</v>
      </c>
      <c r="C2396" s="3" t="s">
        <v>1057</v>
      </c>
      <c r="D2396" s="3" t="s">
        <v>78</v>
      </c>
      <c r="E2396" s="3" t="s">
        <v>125</v>
      </c>
      <c r="F2396" s="3" t="s">
        <v>2236</v>
      </c>
      <c r="G2396" s="3" t="s">
        <v>2193</v>
      </c>
      <c r="H2396" s="4"/>
      <c r="I2396" s="4">
        <f t="shared" ref="I2396:I2397" si="227">H2396*1800</f>
        <v>0</v>
      </c>
      <c r="J2396" s="4"/>
      <c r="K2396" s="4">
        <f t="shared" si="200"/>
        <v>0</v>
      </c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 spans="1:26" ht="15.75" customHeight="1" x14ac:dyDescent="0.2">
      <c r="A2397" s="1"/>
      <c r="B2397" s="2" t="s">
        <v>45</v>
      </c>
      <c r="C2397" s="3" t="s">
        <v>1057</v>
      </c>
      <c r="D2397" s="3" t="s">
        <v>78</v>
      </c>
      <c r="E2397" s="3" t="s">
        <v>125</v>
      </c>
      <c r="F2397" s="3" t="s">
        <v>2236</v>
      </c>
      <c r="G2397" s="3" t="s">
        <v>2193</v>
      </c>
      <c r="H2397" s="4"/>
      <c r="I2397" s="4">
        <f t="shared" si="227"/>
        <v>0</v>
      </c>
      <c r="J2397" s="4"/>
      <c r="K2397" s="4">
        <f t="shared" si="200"/>
        <v>0</v>
      </c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 spans="1:26" ht="15.75" customHeight="1" x14ac:dyDescent="0.2">
      <c r="A2398" s="1">
        <v>783</v>
      </c>
      <c r="B2398" s="13" t="s">
        <v>405</v>
      </c>
      <c r="C2398" s="14" t="s">
        <v>2237</v>
      </c>
      <c r="D2398" s="14" t="s">
        <v>506</v>
      </c>
      <c r="E2398" s="14" t="s">
        <v>637</v>
      </c>
      <c r="F2398" s="14" t="s">
        <v>2238</v>
      </c>
      <c r="G2398" s="14" t="s">
        <v>2193</v>
      </c>
      <c r="H2398" s="4"/>
      <c r="I2398" s="4">
        <f t="shared" ref="I2398:I2406" si="228">H2398*2300</f>
        <v>0</v>
      </c>
      <c r="J2398" s="4"/>
      <c r="K2398" s="4">
        <f t="shared" si="200"/>
        <v>0</v>
      </c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 spans="1:26" ht="15.75" customHeight="1" x14ac:dyDescent="0.2">
      <c r="A2399" s="1">
        <v>825</v>
      </c>
      <c r="B2399" s="13" t="s">
        <v>971</v>
      </c>
      <c r="C2399" s="14" t="s">
        <v>2239</v>
      </c>
      <c r="D2399" s="14" t="s">
        <v>236</v>
      </c>
      <c r="E2399" s="14" t="s">
        <v>306</v>
      </c>
      <c r="F2399" s="14" t="s">
        <v>2238</v>
      </c>
      <c r="G2399" s="14" t="s">
        <v>2193</v>
      </c>
      <c r="H2399" s="4"/>
      <c r="I2399" s="4">
        <f t="shared" si="228"/>
        <v>0</v>
      </c>
      <c r="J2399" s="4"/>
      <c r="K2399" s="4">
        <f t="shared" si="200"/>
        <v>0</v>
      </c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 spans="1:26" ht="15.75" customHeight="1" x14ac:dyDescent="0.2">
      <c r="A2400" s="1">
        <v>843</v>
      </c>
      <c r="B2400" s="13" t="s">
        <v>980</v>
      </c>
      <c r="C2400" s="14" t="s">
        <v>2240</v>
      </c>
      <c r="D2400" s="14" t="s">
        <v>171</v>
      </c>
      <c r="E2400" s="14" t="s">
        <v>1313</v>
      </c>
      <c r="F2400" s="14" t="s">
        <v>2238</v>
      </c>
      <c r="G2400" s="14" t="s">
        <v>2193</v>
      </c>
      <c r="H2400" s="4"/>
      <c r="I2400" s="4">
        <f t="shared" si="228"/>
        <v>0</v>
      </c>
      <c r="J2400" s="4"/>
      <c r="K2400" s="4">
        <f t="shared" si="200"/>
        <v>0</v>
      </c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 spans="1:26" ht="15.75" customHeight="1" x14ac:dyDescent="0.2">
      <c r="A2401" s="1">
        <v>845</v>
      </c>
      <c r="B2401" s="13" t="s">
        <v>980</v>
      </c>
      <c r="C2401" s="14" t="s">
        <v>2241</v>
      </c>
      <c r="D2401" s="14" t="s">
        <v>574</v>
      </c>
      <c r="E2401" s="14" t="s">
        <v>91</v>
      </c>
      <c r="F2401" s="14" t="s">
        <v>2238</v>
      </c>
      <c r="G2401" s="14" t="s">
        <v>2193</v>
      </c>
      <c r="H2401" s="4"/>
      <c r="I2401" s="4">
        <f t="shared" si="228"/>
        <v>0</v>
      </c>
      <c r="J2401" s="4"/>
      <c r="K2401" s="4">
        <f t="shared" si="200"/>
        <v>0</v>
      </c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 spans="1:26" ht="15.75" customHeight="1" x14ac:dyDescent="0.2">
      <c r="A2402" s="1">
        <v>851</v>
      </c>
      <c r="B2402" s="13" t="s">
        <v>975</v>
      </c>
      <c r="C2402" s="14" t="s">
        <v>2242</v>
      </c>
      <c r="D2402" s="14" t="s">
        <v>593</v>
      </c>
      <c r="E2402" s="14" t="s">
        <v>259</v>
      </c>
      <c r="F2402" s="14" t="s">
        <v>2238</v>
      </c>
      <c r="G2402" s="14" t="s">
        <v>2193</v>
      </c>
      <c r="H2402" s="4"/>
      <c r="I2402" s="4">
        <f t="shared" si="228"/>
        <v>0</v>
      </c>
      <c r="J2402" s="4"/>
      <c r="K2402" s="4">
        <f t="shared" si="200"/>
        <v>0</v>
      </c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 spans="1:26" ht="15.75" customHeight="1" x14ac:dyDescent="0.2">
      <c r="A2403" s="1">
        <v>2383</v>
      </c>
      <c r="B2403" s="13" t="s">
        <v>150</v>
      </c>
      <c r="C2403" s="14" t="s">
        <v>2240</v>
      </c>
      <c r="D2403" s="14" t="s">
        <v>171</v>
      </c>
      <c r="E2403" s="14" t="s">
        <v>1313</v>
      </c>
      <c r="F2403" s="14" t="s">
        <v>2238</v>
      </c>
      <c r="G2403" s="14" t="s">
        <v>2193</v>
      </c>
      <c r="H2403" s="4"/>
      <c r="I2403" s="4">
        <f t="shared" si="228"/>
        <v>0</v>
      </c>
      <c r="J2403" s="4"/>
      <c r="K2403" s="4">
        <f t="shared" si="200"/>
        <v>0</v>
      </c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 spans="1:26" ht="15.75" customHeight="1" x14ac:dyDescent="0.2">
      <c r="A2404" s="1">
        <v>2385</v>
      </c>
      <c r="B2404" s="13" t="s">
        <v>150</v>
      </c>
      <c r="C2404" s="14" t="s">
        <v>2241</v>
      </c>
      <c r="D2404" s="14" t="s">
        <v>574</v>
      </c>
      <c r="E2404" s="14" t="s">
        <v>91</v>
      </c>
      <c r="F2404" s="14" t="s">
        <v>2238</v>
      </c>
      <c r="G2404" s="14" t="s">
        <v>2193</v>
      </c>
      <c r="H2404" s="4"/>
      <c r="I2404" s="4">
        <f t="shared" si="228"/>
        <v>0</v>
      </c>
      <c r="J2404" s="4"/>
      <c r="K2404" s="4">
        <f t="shared" si="200"/>
        <v>0</v>
      </c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 spans="1:26" ht="15.75" customHeight="1" x14ac:dyDescent="0.2">
      <c r="A2405" s="1">
        <v>2413</v>
      </c>
      <c r="B2405" s="13" t="s">
        <v>10</v>
      </c>
      <c r="C2405" s="14" t="s">
        <v>2239</v>
      </c>
      <c r="D2405" s="14" t="s">
        <v>236</v>
      </c>
      <c r="E2405" s="14" t="s">
        <v>306</v>
      </c>
      <c r="F2405" s="14" t="s">
        <v>2238</v>
      </c>
      <c r="G2405" s="14" t="s">
        <v>2193</v>
      </c>
      <c r="H2405" s="4"/>
      <c r="I2405" s="4">
        <f t="shared" si="228"/>
        <v>0</v>
      </c>
      <c r="J2405" s="4"/>
      <c r="K2405" s="4">
        <f t="shared" si="200"/>
        <v>0</v>
      </c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 spans="1:26" ht="15.75" customHeight="1" x14ac:dyDescent="0.2">
      <c r="A2406" s="1">
        <v>2463</v>
      </c>
      <c r="B2406" s="13" t="s">
        <v>169</v>
      </c>
      <c r="C2406" s="14" t="s">
        <v>2242</v>
      </c>
      <c r="D2406" s="14" t="s">
        <v>593</v>
      </c>
      <c r="E2406" s="14" t="s">
        <v>259</v>
      </c>
      <c r="F2406" s="14" t="s">
        <v>2238</v>
      </c>
      <c r="G2406" s="14" t="s">
        <v>2193</v>
      </c>
      <c r="H2406" s="4"/>
      <c r="I2406" s="4">
        <f t="shared" si="228"/>
        <v>0</v>
      </c>
      <c r="J2406" s="4"/>
      <c r="K2406" s="4">
        <f t="shared" si="200"/>
        <v>0</v>
      </c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 spans="1:26" ht="15.75" customHeight="1" x14ac:dyDescent="0.2">
      <c r="A2407" s="1"/>
      <c r="B2407" s="2" t="s">
        <v>336</v>
      </c>
      <c r="C2407" s="3" t="s">
        <v>2243</v>
      </c>
      <c r="D2407" s="3" t="s">
        <v>236</v>
      </c>
      <c r="E2407" s="3" t="s">
        <v>129</v>
      </c>
      <c r="F2407" s="3" t="s">
        <v>2238</v>
      </c>
      <c r="G2407" s="3" t="s">
        <v>2193</v>
      </c>
      <c r="H2407" s="4"/>
      <c r="I2407" s="4">
        <f t="shared" ref="I2407:I2422" si="229">H2407*1800</f>
        <v>0</v>
      </c>
      <c r="J2407" s="4"/>
      <c r="K2407" s="4">
        <f t="shared" si="200"/>
        <v>0</v>
      </c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 spans="1:26" ht="15.75" customHeight="1" x14ac:dyDescent="0.2">
      <c r="A2408" s="1"/>
      <c r="B2408" s="2" t="s">
        <v>45</v>
      </c>
      <c r="C2408" s="3" t="s">
        <v>2243</v>
      </c>
      <c r="D2408" s="3" t="s">
        <v>236</v>
      </c>
      <c r="E2408" s="3" t="s">
        <v>129</v>
      </c>
      <c r="F2408" s="3" t="s">
        <v>2238</v>
      </c>
      <c r="G2408" s="3" t="s">
        <v>2193</v>
      </c>
      <c r="H2408" s="4"/>
      <c r="I2408" s="4">
        <f t="shared" si="229"/>
        <v>0</v>
      </c>
      <c r="J2408" s="4"/>
      <c r="K2408" s="4">
        <f t="shared" si="200"/>
        <v>0</v>
      </c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 spans="1:26" ht="15.75" customHeight="1" x14ac:dyDescent="0.2">
      <c r="A2409" s="1"/>
      <c r="B2409" s="2" t="s">
        <v>46</v>
      </c>
      <c r="C2409" s="3" t="s">
        <v>2244</v>
      </c>
      <c r="D2409" s="3" t="s">
        <v>139</v>
      </c>
      <c r="E2409" s="3" t="s">
        <v>337</v>
      </c>
      <c r="F2409" s="3" t="s">
        <v>2238</v>
      </c>
      <c r="G2409" s="3" t="s">
        <v>2193</v>
      </c>
      <c r="H2409" s="4"/>
      <c r="I2409" s="4">
        <f t="shared" si="229"/>
        <v>0</v>
      </c>
      <c r="J2409" s="4"/>
      <c r="K2409" s="4">
        <f t="shared" si="200"/>
        <v>0</v>
      </c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 spans="1:26" ht="15.75" customHeight="1" x14ac:dyDescent="0.2">
      <c r="A2410" s="1"/>
      <c r="B2410" s="2" t="s">
        <v>45</v>
      </c>
      <c r="C2410" s="3" t="s">
        <v>2244</v>
      </c>
      <c r="D2410" s="3" t="s">
        <v>139</v>
      </c>
      <c r="E2410" s="3" t="s">
        <v>337</v>
      </c>
      <c r="F2410" s="3" t="s">
        <v>2238</v>
      </c>
      <c r="G2410" s="3" t="s">
        <v>2193</v>
      </c>
      <c r="H2410" s="4"/>
      <c r="I2410" s="4">
        <f t="shared" si="229"/>
        <v>0</v>
      </c>
      <c r="J2410" s="4"/>
      <c r="K2410" s="4">
        <f t="shared" si="200"/>
        <v>0</v>
      </c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 spans="1:26" ht="15.75" customHeight="1" x14ac:dyDescent="0.2">
      <c r="A2411" s="1"/>
      <c r="B2411" s="2" t="s">
        <v>71</v>
      </c>
      <c r="C2411" s="3" t="s">
        <v>2245</v>
      </c>
      <c r="D2411" s="3" t="s">
        <v>516</v>
      </c>
      <c r="E2411" s="3" t="s">
        <v>546</v>
      </c>
      <c r="F2411" s="3" t="s">
        <v>2238</v>
      </c>
      <c r="G2411" s="3" t="s">
        <v>2193</v>
      </c>
      <c r="H2411" s="4"/>
      <c r="I2411" s="4">
        <f t="shared" si="229"/>
        <v>0</v>
      </c>
      <c r="J2411" s="4"/>
      <c r="K2411" s="4">
        <f t="shared" si="200"/>
        <v>0</v>
      </c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 spans="1:26" ht="15.75" customHeight="1" x14ac:dyDescent="0.2">
      <c r="A2412" s="1"/>
      <c r="B2412" s="2" t="s">
        <v>45</v>
      </c>
      <c r="C2412" s="3" t="s">
        <v>2245</v>
      </c>
      <c r="D2412" s="3" t="s">
        <v>516</v>
      </c>
      <c r="E2412" s="3" t="s">
        <v>546</v>
      </c>
      <c r="F2412" s="3" t="s">
        <v>2238</v>
      </c>
      <c r="G2412" s="3" t="s">
        <v>2193</v>
      </c>
      <c r="H2412" s="4"/>
      <c r="I2412" s="4">
        <f t="shared" si="229"/>
        <v>0</v>
      </c>
      <c r="J2412" s="4"/>
      <c r="K2412" s="4">
        <f t="shared" si="200"/>
        <v>0</v>
      </c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 spans="1:26" ht="15.75" customHeight="1" x14ac:dyDescent="0.2">
      <c r="A2413" s="1"/>
      <c r="B2413" s="2" t="s">
        <v>84</v>
      </c>
      <c r="C2413" s="3" t="s">
        <v>2246</v>
      </c>
      <c r="D2413" s="3" t="s">
        <v>600</v>
      </c>
      <c r="E2413" s="3" t="s">
        <v>91</v>
      </c>
      <c r="F2413" s="3" t="s">
        <v>2238</v>
      </c>
      <c r="G2413" s="3" t="s">
        <v>2193</v>
      </c>
      <c r="H2413" s="4"/>
      <c r="I2413" s="4">
        <f t="shared" si="229"/>
        <v>0</v>
      </c>
      <c r="J2413" s="4"/>
      <c r="K2413" s="4">
        <f t="shared" si="200"/>
        <v>0</v>
      </c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 spans="1:26" ht="15.75" customHeight="1" x14ac:dyDescent="0.2">
      <c r="A2414" s="1"/>
      <c r="B2414" s="2" t="s">
        <v>45</v>
      </c>
      <c r="C2414" s="3" t="s">
        <v>2246</v>
      </c>
      <c r="D2414" s="3" t="s">
        <v>600</v>
      </c>
      <c r="E2414" s="3" t="s">
        <v>91</v>
      </c>
      <c r="F2414" s="3" t="s">
        <v>2238</v>
      </c>
      <c r="G2414" s="3" t="s">
        <v>2193</v>
      </c>
      <c r="H2414" s="4"/>
      <c r="I2414" s="4">
        <f t="shared" si="229"/>
        <v>0</v>
      </c>
      <c r="J2414" s="4"/>
      <c r="K2414" s="4">
        <f t="shared" si="200"/>
        <v>0</v>
      </c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 spans="1:26" ht="15.75" customHeight="1" x14ac:dyDescent="0.2">
      <c r="A2415" s="1"/>
      <c r="B2415" s="2" t="s">
        <v>296</v>
      </c>
      <c r="C2415" s="3" t="s">
        <v>2247</v>
      </c>
      <c r="D2415" s="3" t="s">
        <v>58</v>
      </c>
      <c r="E2415" s="3" t="s">
        <v>32</v>
      </c>
      <c r="F2415" s="3" t="s">
        <v>2248</v>
      </c>
      <c r="G2415" s="3" t="s">
        <v>2249</v>
      </c>
      <c r="H2415" s="4"/>
      <c r="I2415" s="4">
        <f t="shared" si="229"/>
        <v>0</v>
      </c>
      <c r="J2415" s="4"/>
      <c r="K2415" s="4">
        <f t="shared" si="200"/>
        <v>0</v>
      </c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 spans="1:26" ht="15.75" customHeight="1" x14ac:dyDescent="0.2">
      <c r="A2416" s="1"/>
      <c r="B2416" s="2" t="s">
        <v>114</v>
      </c>
      <c r="C2416" s="3" t="s">
        <v>2250</v>
      </c>
      <c r="D2416" s="3" t="s">
        <v>183</v>
      </c>
      <c r="E2416" s="3" t="s">
        <v>650</v>
      </c>
      <c r="F2416" s="3" t="s">
        <v>2251</v>
      </c>
      <c r="G2416" s="3" t="s">
        <v>2252</v>
      </c>
      <c r="H2416" s="4">
        <v>6</v>
      </c>
      <c r="I2416" s="4">
        <f t="shared" si="229"/>
        <v>10800</v>
      </c>
      <c r="J2416" s="4"/>
      <c r="K2416" s="4">
        <f t="shared" si="200"/>
        <v>0</v>
      </c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 spans="1:26" ht="15.75" customHeight="1" x14ac:dyDescent="0.2">
      <c r="A2417" s="1"/>
      <c r="B2417" s="2" t="s">
        <v>108</v>
      </c>
      <c r="C2417" s="3" t="s">
        <v>2250</v>
      </c>
      <c r="D2417" s="3" t="s">
        <v>183</v>
      </c>
      <c r="E2417" s="3" t="s">
        <v>650</v>
      </c>
      <c r="F2417" s="3" t="s">
        <v>2251</v>
      </c>
      <c r="G2417" s="3" t="s">
        <v>2252</v>
      </c>
      <c r="H2417" s="4"/>
      <c r="I2417" s="4">
        <f t="shared" si="229"/>
        <v>0</v>
      </c>
      <c r="J2417" s="4"/>
      <c r="K2417" s="4">
        <f t="shared" si="200"/>
        <v>0</v>
      </c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 spans="1:26" ht="15.75" customHeight="1" x14ac:dyDescent="0.2">
      <c r="A2418" s="1"/>
      <c r="B2418" s="2" t="s">
        <v>307</v>
      </c>
      <c r="C2418" s="3" t="s">
        <v>2253</v>
      </c>
      <c r="D2418" s="3" t="s">
        <v>75</v>
      </c>
      <c r="E2418" s="3" t="s">
        <v>87</v>
      </c>
      <c r="F2418" s="3" t="s">
        <v>2251</v>
      </c>
      <c r="G2418" s="3" t="s">
        <v>2252</v>
      </c>
      <c r="H2418" s="4"/>
      <c r="I2418" s="4">
        <f t="shared" si="229"/>
        <v>0</v>
      </c>
      <c r="J2418" s="4"/>
      <c r="K2418" s="4">
        <f t="shared" si="200"/>
        <v>0</v>
      </c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 spans="1:26" ht="15.75" customHeight="1" x14ac:dyDescent="0.2">
      <c r="A2419" s="1"/>
      <c r="B2419" s="2" t="s">
        <v>311</v>
      </c>
      <c r="C2419" s="3" t="s">
        <v>2253</v>
      </c>
      <c r="D2419" s="3" t="s">
        <v>75</v>
      </c>
      <c r="E2419" s="3" t="s">
        <v>87</v>
      </c>
      <c r="F2419" s="3" t="s">
        <v>2251</v>
      </c>
      <c r="G2419" s="3" t="s">
        <v>2252</v>
      </c>
      <c r="H2419" s="4"/>
      <c r="I2419" s="4">
        <f t="shared" si="229"/>
        <v>0</v>
      </c>
      <c r="J2419" s="4"/>
      <c r="K2419" s="4">
        <f t="shared" si="200"/>
        <v>0</v>
      </c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 spans="1:26" ht="15.75" customHeight="1" x14ac:dyDescent="0.2">
      <c r="A2420" s="1"/>
      <c r="B2420" s="2" t="s">
        <v>121</v>
      </c>
      <c r="C2420" s="3" t="s">
        <v>2254</v>
      </c>
      <c r="D2420" s="3" t="s">
        <v>295</v>
      </c>
      <c r="E2420" s="3" t="s">
        <v>18</v>
      </c>
      <c r="F2420" s="3" t="s">
        <v>2251</v>
      </c>
      <c r="G2420" s="3" t="s">
        <v>2252</v>
      </c>
      <c r="H2420" s="4"/>
      <c r="I2420" s="4">
        <f t="shared" si="229"/>
        <v>0</v>
      </c>
      <c r="J2420" s="4"/>
      <c r="K2420" s="4">
        <f t="shared" si="200"/>
        <v>0</v>
      </c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 spans="1:26" ht="15.75" customHeight="1" x14ac:dyDescent="0.2">
      <c r="A2421" s="1"/>
      <c r="B2421" s="2" t="s">
        <v>315</v>
      </c>
      <c r="C2421" s="3" t="s">
        <v>2254</v>
      </c>
      <c r="D2421" s="3" t="s">
        <v>295</v>
      </c>
      <c r="E2421" s="3" t="s">
        <v>18</v>
      </c>
      <c r="F2421" s="3" t="s">
        <v>2251</v>
      </c>
      <c r="G2421" s="3" t="s">
        <v>2252</v>
      </c>
      <c r="H2421" s="4"/>
      <c r="I2421" s="4">
        <f t="shared" si="229"/>
        <v>0</v>
      </c>
      <c r="J2421" s="4"/>
      <c r="K2421" s="4">
        <f t="shared" si="200"/>
        <v>0</v>
      </c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 spans="1:26" ht="15.75" customHeight="1" x14ac:dyDescent="0.2">
      <c r="A2422" s="1"/>
      <c r="B2422" s="2" t="s">
        <v>548</v>
      </c>
      <c r="C2422" s="3" t="s">
        <v>2256</v>
      </c>
      <c r="D2422" s="3" t="s">
        <v>345</v>
      </c>
      <c r="E2422" s="3" t="s">
        <v>530</v>
      </c>
      <c r="F2422" s="3" t="s">
        <v>2257</v>
      </c>
      <c r="G2422" s="3" t="s">
        <v>2255</v>
      </c>
      <c r="H2422" s="4"/>
      <c r="I2422" s="4">
        <f t="shared" si="229"/>
        <v>0</v>
      </c>
      <c r="J2422" s="4"/>
      <c r="K2422" s="4">
        <f t="shared" si="200"/>
        <v>0</v>
      </c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 spans="1:26" ht="15.75" customHeight="1" x14ac:dyDescent="0.2">
      <c r="A2423" s="1">
        <v>2647</v>
      </c>
      <c r="B2423" s="13" t="s">
        <v>1055</v>
      </c>
      <c r="C2423" s="14" t="s">
        <v>2258</v>
      </c>
      <c r="D2423" s="14" t="s">
        <v>266</v>
      </c>
      <c r="E2423" s="14" t="s">
        <v>2259</v>
      </c>
      <c r="F2423" s="14" t="s">
        <v>2260</v>
      </c>
      <c r="G2423" s="14" t="s">
        <v>2261</v>
      </c>
      <c r="H2423" s="4"/>
      <c r="I2423" s="4">
        <f t="shared" ref="I2423:I2425" si="230">H2423*2300</f>
        <v>0</v>
      </c>
      <c r="J2423" s="4"/>
      <c r="K2423" s="4">
        <f t="shared" si="200"/>
        <v>0</v>
      </c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 spans="1:26" ht="15.75" customHeight="1" x14ac:dyDescent="0.2">
      <c r="A2424" s="1"/>
      <c r="B2424" s="2" t="s">
        <v>303</v>
      </c>
      <c r="C2424" s="3" t="s">
        <v>2262</v>
      </c>
      <c r="D2424" s="3" t="s">
        <v>437</v>
      </c>
      <c r="E2424" s="3" t="s">
        <v>87</v>
      </c>
      <c r="F2424" s="3" t="s">
        <v>2260</v>
      </c>
      <c r="G2424" s="3" t="s">
        <v>2261</v>
      </c>
      <c r="H2424" s="4"/>
      <c r="I2424" s="4">
        <f t="shared" si="230"/>
        <v>0</v>
      </c>
      <c r="J2424" s="4"/>
      <c r="K2424" s="4">
        <f t="shared" si="200"/>
        <v>0</v>
      </c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 spans="1:26" ht="15.75" customHeight="1" x14ac:dyDescent="0.2">
      <c r="A2425" s="1"/>
      <c r="B2425" s="2" t="s">
        <v>94</v>
      </c>
      <c r="C2425" s="3" t="s">
        <v>2262</v>
      </c>
      <c r="D2425" s="3" t="s">
        <v>437</v>
      </c>
      <c r="E2425" s="3" t="s">
        <v>87</v>
      </c>
      <c r="F2425" s="3" t="s">
        <v>2260</v>
      </c>
      <c r="G2425" s="3" t="s">
        <v>2261</v>
      </c>
      <c r="H2425" s="4"/>
      <c r="I2425" s="4">
        <f t="shared" si="230"/>
        <v>0</v>
      </c>
      <c r="J2425" s="4"/>
      <c r="K2425" s="4">
        <f t="shared" si="200"/>
        <v>0</v>
      </c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 spans="1:26" ht="15.75" customHeight="1" x14ac:dyDescent="0.2">
      <c r="A2426" s="1"/>
      <c r="B2426" s="2" t="s">
        <v>94</v>
      </c>
      <c r="C2426" s="3" t="s">
        <v>2263</v>
      </c>
      <c r="D2426" s="3" t="s">
        <v>58</v>
      </c>
      <c r="E2426" s="3" t="s">
        <v>79</v>
      </c>
      <c r="F2426" s="3" t="s">
        <v>2260</v>
      </c>
      <c r="G2426" s="3" t="s">
        <v>2261</v>
      </c>
      <c r="H2426" s="4"/>
      <c r="I2426" s="4">
        <f t="shared" ref="I2426:I2447" si="231">H2426*1800</f>
        <v>0</v>
      </c>
      <c r="J2426" s="4"/>
      <c r="K2426" s="4">
        <f t="shared" si="200"/>
        <v>0</v>
      </c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 spans="1:26" ht="15.75" customHeight="1" x14ac:dyDescent="0.2">
      <c r="A2427" s="1" t="s">
        <v>2264</v>
      </c>
      <c r="B2427" s="13" t="s">
        <v>601</v>
      </c>
      <c r="C2427" s="14" t="s">
        <v>1142</v>
      </c>
      <c r="D2427" s="14" t="s">
        <v>183</v>
      </c>
      <c r="E2427" s="14" t="s">
        <v>79</v>
      </c>
      <c r="F2427" s="14" t="s">
        <v>2260</v>
      </c>
      <c r="G2427" s="14" t="s">
        <v>2261</v>
      </c>
      <c r="H2427" s="4"/>
      <c r="I2427" s="4">
        <f t="shared" si="231"/>
        <v>0</v>
      </c>
      <c r="J2427" s="4"/>
      <c r="K2427" s="4">
        <f t="shared" si="200"/>
        <v>0</v>
      </c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 spans="1:26" ht="15.75" customHeight="1" x14ac:dyDescent="0.2">
      <c r="A2428" s="1" t="s">
        <v>2264</v>
      </c>
      <c r="B2428" s="13" t="s">
        <v>1098</v>
      </c>
      <c r="C2428" s="14" t="s">
        <v>1142</v>
      </c>
      <c r="D2428" s="14" t="s">
        <v>183</v>
      </c>
      <c r="E2428" s="14" t="s">
        <v>79</v>
      </c>
      <c r="F2428" s="14" t="s">
        <v>2260</v>
      </c>
      <c r="G2428" s="14" t="s">
        <v>2261</v>
      </c>
      <c r="H2428" s="4"/>
      <c r="I2428" s="4">
        <f t="shared" si="231"/>
        <v>0</v>
      </c>
      <c r="J2428" s="4"/>
      <c r="K2428" s="4">
        <f t="shared" si="200"/>
        <v>0</v>
      </c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 spans="1:26" ht="15.75" customHeight="1" x14ac:dyDescent="0.2">
      <c r="A2429" s="1"/>
      <c r="B2429" s="2" t="s">
        <v>118</v>
      </c>
      <c r="C2429" s="3" t="s">
        <v>1142</v>
      </c>
      <c r="D2429" s="3" t="s">
        <v>58</v>
      </c>
      <c r="E2429" s="3" t="s">
        <v>79</v>
      </c>
      <c r="F2429" s="3" t="s">
        <v>2260</v>
      </c>
      <c r="G2429" s="3" t="s">
        <v>2261</v>
      </c>
      <c r="H2429" s="4"/>
      <c r="I2429" s="4">
        <f t="shared" si="231"/>
        <v>0</v>
      </c>
      <c r="J2429" s="4"/>
      <c r="K2429" s="4">
        <f t="shared" si="200"/>
        <v>0</v>
      </c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 spans="1:26" ht="15.75" customHeight="1" x14ac:dyDescent="0.2">
      <c r="A2430" s="1"/>
      <c r="B2430" s="2" t="s">
        <v>94</v>
      </c>
      <c r="C2430" s="3" t="s">
        <v>1142</v>
      </c>
      <c r="D2430" s="3" t="s">
        <v>58</v>
      </c>
      <c r="E2430" s="3" t="s">
        <v>79</v>
      </c>
      <c r="F2430" s="3" t="s">
        <v>2260</v>
      </c>
      <c r="G2430" s="3" t="s">
        <v>2261</v>
      </c>
      <c r="H2430" s="4"/>
      <c r="I2430" s="4">
        <f t="shared" si="231"/>
        <v>0</v>
      </c>
      <c r="J2430" s="4"/>
      <c r="K2430" s="4">
        <f t="shared" si="200"/>
        <v>0</v>
      </c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 spans="1:26" ht="15.75" customHeight="1" x14ac:dyDescent="0.2">
      <c r="A2431" s="1"/>
      <c r="B2431" s="2" t="s">
        <v>94</v>
      </c>
      <c r="C2431" s="3" t="s">
        <v>2265</v>
      </c>
      <c r="D2431" s="3" t="s">
        <v>39</v>
      </c>
      <c r="E2431" s="3" t="s">
        <v>306</v>
      </c>
      <c r="F2431" s="3" t="s">
        <v>2260</v>
      </c>
      <c r="G2431" s="3" t="s">
        <v>2261</v>
      </c>
      <c r="H2431" s="4"/>
      <c r="I2431" s="4">
        <f t="shared" si="231"/>
        <v>0</v>
      </c>
      <c r="J2431" s="4"/>
      <c r="K2431" s="4">
        <f t="shared" si="200"/>
        <v>0</v>
      </c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 spans="1:26" ht="15.75" customHeight="1" x14ac:dyDescent="0.2">
      <c r="A2432" s="1"/>
      <c r="B2432" s="2" t="s">
        <v>94</v>
      </c>
      <c r="C2432" s="3" t="s">
        <v>2266</v>
      </c>
      <c r="D2432" s="3" t="s">
        <v>574</v>
      </c>
      <c r="E2432" s="3" t="s">
        <v>259</v>
      </c>
      <c r="F2432" s="3" t="s">
        <v>2260</v>
      </c>
      <c r="G2432" s="3" t="s">
        <v>2261</v>
      </c>
      <c r="H2432" s="4"/>
      <c r="I2432" s="4">
        <f t="shared" si="231"/>
        <v>0</v>
      </c>
      <c r="J2432" s="4"/>
      <c r="K2432" s="4">
        <f t="shared" si="200"/>
        <v>0</v>
      </c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 spans="1:26" ht="15.75" customHeight="1" x14ac:dyDescent="0.2">
      <c r="A2433" s="1"/>
      <c r="B2433" s="2" t="s">
        <v>421</v>
      </c>
      <c r="C2433" s="3" t="s">
        <v>2267</v>
      </c>
      <c r="D2433" s="3" t="s">
        <v>2268</v>
      </c>
      <c r="E2433" s="3" t="s">
        <v>2269</v>
      </c>
      <c r="F2433" s="3" t="s">
        <v>2260</v>
      </c>
      <c r="G2433" s="3" t="s">
        <v>2261</v>
      </c>
      <c r="H2433" s="4"/>
      <c r="I2433" s="4">
        <f t="shared" si="231"/>
        <v>0</v>
      </c>
      <c r="J2433" s="4"/>
      <c r="K2433" s="4">
        <f t="shared" si="200"/>
        <v>0</v>
      </c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 spans="1:26" ht="15.75" customHeight="1" x14ac:dyDescent="0.2">
      <c r="A2434" s="1"/>
      <c r="B2434" s="2" t="s">
        <v>315</v>
      </c>
      <c r="C2434" s="3" t="s">
        <v>2270</v>
      </c>
      <c r="D2434" s="3" t="s">
        <v>1068</v>
      </c>
      <c r="E2434" s="3" t="s">
        <v>314</v>
      </c>
      <c r="F2434" s="3" t="s">
        <v>2260</v>
      </c>
      <c r="G2434" s="3" t="s">
        <v>2261</v>
      </c>
      <c r="H2434" s="4"/>
      <c r="I2434" s="4">
        <f t="shared" si="231"/>
        <v>0</v>
      </c>
      <c r="J2434" s="4"/>
      <c r="K2434" s="4">
        <f t="shared" si="200"/>
        <v>0</v>
      </c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 spans="1:26" ht="15.75" customHeight="1" x14ac:dyDescent="0.2">
      <c r="A2435" s="1"/>
      <c r="B2435" s="2" t="s">
        <v>94</v>
      </c>
      <c r="C2435" s="3" t="s">
        <v>2270</v>
      </c>
      <c r="D2435" s="3" t="s">
        <v>1068</v>
      </c>
      <c r="E2435" s="3" t="s">
        <v>314</v>
      </c>
      <c r="F2435" s="3" t="s">
        <v>2260</v>
      </c>
      <c r="G2435" s="3" t="s">
        <v>2261</v>
      </c>
      <c r="H2435" s="4"/>
      <c r="I2435" s="4">
        <f t="shared" si="231"/>
        <v>0</v>
      </c>
      <c r="J2435" s="4"/>
      <c r="K2435" s="4">
        <f t="shared" si="200"/>
        <v>0</v>
      </c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 spans="1:26" ht="15.75" customHeight="1" x14ac:dyDescent="0.2">
      <c r="A2436" s="1"/>
      <c r="B2436" s="2" t="s">
        <v>94</v>
      </c>
      <c r="C2436" s="3" t="s">
        <v>2271</v>
      </c>
      <c r="D2436" s="3" t="s">
        <v>2272</v>
      </c>
      <c r="E2436" s="3" t="s">
        <v>134</v>
      </c>
      <c r="F2436" s="3" t="s">
        <v>2273</v>
      </c>
      <c r="G2436" s="3" t="s">
        <v>2261</v>
      </c>
      <c r="H2436" s="4"/>
      <c r="I2436" s="4">
        <f t="shared" si="231"/>
        <v>0</v>
      </c>
      <c r="J2436" s="4"/>
      <c r="K2436" s="4">
        <f t="shared" si="200"/>
        <v>0</v>
      </c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 spans="1:26" ht="15.75" customHeight="1" x14ac:dyDescent="0.2">
      <c r="A2437" s="1"/>
      <c r="B2437" s="2" t="s">
        <v>94</v>
      </c>
      <c r="C2437" s="3" t="s">
        <v>57</v>
      </c>
      <c r="D2437" s="3" t="s">
        <v>39</v>
      </c>
      <c r="E2437" s="3" t="s">
        <v>87</v>
      </c>
      <c r="F2437" s="3" t="s">
        <v>2273</v>
      </c>
      <c r="G2437" s="3" t="s">
        <v>2261</v>
      </c>
      <c r="H2437" s="4"/>
      <c r="I2437" s="4">
        <f t="shared" si="231"/>
        <v>0</v>
      </c>
      <c r="J2437" s="4"/>
      <c r="K2437" s="4">
        <f t="shared" si="200"/>
        <v>0</v>
      </c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 spans="1:26" ht="15.75" customHeight="1" x14ac:dyDescent="0.2">
      <c r="A2438" s="1"/>
      <c r="B2438" s="2" t="s">
        <v>131</v>
      </c>
      <c r="C2438" s="3" t="s">
        <v>2274</v>
      </c>
      <c r="D2438" s="3" t="s">
        <v>325</v>
      </c>
      <c r="E2438" s="3" t="s">
        <v>2275</v>
      </c>
      <c r="F2438" s="3" t="s">
        <v>2273</v>
      </c>
      <c r="G2438" s="3" t="s">
        <v>2261</v>
      </c>
      <c r="H2438" s="4"/>
      <c r="I2438" s="4">
        <f t="shared" si="231"/>
        <v>0</v>
      </c>
      <c r="J2438" s="4"/>
      <c r="K2438" s="4">
        <f t="shared" si="200"/>
        <v>0</v>
      </c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 spans="1:26" ht="15.75" customHeight="1" x14ac:dyDescent="0.2">
      <c r="A2439" s="1"/>
      <c r="B2439" s="2" t="s">
        <v>118</v>
      </c>
      <c r="C2439" s="3" t="s">
        <v>2274</v>
      </c>
      <c r="D2439" s="3" t="s">
        <v>325</v>
      </c>
      <c r="E2439" s="3" t="s">
        <v>2275</v>
      </c>
      <c r="F2439" s="3" t="s">
        <v>2273</v>
      </c>
      <c r="G2439" s="3" t="s">
        <v>2261</v>
      </c>
      <c r="H2439" s="4"/>
      <c r="I2439" s="4">
        <f t="shared" si="231"/>
        <v>0</v>
      </c>
      <c r="J2439" s="4"/>
      <c r="K2439" s="4">
        <f t="shared" si="200"/>
        <v>0</v>
      </c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 spans="1:26" ht="15.75" customHeight="1" x14ac:dyDescent="0.2">
      <c r="A2440" s="1"/>
      <c r="B2440" s="2" t="s">
        <v>94</v>
      </c>
      <c r="C2440" s="3" t="s">
        <v>2274</v>
      </c>
      <c r="D2440" s="3" t="s">
        <v>325</v>
      </c>
      <c r="E2440" s="3" t="s">
        <v>2275</v>
      </c>
      <c r="F2440" s="3" t="s">
        <v>2273</v>
      </c>
      <c r="G2440" s="3" t="s">
        <v>2261</v>
      </c>
      <c r="H2440" s="4"/>
      <c r="I2440" s="4">
        <f t="shared" si="231"/>
        <v>0</v>
      </c>
      <c r="J2440" s="4"/>
      <c r="K2440" s="4">
        <f t="shared" si="200"/>
        <v>0</v>
      </c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 spans="1:26" ht="15.75" customHeight="1" x14ac:dyDescent="0.2">
      <c r="A2441" s="1"/>
      <c r="B2441" s="2" t="s">
        <v>94</v>
      </c>
      <c r="C2441" s="3" t="s">
        <v>2276</v>
      </c>
      <c r="D2441" s="3" t="s">
        <v>139</v>
      </c>
      <c r="E2441" s="3" t="s">
        <v>32</v>
      </c>
      <c r="F2441" s="3" t="s">
        <v>2273</v>
      </c>
      <c r="G2441" s="3" t="s">
        <v>2261</v>
      </c>
      <c r="H2441" s="4"/>
      <c r="I2441" s="4">
        <f t="shared" si="231"/>
        <v>0</v>
      </c>
      <c r="J2441" s="4"/>
      <c r="K2441" s="4">
        <f t="shared" si="200"/>
        <v>0</v>
      </c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 spans="1:26" ht="15.75" customHeight="1" x14ac:dyDescent="0.2">
      <c r="A2442" s="1"/>
      <c r="B2442" s="2" t="s">
        <v>88</v>
      </c>
      <c r="C2442" s="3" t="s">
        <v>2277</v>
      </c>
      <c r="D2442" s="3" t="s">
        <v>526</v>
      </c>
      <c r="E2442" s="3" t="s">
        <v>134</v>
      </c>
      <c r="F2442" s="3" t="s">
        <v>2273</v>
      </c>
      <c r="G2442" s="3" t="s">
        <v>2261</v>
      </c>
      <c r="H2442" s="4"/>
      <c r="I2442" s="4">
        <f t="shared" si="231"/>
        <v>0</v>
      </c>
      <c r="J2442" s="4"/>
      <c r="K2442" s="4">
        <f t="shared" si="200"/>
        <v>0</v>
      </c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 spans="1:26" ht="15.75" customHeight="1" x14ac:dyDescent="0.2">
      <c r="A2443" s="1"/>
      <c r="B2443" s="2" t="s">
        <v>121</v>
      </c>
      <c r="C2443" s="3" t="s">
        <v>2278</v>
      </c>
      <c r="D2443" s="3" t="s">
        <v>697</v>
      </c>
      <c r="E2443" s="3" t="s">
        <v>306</v>
      </c>
      <c r="F2443" s="3" t="s">
        <v>2273</v>
      </c>
      <c r="G2443" s="3" t="s">
        <v>2261</v>
      </c>
      <c r="H2443" s="4"/>
      <c r="I2443" s="4">
        <f t="shared" si="231"/>
        <v>0</v>
      </c>
      <c r="J2443" s="4"/>
      <c r="K2443" s="4">
        <f t="shared" si="200"/>
        <v>0</v>
      </c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 spans="1:26" ht="15.75" customHeight="1" x14ac:dyDescent="0.2">
      <c r="A2444" s="1"/>
      <c r="B2444" s="2" t="s">
        <v>315</v>
      </c>
      <c r="C2444" s="3" t="s">
        <v>2278</v>
      </c>
      <c r="D2444" s="3" t="s">
        <v>697</v>
      </c>
      <c r="E2444" s="3" t="s">
        <v>306</v>
      </c>
      <c r="F2444" s="3" t="s">
        <v>2273</v>
      </c>
      <c r="G2444" s="3" t="s">
        <v>2261</v>
      </c>
      <c r="H2444" s="4"/>
      <c r="I2444" s="4">
        <f t="shared" si="231"/>
        <v>0</v>
      </c>
      <c r="J2444" s="4"/>
      <c r="K2444" s="4">
        <f t="shared" si="200"/>
        <v>0</v>
      </c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 spans="1:26" ht="15.75" customHeight="1" x14ac:dyDescent="0.2">
      <c r="A2445" s="1"/>
      <c r="B2445" s="2" t="s">
        <v>118</v>
      </c>
      <c r="C2445" s="3" t="s">
        <v>2279</v>
      </c>
      <c r="D2445" s="3" t="s">
        <v>513</v>
      </c>
      <c r="E2445" s="3" t="s">
        <v>2280</v>
      </c>
      <c r="F2445" s="3" t="s">
        <v>2273</v>
      </c>
      <c r="G2445" s="3" t="s">
        <v>2261</v>
      </c>
      <c r="H2445" s="4"/>
      <c r="I2445" s="4">
        <f t="shared" si="231"/>
        <v>0</v>
      </c>
      <c r="J2445" s="4"/>
      <c r="K2445" s="4">
        <f t="shared" si="200"/>
        <v>0</v>
      </c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 spans="1:26" ht="15.75" customHeight="1" x14ac:dyDescent="0.2">
      <c r="A2446" s="1"/>
      <c r="B2446" s="2" t="s">
        <v>102</v>
      </c>
      <c r="C2446" s="3" t="s">
        <v>2281</v>
      </c>
      <c r="D2446" s="3" t="s">
        <v>39</v>
      </c>
      <c r="E2446" s="3" t="s">
        <v>1048</v>
      </c>
      <c r="F2446" s="3" t="s">
        <v>2273</v>
      </c>
      <c r="G2446" s="3" t="s">
        <v>2261</v>
      </c>
      <c r="H2446" s="4"/>
      <c r="I2446" s="4">
        <f t="shared" si="231"/>
        <v>0</v>
      </c>
      <c r="J2446" s="4"/>
      <c r="K2446" s="4">
        <f t="shared" si="200"/>
        <v>0</v>
      </c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 spans="1:26" ht="15.75" customHeight="1" x14ac:dyDescent="0.2">
      <c r="A2447" s="1"/>
      <c r="B2447" s="2" t="s">
        <v>232</v>
      </c>
      <c r="C2447" s="3" t="s">
        <v>2281</v>
      </c>
      <c r="D2447" s="3" t="s">
        <v>39</v>
      </c>
      <c r="E2447" s="3" t="s">
        <v>1048</v>
      </c>
      <c r="F2447" s="3" t="s">
        <v>2273</v>
      </c>
      <c r="G2447" s="3" t="s">
        <v>2261</v>
      </c>
      <c r="H2447" s="4"/>
      <c r="I2447" s="4">
        <f t="shared" si="231"/>
        <v>0</v>
      </c>
      <c r="J2447" s="4"/>
      <c r="K2447" s="4">
        <f t="shared" si="200"/>
        <v>0</v>
      </c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 spans="1:26" ht="15.75" customHeight="1" x14ac:dyDescent="0.2">
      <c r="A2448" s="1"/>
      <c r="B2448" s="2" t="s">
        <v>94</v>
      </c>
      <c r="C2448" s="3" t="s">
        <v>2258</v>
      </c>
      <c r="D2448" s="3" t="s">
        <v>1385</v>
      </c>
      <c r="E2448" s="3" t="s">
        <v>2259</v>
      </c>
      <c r="F2448" s="3" t="s">
        <v>2282</v>
      </c>
      <c r="G2448" s="3" t="s">
        <v>2261</v>
      </c>
      <c r="H2448" s="4"/>
      <c r="I2448" s="4">
        <f>H2448*2300</f>
        <v>0</v>
      </c>
      <c r="J2448" s="4"/>
      <c r="K2448" s="4">
        <f t="shared" si="200"/>
        <v>0</v>
      </c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 spans="1:26" ht="15.75" customHeight="1" x14ac:dyDescent="0.2">
      <c r="A2449" s="1"/>
      <c r="B2449" s="2" t="s">
        <v>94</v>
      </c>
      <c r="C2449" s="3" t="s">
        <v>1641</v>
      </c>
      <c r="D2449" s="3" t="s">
        <v>58</v>
      </c>
      <c r="E2449" s="3" t="s">
        <v>32</v>
      </c>
      <c r="F2449" s="3" t="s">
        <v>2282</v>
      </c>
      <c r="G2449" s="3" t="s">
        <v>2261</v>
      </c>
      <c r="H2449" s="4"/>
      <c r="I2449" s="4">
        <f t="shared" ref="I2449:I2460" si="232">H2449*1800</f>
        <v>0</v>
      </c>
      <c r="J2449" s="4"/>
      <c r="K2449" s="4">
        <f t="shared" si="200"/>
        <v>0</v>
      </c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 spans="1:26" ht="15.75" customHeight="1" x14ac:dyDescent="0.2">
      <c r="A2450" s="1"/>
      <c r="B2450" s="2" t="s">
        <v>94</v>
      </c>
      <c r="C2450" s="3" t="s">
        <v>2283</v>
      </c>
      <c r="D2450" s="3" t="s">
        <v>399</v>
      </c>
      <c r="E2450" s="3" t="s">
        <v>348</v>
      </c>
      <c r="F2450" s="3" t="s">
        <v>2282</v>
      </c>
      <c r="G2450" s="3" t="s">
        <v>2261</v>
      </c>
      <c r="H2450" s="4"/>
      <c r="I2450" s="4">
        <f t="shared" si="232"/>
        <v>0</v>
      </c>
      <c r="J2450" s="4"/>
      <c r="K2450" s="4">
        <f t="shared" si="200"/>
        <v>0</v>
      </c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 spans="1:26" ht="15.75" customHeight="1" x14ac:dyDescent="0.2">
      <c r="A2451" s="1"/>
      <c r="B2451" s="2" t="s">
        <v>94</v>
      </c>
      <c r="C2451" s="3" t="s">
        <v>2284</v>
      </c>
      <c r="D2451" s="3" t="s">
        <v>183</v>
      </c>
      <c r="E2451" s="3" t="s">
        <v>32</v>
      </c>
      <c r="F2451" s="3" t="s">
        <v>2282</v>
      </c>
      <c r="G2451" s="3" t="s">
        <v>2261</v>
      </c>
      <c r="H2451" s="4"/>
      <c r="I2451" s="4">
        <f t="shared" si="232"/>
        <v>0</v>
      </c>
      <c r="J2451" s="4"/>
      <c r="K2451" s="4">
        <f t="shared" si="200"/>
        <v>0</v>
      </c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 spans="1:26" ht="15.75" customHeight="1" x14ac:dyDescent="0.2">
      <c r="A2452" s="1"/>
      <c r="B2452" s="2" t="s">
        <v>315</v>
      </c>
      <c r="C2452" s="3" t="s">
        <v>2285</v>
      </c>
      <c r="D2452" s="3" t="s">
        <v>21</v>
      </c>
      <c r="E2452" s="3" t="s">
        <v>79</v>
      </c>
      <c r="F2452" s="3" t="s">
        <v>2282</v>
      </c>
      <c r="G2452" s="3" t="s">
        <v>2261</v>
      </c>
      <c r="H2452" s="4"/>
      <c r="I2452" s="4">
        <f t="shared" si="232"/>
        <v>0</v>
      </c>
      <c r="J2452" s="4"/>
      <c r="K2452" s="4">
        <f t="shared" si="200"/>
        <v>0</v>
      </c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 spans="1:26" ht="15.75" customHeight="1" x14ac:dyDescent="0.2">
      <c r="A2453" s="1"/>
      <c r="B2453" s="2" t="s">
        <v>126</v>
      </c>
      <c r="C2453" s="3" t="s">
        <v>2286</v>
      </c>
      <c r="D2453" s="3" t="s">
        <v>1611</v>
      </c>
      <c r="E2453" s="3" t="s">
        <v>374</v>
      </c>
      <c r="F2453" s="3" t="s">
        <v>2282</v>
      </c>
      <c r="G2453" s="3" t="s">
        <v>2261</v>
      </c>
      <c r="H2453" s="4"/>
      <c r="I2453" s="4">
        <f t="shared" si="232"/>
        <v>0</v>
      </c>
      <c r="J2453" s="4"/>
      <c r="K2453" s="4">
        <f t="shared" si="200"/>
        <v>0</v>
      </c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 spans="1:26" ht="15.75" customHeight="1" x14ac:dyDescent="0.2">
      <c r="A2454" s="1"/>
      <c r="B2454" s="2" t="s">
        <v>131</v>
      </c>
      <c r="C2454" s="3" t="s">
        <v>2286</v>
      </c>
      <c r="D2454" s="3" t="s">
        <v>1611</v>
      </c>
      <c r="E2454" s="3" t="s">
        <v>374</v>
      </c>
      <c r="F2454" s="3" t="s">
        <v>2282</v>
      </c>
      <c r="G2454" s="3" t="s">
        <v>2261</v>
      </c>
      <c r="H2454" s="4"/>
      <c r="I2454" s="4">
        <f t="shared" si="232"/>
        <v>0</v>
      </c>
      <c r="J2454" s="4"/>
      <c r="K2454" s="4">
        <f t="shared" si="200"/>
        <v>0</v>
      </c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 spans="1:26" ht="15.75" customHeight="1" x14ac:dyDescent="0.2">
      <c r="A2455" s="1"/>
      <c r="B2455" s="2" t="s">
        <v>94</v>
      </c>
      <c r="C2455" s="3" t="s">
        <v>2286</v>
      </c>
      <c r="D2455" s="3" t="s">
        <v>1611</v>
      </c>
      <c r="E2455" s="3" t="s">
        <v>374</v>
      </c>
      <c r="F2455" s="3" t="s">
        <v>2282</v>
      </c>
      <c r="G2455" s="3" t="s">
        <v>2261</v>
      </c>
      <c r="H2455" s="4"/>
      <c r="I2455" s="4">
        <f t="shared" si="232"/>
        <v>0</v>
      </c>
      <c r="J2455" s="4"/>
      <c r="K2455" s="4">
        <f t="shared" si="200"/>
        <v>0</v>
      </c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 spans="1:26" ht="15.75" customHeight="1" x14ac:dyDescent="0.2">
      <c r="A2456" s="1"/>
      <c r="B2456" s="2" t="s">
        <v>118</v>
      </c>
      <c r="C2456" s="3" t="s">
        <v>514</v>
      </c>
      <c r="D2456" s="3" t="s">
        <v>600</v>
      </c>
      <c r="E2456" s="3" t="s">
        <v>2154</v>
      </c>
      <c r="F2456" s="3" t="s">
        <v>2282</v>
      </c>
      <c r="G2456" s="3" t="s">
        <v>2261</v>
      </c>
      <c r="H2456" s="4"/>
      <c r="I2456" s="4">
        <f t="shared" si="232"/>
        <v>0</v>
      </c>
      <c r="J2456" s="4"/>
      <c r="K2456" s="4">
        <f t="shared" si="200"/>
        <v>0</v>
      </c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 spans="1:26" ht="15.75" customHeight="1" x14ac:dyDescent="0.2">
      <c r="A2457" s="1"/>
      <c r="B2457" s="2" t="s">
        <v>121</v>
      </c>
      <c r="C2457" s="3" t="s">
        <v>514</v>
      </c>
      <c r="D2457" s="3" t="s">
        <v>600</v>
      </c>
      <c r="E2457" s="3" t="s">
        <v>2154</v>
      </c>
      <c r="F2457" s="3" t="s">
        <v>2282</v>
      </c>
      <c r="G2457" s="3" t="s">
        <v>2261</v>
      </c>
      <c r="H2457" s="4"/>
      <c r="I2457" s="4">
        <f t="shared" si="232"/>
        <v>0</v>
      </c>
      <c r="J2457" s="4"/>
      <c r="K2457" s="4">
        <f t="shared" si="200"/>
        <v>0</v>
      </c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 spans="1:26" ht="15.75" customHeight="1" x14ac:dyDescent="0.2">
      <c r="A2458" s="1"/>
      <c r="B2458" s="2" t="s">
        <v>94</v>
      </c>
      <c r="C2458" s="3" t="s">
        <v>514</v>
      </c>
      <c r="D2458" s="3" t="s">
        <v>600</v>
      </c>
      <c r="E2458" s="3" t="s">
        <v>2154</v>
      </c>
      <c r="F2458" s="3" t="s">
        <v>2282</v>
      </c>
      <c r="G2458" s="3" t="s">
        <v>2261</v>
      </c>
      <c r="H2458" s="4"/>
      <c r="I2458" s="4">
        <f t="shared" si="232"/>
        <v>0</v>
      </c>
      <c r="J2458" s="4"/>
      <c r="K2458" s="4">
        <f t="shared" si="200"/>
        <v>0</v>
      </c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 spans="1:26" ht="15.75" customHeight="1" x14ac:dyDescent="0.2">
      <c r="A2459" s="1"/>
      <c r="B2459" s="2" t="s">
        <v>131</v>
      </c>
      <c r="C2459" s="3" t="s">
        <v>2287</v>
      </c>
      <c r="D2459" s="3" t="s">
        <v>295</v>
      </c>
      <c r="E2459" s="3" t="s">
        <v>596</v>
      </c>
      <c r="F2459" s="3" t="s">
        <v>1542</v>
      </c>
      <c r="G2459" s="3" t="s">
        <v>2261</v>
      </c>
      <c r="H2459" s="4"/>
      <c r="I2459" s="4">
        <f t="shared" si="232"/>
        <v>0</v>
      </c>
      <c r="J2459" s="4"/>
      <c r="K2459" s="4">
        <f t="shared" si="200"/>
        <v>0</v>
      </c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 spans="1:26" ht="15.75" customHeight="1" x14ac:dyDescent="0.2">
      <c r="A2460" s="1"/>
      <c r="B2460" s="2" t="s">
        <v>118</v>
      </c>
      <c r="C2460" s="3" t="s">
        <v>2287</v>
      </c>
      <c r="D2460" s="3" t="s">
        <v>295</v>
      </c>
      <c r="E2460" s="3" t="s">
        <v>596</v>
      </c>
      <c r="F2460" s="3" t="s">
        <v>1542</v>
      </c>
      <c r="G2460" s="3" t="s">
        <v>2261</v>
      </c>
      <c r="H2460" s="4"/>
      <c r="I2460" s="4">
        <f t="shared" si="232"/>
        <v>0</v>
      </c>
      <c r="J2460" s="4"/>
      <c r="K2460" s="4">
        <f t="shared" si="200"/>
        <v>0</v>
      </c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 spans="1:26" ht="15.75" customHeight="1" x14ac:dyDescent="0.2">
      <c r="A2461" s="1"/>
      <c r="B2461" s="2" t="s">
        <v>131</v>
      </c>
      <c r="C2461" s="3" t="s">
        <v>870</v>
      </c>
      <c r="D2461" s="3" t="s">
        <v>78</v>
      </c>
      <c r="E2461" s="3" t="s">
        <v>650</v>
      </c>
      <c r="F2461" s="3" t="s">
        <v>2288</v>
      </c>
      <c r="G2461" s="3" t="s">
        <v>2261</v>
      </c>
      <c r="H2461" s="4"/>
      <c r="I2461" s="4">
        <f t="shared" ref="I2461:I2464" si="233">H2461*2300</f>
        <v>0</v>
      </c>
      <c r="J2461" s="4"/>
      <c r="K2461" s="4">
        <f t="shared" si="200"/>
        <v>0</v>
      </c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 spans="1:26" ht="15.75" customHeight="1" x14ac:dyDescent="0.2">
      <c r="A2462" s="1"/>
      <c r="B2462" s="2" t="s">
        <v>118</v>
      </c>
      <c r="C2462" s="3" t="s">
        <v>870</v>
      </c>
      <c r="D2462" s="3" t="s">
        <v>78</v>
      </c>
      <c r="E2462" s="3" t="s">
        <v>650</v>
      </c>
      <c r="F2462" s="3" t="s">
        <v>2288</v>
      </c>
      <c r="G2462" s="3" t="s">
        <v>2261</v>
      </c>
      <c r="H2462" s="4"/>
      <c r="I2462" s="4">
        <f t="shared" si="233"/>
        <v>0</v>
      </c>
      <c r="J2462" s="4"/>
      <c r="K2462" s="4">
        <f t="shared" ref="K2462:K2716" si="234">J2462*4000</f>
        <v>0</v>
      </c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 spans="1:26" ht="15.75" customHeight="1" x14ac:dyDescent="0.2">
      <c r="A2463" s="1">
        <v>2683</v>
      </c>
      <c r="B2463" s="13" t="s">
        <v>1098</v>
      </c>
      <c r="C2463" s="14" t="s">
        <v>2289</v>
      </c>
      <c r="D2463" s="14" t="s">
        <v>75</v>
      </c>
      <c r="E2463" s="14" t="s">
        <v>87</v>
      </c>
      <c r="F2463" s="14" t="s">
        <v>2288</v>
      </c>
      <c r="G2463" s="14" t="s">
        <v>2261</v>
      </c>
      <c r="H2463" s="4"/>
      <c r="I2463" s="4">
        <f t="shared" si="233"/>
        <v>0</v>
      </c>
      <c r="J2463" s="4"/>
      <c r="K2463" s="4">
        <f t="shared" si="234"/>
        <v>0</v>
      </c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 spans="1:26" ht="15.75" customHeight="1" x14ac:dyDescent="0.2">
      <c r="A2464" s="1"/>
      <c r="B2464" s="2" t="s">
        <v>109</v>
      </c>
      <c r="C2464" s="3" t="s">
        <v>2073</v>
      </c>
      <c r="D2464" s="3" t="s">
        <v>272</v>
      </c>
      <c r="E2464" s="3" t="s">
        <v>40</v>
      </c>
      <c r="F2464" s="3" t="s">
        <v>2288</v>
      </c>
      <c r="G2464" s="3" t="s">
        <v>2261</v>
      </c>
      <c r="H2464" s="4"/>
      <c r="I2464" s="4">
        <f t="shared" si="233"/>
        <v>0</v>
      </c>
      <c r="J2464" s="4"/>
      <c r="K2464" s="4">
        <f t="shared" si="234"/>
        <v>0</v>
      </c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 spans="1:26" ht="15.75" customHeight="1" x14ac:dyDescent="0.2">
      <c r="A2465" s="1"/>
      <c r="B2465" s="2" t="s">
        <v>108</v>
      </c>
      <c r="C2465" s="3" t="s">
        <v>2073</v>
      </c>
      <c r="D2465" s="3" t="s">
        <v>272</v>
      </c>
      <c r="E2465" s="3" t="s">
        <v>40</v>
      </c>
      <c r="F2465" s="3" t="s">
        <v>2288</v>
      </c>
      <c r="G2465" s="3" t="s">
        <v>2261</v>
      </c>
      <c r="H2465" s="4"/>
      <c r="I2465" s="4">
        <f t="shared" ref="I2465:I2483" si="235">H2465*1800</f>
        <v>0</v>
      </c>
      <c r="J2465" s="4"/>
      <c r="K2465" s="4">
        <f t="shared" si="234"/>
        <v>0</v>
      </c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 spans="1:26" ht="15.75" customHeight="1" x14ac:dyDescent="0.2">
      <c r="A2466" s="1"/>
      <c r="B2466" s="2" t="s">
        <v>297</v>
      </c>
      <c r="C2466" s="3" t="s">
        <v>2290</v>
      </c>
      <c r="D2466" s="3" t="s">
        <v>1041</v>
      </c>
      <c r="E2466" s="3" t="s">
        <v>637</v>
      </c>
      <c r="F2466" s="3" t="s">
        <v>2288</v>
      </c>
      <c r="G2466" s="3" t="s">
        <v>2261</v>
      </c>
      <c r="H2466" s="4"/>
      <c r="I2466" s="4">
        <f t="shared" si="235"/>
        <v>0</v>
      </c>
      <c r="J2466" s="4"/>
      <c r="K2466" s="4">
        <f t="shared" si="234"/>
        <v>0</v>
      </c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 spans="1:26" ht="15.75" customHeight="1" x14ac:dyDescent="0.2">
      <c r="A2467" s="1"/>
      <c r="B2467" s="2" t="s">
        <v>114</v>
      </c>
      <c r="C2467" s="3" t="s">
        <v>2291</v>
      </c>
      <c r="D2467" s="3" t="s">
        <v>272</v>
      </c>
      <c r="E2467" s="3" t="s">
        <v>571</v>
      </c>
      <c r="F2467" s="3" t="s">
        <v>2288</v>
      </c>
      <c r="G2467" s="3" t="s">
        <v>2261</v>
      </c>
      <c r="H2467" s="4"/>
      <c r="I2467" s="4">
        <f t="shared" si="235"/>
        <v>0</v>
      </c>
      <c r="J2467" s="4"/>
      <c r="K2467" s="4">
        <f t="shared" si="234"/>
        <v>0</v>
      </c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 spans="1:26" ht="15.75" customHeight="1" x14ac:dyDescent="0.2">
      <c r="A2468" s="1"/>
      <c r="B2468" s="2" t="s">
        <v>108</v>
      </c>
      <c r="C2468" s="3" t="s">
        <v>2291</v>
      </c>
      <c r="D2468" s="3" t="s">
        <v>272</v>
      </c>
      <c r="E2468" s="3" t="s">
        <v>571</v>
      </c>
      <c r="F2468" s="3" t="s">
        <v>2288</v>
      </c>
      <c r="G2468" s="3" t="s">
        <v>2261</v>
      </c>
      <c r="H2468" s="4"/>
      <c r="I2468" s="4">
        <f t="shared" si="235"/>
        <v>0</v>
      </c>
      <c r="J2468" s="4"/>
      <c r="K2468" s="4">
        <f t="shared" si="234"/>
        <v>0</v>
      </c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 spans="1:26" ht="15.75" customHeight="1" x14ac:dyDescent="0.2">
      <c r="A2469" s="1"/>
      <c r="B2469" s="2" t="s">
        <v>122</v>
      </c>
      <c r="C2469" s="3" t="s">
        <v>63</v>
      </c>
      <c r="D2469" s="3" t="s">
        <v>31</v>
      </c>
      <c r="E2469" s="3" t="s">
        <v>397</v>
      </c>
      <c r="F2469" s="3" t="s">
        <v>2288</v>
      </c>
      <c r="G2469" s="3" t="s">
        <v>2261</v>
      </c>
      <c r="H2469" s="4"/>
      <c r="I2469" s="4">
        <f t="shared" si="235"/>
        <v>0</v>
      </c>
      <c r="J2469" s="4"/>
      <c r="K2469" s="4">
        <f t="shared" si="234"/>
        <v>0</v>
      </c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 spans="1:26" ht="15.75" customHeight="1" x14ac:dyDescent="0.2">
      <c r="A2470" s="1"/>
      <c r="B2470" s="2" t="s">
        <v>126</v>
      </c>
      <c r="C2470" s="3" t="s">
        <v>63</v>
      </c>
      <c r="D2470" s="3" t="s">
        <v>31</v>
      </c>
      <c r="E2470" s="3" t="s">
        <v>397</v>
      </c>
      <c r="F2470" s="3" t="s">
        <v>2288</v>
      </c>
      <c r="G2470" s="3" t="s">
        <v>2261</v>
      </c>
      <c r="H2470" s="4"/>
      <c r="I2470" s="4">
        <f t="shared" si="235"/>
        <v>0</v>
      </c>
      <c r="J2470" s="4"/>
      <c r="K2470" s="4">
        <f t="shared" si="234"/>
        <v>0</v>
      </c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 spans="1:26" ht="15.75" customHeight="1" x14ac:dyDescent="0.2">
      <c r="A2471" s="1"/>
      <c r="B2471" s="2" t="s">
        <v>108</v>
      </c>
      <c r="C2471" s="3" t="s">
        <v>63</v>
      </c>
      <c r="D2471" s="3" t="s">
        <v>31</v>
      </c>
      <c r="E2471" s="3" t="s">
        <v>397</v>
      </c>
      <c r="F2471" s="3" t="s">
        <v>2288</v>
      </c>
      <c r="G2471" s="3" t="s">
        <v>2261</v>
      </c>
      <c r="H2471" s="4"/>
      <c r="I2471" s="4">
        <f t="shared" si="235"/>
        <v>0</v>
      </c>
      <c r="J2471" s="4"/>
      <c r="K2471" s="4">
        <f t="shared" si="234"/>
        <v>0</v>
      </c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 spans="1:26" ht="15.75" customHeight="1" x14ac:dyDescent="0.2">
      <c r="A2472" s="1"/>
      <c r="B2472" s="2" t="s">
        <v>297</v>
      </c>
      <c r="C2472" s="3" t="s">
        <v>2292</v>
      </c>
      <c r="D2472" s="3" t="s">
        <v>104</v>
      </c>
      <c r="E2472" s="3" t="s">
        <v>348</v>
      </c>
      <c r="F2472" s="3" t="s">
        <v>2288</v>
      </c>
      <c r="G2472" s="3" t="s">
        <v>2261</v>
      </c>
      <c r="H2472" s="4"/>
      <c r="I2472" s="4">
        <f t="shared" si="235"/>
        <v>0</v>
      </c>
      <c r="J2472" s="4"/>
      <c r="K2472" s="4">
        <f t="shared" si="234"/>
        <v>0</v>
      </c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 spans="1:26" ht="15.75" customHeight="1" x14ac:dyDescent="0.2">
      <c r="A2473" s="1"/>
      <c r="B2473" s="2" t="s">
        <v>316</v>
      </c>
      <c r="C2473" s="3" t="s">
        <v>2292</v>
      </c>
      <c r="D2473" s="3" t="s">
        <v>104</v>
      </c>
      <c r="E2473" s="3" t="s">
        <v>348</v>
      </c>
      <c r="F2473" s="3" t="s">
        <v>2288</v>
      </c>
      <c r="G2473" s="3" t="s">
        <v>2261</v>
      </c>
      <c r="H2473" s="4"/>
      <c r="I2473" s="4">
        <f t="shared" si="235"/>
        <v>0</v>
      </c>
      <c r="J2473" s="4"/>
      <c r="K2473" s="4">
        <f t="shared" si="234"/>
        <v>0</v>
      </c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 spans="1:26" ht="15.75" customHeight="1" x14ac:dyDescent="0.2">
      <c r="A2474" s="1"/>
      <c r="B2474" s="2" t="s">
        <v>94</v>
      </c>
      <c r="C2474" s="3" t="s">
        <v>2292</v>
      </c>
      <c r="D2474" s="3" t="s">
        <v>104</v>
      </c>
      <c r="E2474" s="3" t="s">
        <v>348</v>
      </c>
      <c r="F2474" s="3" t="s">
        <v>2288</v>
      </c>
      <c r="G2474" s="3" t="s">
        <v>2261</v>
      </c>
      <c r="H2474" s="4"/>
      <c r="I2474" s="4">
        <f t="shared" si="235"/>
        <v>0</v>
      </c>
      <c r="J2474" s="4"/>
      <c r="K2474" s="4">
        <f t="shared" si="234"/>
        <v>0</v>
      </c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 spans="1:26" ht="15.75" customHeight="1" x14ac:dyDescent="0.2">
      <c r="A2475" s="1"/>
      <c r="B2475" s="2" t="s">
        <v>126</v>
      </c>
      <c r="C2475" s="3" t="s">
        <v>2293</v>
      </c>
      <c r="D2475" s="3" t="s">
        <v>333</v>
      </c>
      <c r="E2475" s="3" t="s">
        <v>306</v>
      </c>
      <c r="F2475" s="3" t="s">
        <v>2288</v>
      </c>
      <c r="G2475" s="3" t="s">
        <v>2261</v>
      </c>
      <c r="H2475" s="4"/>
      <c r="I2475" s="4">
        <f t="shared" si="235"/>
        <v>0</v>
      </c>
      <c r="J2475" s="4"/>
      <c r="K2475" s="4">
        <f t="shared" si="234"/>
        <v>0</v>
      </c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 spans="1:26" ht="15.75" customHeight="1" x14ac:dyDescent="0.2">
      <c r="A2476" s="1"/>
      <c r="B2476" s="2" t="s">
        <v>131</v>
      </c>
      <c r="C2476" s="3" t="s">
        <v>2293</v>
      </c>
      <c r="D2476" s="3" t="s">
        <v>333</v>
      </c>
      <c r="E2476" s="3" t="s">
        <v>306</v>
      </c>
      <c r="F2476" s="3" t="s">
        <v>2288</v>
      </c>
      <c r="G2476" s="3" t="s">
        <v>2261</v>
      </c>
      <c r="H2476" s="4"/>
      <c r="I2476" s="4">
        <f t="shared" si="235"/>
        <v>0</v>
      </c>
      <c r="J2476" s="4"/>
      <c r="K2476" s="4">
        <f t="shared" si="234"/>
        <v>0</v>
      </c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 spans="1:26" ht="15.75" customHeight="1" x14ac:dyDescent="0.2">
      <c r="A2477" s="1">
        <v>1399</v>
      </c>
      <c r="B2477" s="13" t="s">
        <v>386</v>
      </c>
      <c r="C2477" s="14" t="s">
        <v>1945</v>
      </c>
      <c r="D2477" s="14" t="s">
        <v>562</v>
      </c>
      <c r="E2477" s="14" t="s">
        <v>326</v>
      </c>
      <c r="F2477" s="14" t="s">
        <v>2288</v>
      </c>
      <c r="G2477" s="14" t="s">
        <v>2261</v>
      </c>
      <c r="H2477" s="4"/>
      <c r="I2477" s="4">
        <f t="shared" si="235"/>
        <v>0</v>
      </c>
      <c r="J2477" s="4"/>
      <c r="K2477" s="4">
        <f t="shared" si="234"/>
        <v>0</v>
      </c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 spans="1:26" ht="15.75" customHeight="1" x14ac:dyDescent="0.2">
      <c r="A2478" s="1">
        <v>2141</v>
      </c>
      <c r="B2478" s="13" t="s">
        <v>281</v>
      </c>
      <c r="C2478" s="14" t="s">
        <v>1945</v>
      </c>
      <c r="D2478" s="14" t="s">
        <v>562</v>
      </c>
      <c r="E2478" s="14" t="s">
        <v>326</v>
      </c>
      <c r="F2478" s="14" t="s">
        <v>2288</v>
      </c>
      <c r="G2478" s="14" t="s">
        <v>2261</v>
      </c>
      <c r="H2478" s="4"/>
      <c r="I2478" s="4">
        <f t="shared" si="235"/>
        <v>0</v>
      </c>
      <c r="J2478" s="4"/>
      <c r="K2478" s="4">
        <f t="shared" si="234"/>
        <v>0</v>
      </c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 spans="1:26" ht="15.75" customHeight="1" x14ac:dyDescent="0.2">
      <c r="A2479" s="1"/>
      <c r="B2479" s="2" t="s">
        <v>118</v>
      </c>
      <c r="C2479" s="3" t="s">
        <v>1379</v>
      </c>
      <c r="D2479" s="3" t="s">
        <v>2294</v>
      </c>
      <c r="E2479" s="3" t="s">
        <v>255</v>
      </c>
      <c r="F2479" s="3" t="s">
        <v>2288</v>
      </c>
      <c r="G2479" s="3" t="s">
        <v>2261</v>
      </c>
      <c r="H2479" s="4"/>
      <c r="I2479" s="4">
        <f t="shared" si="235"/>
        <v>0</v>
      </c>
      <c r="J2479" s="4"/>
      <c r="K2479" s="4">
        <f t="shared" si="234"/>
        <v>0</v>
      </c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 spans="1:26" ht="15.75" customHeight="1" x14ac:dyDescent="0.2">
      <c r="A2480" s="1"/>
      <c r="B2480" s="2" t="s">
        <v>131</v>
      </c>
      <c r="C2480" s="3" t="s">
        <v>2295</v>
      </c>
      <c r="D2480" s="3" t="s">
        <v>139</v>
      </c>
      <c r="E2480" s="3" t="s">
        <v>87</v>
      </c>
      <c r="F2480" s="3" t="s">
        <v>2288</v>
      </c>
      <c r="G2480" s="3" t="s">
        <v>2261</v>
      </c>
      <c r="H2480" s="4"/>
      <c r="I2480" s="4">
        <f t="shared" si="235"/>
        <v>0</v>
      </c>
      <c r="J2480" s="4"/>
      <c r="K2480" s="4">
        <f t="shared" si="234"/>
        <v>0</v>
      </c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 spans="1:26" ht="15.75" customHeight="1" x14ac:dyDescent="0.2">
      <c r="A2481" s="1"/>
      <c r="B2481" s="2" t="s">
        <v>118</v>
      </c>
      <c r="C2481" s="3" t="s">
        <v>2295</v>
      </c>
      <c r="D2481" s="3" t="s">
        <v>139</v>
      </c>
      <c r="E2481" s="3" t="s">
        <v>87</v>
      </c>
      <c r="F2481" s="3" t="s">
        <v>2288</v>
      </c>
      <c r="G2481" s="3" t="s">
        <v>2261</v>
      </c>
      <c r="H2481" s="4"/>
      <c r="I2481" s="4">
        <f t="shared" si="235"/>
        <v>0</v>
      </c>
      <c r="J2481" s="4"/>
      <c r="K2481" s="4">
        <f t="shared" si="234"/>
        <v>0</v>
      </c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 spans="1:26" ht="15.75" customHeight="1" x14ac:dyDescent="0.2">
      <c r="A2482" s="1"/>
      <c r="B2482" s="2" t="s">
        <v>102</v>
      </c>
      <c r="C2482" s="3" t="s">
        <v>505</v>
      </c>
      <c r="D2482" s="3" t="s">
        <v>325</v>
      </c>
      <c r="E2482" s="3" t="s">
        <v>125</v>
      </c>
      <c r="F2482" s="3" t="s">
        <v>2288</v>
      </c>
      <c r="G2482" s="3" t="s">
        <v>2261</v>
      </c>
      <c r="H2482" s="4"/>
      <c r="I2482" s="4">
        <f t="shared" si="235"/>
        <v>0</v>
      </c>
      <c r="J2482" s="4"/>
      <c r="K2482" s="4">
        <f t="shared" si="234"/>
        <v>0</v>
      </c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 spans="1:26" ht="15.75" customHeight="1" x14ac:dyDescent="0.2">
      <c r="A2483" s="1"/>
      <c r="B2483" s="2" t="s">
        <v>232</v>
      </c>
      <c r="C2483" s="3" t="s">
        <v>505</v>
      </c>
      <c r="D2483" s="3" t="s">
        <v>325</v>
      </c>
      <c r="E2483" s="3" t="s">
        <v>125</v>
      </c>
      <c r="F2483" s="3" t="s">
        <v>2288</v>
      </c>
      <c r="G2483" s="3" t="s">
        <v>2261</v>
      </c>
      <c r="H2483" s="4"/>
      <c r="I2483" s="4">
        <f t="shared" si="235"/>
        <v>0</v>
      </c>
      <c r="J2483" s="4"/>
      <c r="K2483" s="4">
        <f t="shared" si="234"/>
        <v>0</v>
      </c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 spans="1:26" ht="15.75" customHeight="1" x14ac:dyDescent="0.2">
      <c r="A2484" s="1">
        <v>201</v>
      </c>
      <c r="B2484" s="13" t="s">
        <v>1631</v>
      </c>
      <c r="C2484" s="14" t="s">
        <v>2296</v>
      </c>
      <c r="D2484" s="14" t="s">
        <v>2297</v>
      </c>
      <c r="E2484" s="14" t="s">
        <v>2298</v>
      </c>
      <c r="F2484" s="14" t="s">
        <v>2299</v>
      </c>
      <c r="G2484" s="14" t="s">
        <v>2261</v>
      </c>
      <c r="H2484" s="4"/>
      <c r="I2484" s="4">
        <f t="shared" ref="I2484:I2485" si="236">H2484*2300</f>
        <v>0</v>
      </c>
      <c r="J2484" s="4"/>
      <c r="K2484" s="4">
        <f t="shared" si="234"/>
        <v>0</v>
      </c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 spans="1:26" ht="15.75" customHeight="1" x14ac:dyDescent="0.2">
      <c r="A2485" s="1">
        <v>79</v>
      </c>
      <c r="B2485" s="13" t="s">
        <v>226</v>
      </c>
      <c r="C2485" s="14" t="s">
        <v>2300</v>
      </c>
      <c r="D2485" s="14" t="s">
        <v>2301</v>
      </c>
      <c r="E2485" s="14" t="s">
        <v>229</v>
      </c>
      <c r="F2485" s="14" t="s">
        <v>2302</v>
      </c>
      <c r="G2485" s="14" t="s">
        <v>2261</v>
      </c>
      <c r="H2485" s="4"/>
      <c r="I2485" s="4">
        <f t="shared" si="236"/>
        <v>0</v>
      </c>
      <c r="J2485" s="4"/>
      <c r="K2485" s="4">
        <f t="shared" si="234"/>
        <v>0</v>
      </c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 spans="1:26" ht="15.75" customHeight="1" x14ac:dyDescent="0.2">
      <c r="A2486" s="1"/>
      <c r="B2486" s="2" t="s">
        <v>818</v>
      </c>
      <c r="C2486" s="3" t="s">
        <v>2303</v>
      </c>
      <c r="D2486" s="3" t="s">
        <v>1858</v>
      </c>
      <c r="E2486" s="3" t="s">
        <v>40</v>
      </c>
      <c r="F2486" s="3" t="s">
        <v>2304</v>
      </c>
      <c r="G2486" s="3" t="s">
        <v>2305</v>
      </c>
      <c r="H2486" s="4"/>
      <c r="I2486" s="4">
        <f t="shared" ref="I2486:I2497" si="237">H2486*1800</f>
        <v>0</v>
      </c>
      <c r="J2486" s="4"/>
      <c r="K2486" s="4">
        <f t="shared" si="234"/>
        <v>0</v>
      </c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 spans="1:26" ht="15.75" customHeight="1" x14ac:dyDescent="0.2">
      <c r="A2487" s="1"/>
      <c r="B2487" s="19" t="s">
        <v>830</v>
      </c>
      <c r="C2487" s="23" t="s">
        <v>2306</v>
      </c>
      <c r="D2487" s="23" t="s">
        <v>124</v>
      </c>
      <c r="E2487" s="3" t="s">
        <v>40</v>
      </c>
      <c r="F2487" s="23" t="s">
        <v>2304</v>
      </c>
      <c r="G2487" s="23" t="s">
        <v>2305</v>
      </c>
      <c r="H2487" s="4"/>
      <c r="I2487" s="4">
        <f t="shared" si="237"/>
        <v>0</v>
      </c>
      <c r="J2487" s="4"/>
      <c r="K2487" s="4">
        <f t="shared" si="234"/>
        <v>0</v>
      </c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 spans="1:26" ht="15.75" customHeight="1" x14ac:dyDescent="0.2">
      <c r="A2488" s="1"/>
      <c r="B2488" s="2" t="s">
        <v>807</v>
      </c>
      <c r="C2488" s="3" t="s">
        <v>2307</v>
      </c>
      <c r="D2488" s="3" t="s">
        <v>2308</v>
      </c>
      <c r="E2488" s="3" t="s">
        <v>310</v>
      </c>
      <c r="F2488" s="3" t="s">
        <v>2304</v>
      </c>
      <c r="G2488" s="3" t="s">
        <v>2305</v>
      </c>
      <c r="H2488" s="4"/>
      <c r="I2488" s="4">
        <f t="shared" si="237"/>
        <v>0</v>
      </c>
      <c r="J2488" s="4"/>
      <c r="K2488" s="4">
        <f t="shared" si="234"/>
        <v>0</v>
      </c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 spans="1:26" ht="15.75" customHeight="1" x14ac:dyDescent="0.2">
      <c r="A2489" s="1"/>
      <c r="B2489" s="2" t="s">
        <v>828</v>
      </c>
      <c r="C2489" s="3" t="s">
        <v>700</v>
      </c>
      <c r="D2489" s="3" t="s">
        <v>39</v>
      </c>
      <c r="E2489" s="3" t="s">
        <v>125</v>
      </c>
      <c r="F2489" s="3" t="s">
        <v>2309</v>
      </c>
      <c r="G2489" s="3" t="s">
        <v>2305</v>
      </c>
      <c r="H2489" s="4"/>
      <c r="I2489" s="4">
        <f t="shared" si="237"/>
        <v>0</v>
      </c>
      <c r="J2489" s="4"/>
      <c r="K2489" s="4">
        <f t="shared" si="234"/>
        <v>0</v>
      </c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 spans="1:26" ht="15.75" customHeight="1" x14ac:dyDescent="0.2">
      <c r="A2490" s="1"/>
      <c r="B2490" s="2" t="s">
        <v>1977</v>
      </c>
      <c r="C2490" s="3" t="s">
        <v>57</v>
      </c>
      <c r="D2490" s="3" t="s">
        <v>124</v>
      </c>
      <c r="E2490" s="3" t="s">
        <v>273</v>
      </c>
      <c r="F2490" s="3" t="s">
        <v>2309</v>
      </c>
      <c r="G2490" s="3" t="s">
        <v>2305</v>
      </c>
      <c r="H2490" s="4"/>
      <c r="I2490" s="4">
        <f t="shared" si="237"/>
        <v>0</v>
      </c>
      <c r="J2490" s="4"/>
      <c r="K2490" s="4">
        <f t="shared" si="234"/>
        <v>0</v>
      </c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 spans="1:26" ht="15.75" customHeight="1" x14ac:dyDescent="0.2">
      <c r="A2491" s="1"/>
      <c r="B2491" s="2" t="s">
        <v>830</v>
      </c>
      <c r="C2491" s="3" t="s">
        <v>2310</v>
      </c>
      <c r="D2491" s="3" t="s">
        <v>861</v>
      </c>
      <c r="E2491" s="3" t="s">
        <v>1454</v>
      </c>
      <c r="F2491" s="3" t="s">
        <v>2309</v>
      </c>
      <c r="G2491" s="3" t="s">
        <v>2305</v>
      </c>
      <c r="H2491" s="4"/>
      <c r="I2491" s="4">
        <f t="shared" si="237"/>
        <v>0</v>
      </c>
      <c r="J2491" s="4"/>
      <c r="K2491" s="4">
        <f t="shared" si="234"/>
        <v>0</v>
      </c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 spans="1:26" ht="15.75" customHeight="1" x14ac:dyDescent="0.2">
      <c r="A2492" s="1"/>
      <c r="B2492" s="2" t="s">
        <v>815</v>
      </c>
      <c r="C2492" s="3" t="s">
        <v>2311</v>
      </c>
      <c r="D2492" s="3" t="s">
        <v>2312</v>
      </c>
      <c r="E2492" s="3" t="s">
        <v>1274</v>
      </c>
      <c r="F2492" s="3" t="s">
        <v>2309</v>
      </c>
      <c r="G2492" s="3" t="s">
        <v>2305</v>
      </c>
      <c r="H2492" s="4"/>
      <c r="I2492" s="4">
        <f t="shared" si="237"/>
        <v>0</v>
      </c>
      <c r="J2492" s="4"/>
      <c r="K2492" s="4">
        <f t="shared" si="234"/>
        <v>0</v>
      </c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 spans="1:26" ht="15.75" customHeight="1" x14ac:dyDescent="0.2">
      <c r="A2493" s="1"/>
      <c r="B2493" s="2" t="s">
        <v>736</v>
      </c>
      <c r="C2493" s="3" t="s">
        <v>2313</v>
      </c>
      <c r="D2493" s="3" t="s">
        <v>989</v>
      </c>
      <c r="E2493" s="3" t="s">
        <v>2314</v>
      </c>
      <c r="F2493" s="3" t="s">
        <v>2309</v>
      </c>
      <c r="G2493" s="3" t="s">
        <v>2305</v>
      </c>
      <c r="H2493" s="4"/>
      <c r="I2493" s="4">
        <f t="shared" si="237"/>
        <v>0</v>
      </c>
      <c r="J2493" s="4"/>
      <c r="K2493" s="4">
        <f t="shared" si="234"/>
        <v>0</v>
      </c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 spans="1:26" ht="15.75" customHeight="1" x14ac:dyDescent="0.2">
      <c r="A2494" s="1"/>
      <c r="B2494" s="2" t="s">
        <v>1977</v>
      </c>
      <c r="C2494" s="3" t="s">
        <v>2315</v>
      </c>
      <c r="D2494" s="3" t="s">
        <v>2316</v>
      </c>
      <c r="E2494" s="3" t="s">
        <v>2317</v>
      </c>
      <c r="F2494" s="3" t="s">
        <v>2309</v>
      </c>
      <c r="G2494" s="3" t="s">
        <v>2305</v>
      </c>
      <c r="H2494" s="4"/>
      <c r="I2494" s="4">
        <f t="shared" si="237"/>
        <v>0</v>
      </c>
      <c r="J2494" s="4"/>
      <c r="K2494" s="4">
        <f t="shared" si="234"/>
        <v>0</v>
      </c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 spans="1:26" ht="15.75" customHeight="1" x14ac:dyDescent="0.2">
      <c r="A2495" s="1"/>
      <c r="B2495" s="2" t="s">
        <v>736</v>
      </c>
      <c r="C2495" s="3" t="s">
        <v>1216</v>
      </c>
      <c r="D2495" s="3" t="s">
        <v>396</v>
      </c>
      <c r="E2495" s="3" t="s">
        <v>1677</v>
      </c>
      <c r="F2495" s="3" t="s">
        <v>2309</v>
      </c>
      <c r="G2495" s="3" t="s">
        <v>2305</v>
      </c>
      <c r="H2495" s="4"/>
      <c r="I2495" s="4">
        <f t="shared" si="237"/>
        <v>0</v>
      </c>
      <c r="J2495" s="4"/>
      <c r="K2495" s="4">
        <f t="shared" si="234"/>
        <v>0</v>
      </c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 spans="1:26" ht="15.75" customHeight="1" x14ac:dyDescent="0.2">
      <c r="A2496" s="1"/>
      <c r="B2496" s="2" t="s">
        <v>807</v>
      </c>
      <c r="C2496" s="3" t="s">
        <v>942</v>
      </c>
      <c r="D2496" s="3" t="s">
        <v>557</v>
      </c>
      <c r="E2496" s="3" t="s">
        <v>650</v>
      </c>
      <c r="F2496" s="3" t="s">
        <v>2309</v>
      </c>
      <c r="G2496" s="3" t="s">
        <v>2305</v>
      </c>
      <c r="H2496" s="4"/>
      <c r="I2496" s="4">
        <f t="shared" si="237"/>
        <v>0</v>
      </c>
      <c r="J2496" s="4"/>
      <c r="K2496" s="4">
        <f t="shared" si="234"/>
        <v>0</v>
      </c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 spans="1:26" ht="15.75" customHeight="1" x14ac:dyDescent="0.2">
      <c r="A2497" s="1"/>
      <c r="B2497" s="2" t="s">
        <v>815</v>
      </c>
      <c r="C2497" s="3" t="s">
        <v>2318</v>
      </c>
      <c r="D2497" s="3" t="s">
        <v>2319</v>
      </c>
      <c r="E2497" s="3" t="s">
        <v>2320</v>
      </c>
      <c r="F2497" s="3" t="s">
        <v>2309</v>
      </c>
      <c r="G2497" s="3" t="s">
        <v>2305</v>
      </c>
      <c r="H2497" s="4"/>
      <c r="I2497" s="4">
        <f t="shared" si="237"/>
        <v>0</v>
      </c>
      <c r="J2497" s="4"/>
      <c r="K2497" s="4">
        <f t="shared" si="234"/>
        <v>0</v>
      </c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 spans="1:26" ht="15.75" customHeight="1" x14ac:dyDescent="0.2">
      <c r="A2498" s="1">
        <v>319</v>
      </c>
      <c r="B2498" s="13" t="s">
        <v>2321</v>
      </c>
      <c r="C2498" s="14" t="s">
        <v>2322</v>
      </c>
      <c r="D2498" s="14" t="s">
        <v>2323</v>
      </c>
      <c r="E2498" s="14" t="s">
        <v>996</v>
      </c>
      <c r="F2498" s="14" t="s">
        <v>2324</v>
      </c>
      <c r="G2498" s="14" t="s">
        <v>2305</v>
      </c>
      <c r="H2498" s="4"/>
      <c r="I2498" s="4">
        <f>H2498*2300</f>
        <v>0</v>
      </c>
      <c r="J2498" s="4"/>
      <c r="K2498" s="4">
        <f t="shared" si="234"/>
        <v>0</v>
      </c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 spans="1:26" ht="15.75" customHeight="1" x14ac:dyDescent="0.2">
      <c r="A2499" s="1"/>
      <c r="B2499" s="2" t="s">
        <v>33</v>
      </c>
      <c r="C2499" s="3" t="s">
        <v>2325</v>
      </c>
      <c r="D2499" s="3" t="s">
        <v>39</v>
      </c>
      <c r="E2499" s="3" t="s">
        <v>306</v>
      </c>
      <c r="F2499" s="3" t="s">
        <v>2326</v>
      </c>
      <c r="G2499" s="3" t="s">
        <v>2327</v>
      </c>
      <c r="H2499" s="4"/>
      <c r="I2499" s="4">
        <f t="shared" ref="I2499:I2503" si="238">H2499*1800</f>
        <v>0</v>
      </c>
      <c r="J2499" s="4"/>
      <c r="K2499" s="4">
        <f t="shared" si="234"/>
        <v>0</v>
      </c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 spans="1:26" ht="15.75" customHeight="1" x14ac:dyDescent="0.2">
      <c r="A2500" s="1"/>
      <c r="B2500" s="2" t="s">
        <v>45</v>
      </c>
      <c r="C2500" s="3" t="s">
        <v>2328</v>
      </c>
      <c r="D2500" s="3" t="s">
        <v>516</v>
      </c>
      <c r="E2500" s="3" t="s">
        <v>40</v>
      </c>
      <c r="F2500" s="3" t="s">
        <v>2326</v>
      </c>
      <c r="G2500" s="3" t="s">
        <v>2327</v>
      </c>
      <c r="H2500" s="4"/>
      <c r="I2500" s="4">
        <f t="shared" si="238"/>
        <v>0</v>
      </c>
      <c r="J2500" s="4"/>
      <c r="K2500" s="4">
        <f t="shared" si="234"/>
        <v>0</v>
      </c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 spans="1:26" ht="15.75" customHeight="1" x14ac:dyDescent="0.2">
      <c r="A2501" s="1"/>
      <c r="B2501" s="2" t="s">
        <v>2329</v>
      </c>
      <c r="C2501" s="3" t="s">
        <v>2330</v>
      </c>
      <c r="D2501" s="3" t="s">
        <v>1598</v>
      </c>
      <c r="E2501" s="3" t="s">
        <v>397</v>
      </c>
      <c r="F2501" s="3" t="s">
        <v>2326</v>
      </c>
      <c r="G2501" s="3" t="s">
        <v>2327</v>
      </c>
      <c r="H2501" s="4"/>
      <c r="I2501" s="4">
        <f t="shared" si="238"/>
        <v>0</v>
      </c>
      <c r="J2501" s="4"/>
      <c r="K2501" s="4">
        <f t="shared" si="234"/>
        <v>0</v>
      </c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 spans="1:26" ht="15.75" customHeight="1" x14ac:dyDescent="0.2">
      <c r="A2502" s="1"/>
      <c r="B2502" s="2" t="s">
        <v>33</v>
      </c>
      <c r="C2502" s="3" t="s">
        <v>2331</v>
      </c>
      <c r="D2502" s="3" t="s">
        <v>58</v>
      </c>
      <c r="E2502" s="3" t="s">
        <v>306</v>
      </c>
      <c r="F2502" s="3" t="s">
        <v>2326</v>
      </c>
      <c r="G2502" s="3" t="s">
        <v>2327</v>
      </c>
      <c r="H2502" s="4"/>
      <c r="I2502" s="4">
        <f t="shared" si="238"/>
        <v>0</v>
      </c>
      <c r="J2502" s="4"/>
      <c r="K2502" s="4">
        <f t="shared" si="234"/>
        <v>0</v>
      </c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 spans="1:26" ht="15.75" customHeight="1" x14ac:dyDescent="0.2">
      <c r="A2503" s="1"/>
      <c r="B2503" s="2" t="s">
        <v>45</v>
      </c>
      <c r="C2503" s="3" t="s">
        <v>2332</v>
      </c>
      <c r="D2503" s="3" t="s">
        <v>78</v>
      </c>
      <c r="E2503" s="3" t="s">
        <v>87</v>
      </c>
      <c r="F2503" s="3" t="s">
        <v>2326</v>
      </c>
      <c r="G2503" s="3" t="s">
        <v>2327</v>
      </c>
      <c r="H2503" s="4"/>
      <c r="I2503" s="4">
        <f t="shared" si="238"/>
        <v>0</v>
      </c>
      <c r="J2503" s="4"/>
      <c r="K2503" s="4">
        <f t="shared" si="234"/>
        <v>0</v>
      </c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 spans="1:26" ht="15.75" customHeight="1" x14ac:dyDescent="0.2">
      <c r="A2504" s="1">
        <v>815</v>
      </c>
      <c r="B2504" s="13" t="s">
        <v>2234</v>
      </c>
      <c r="C2504" s="14" t="s">
        <v>2325</v>
      </c>
      <c r="D2504" s="14" t="s">
        <v>266</v>
      </c>
      <c r="E2504" s="14" t="s">
        <v>306</v>
      </c>
      <c r="F2504" s="14" t="s">
        <v>2333</v>
      </c>
      <c r="G2504" s="14" t="s">
        <v>2327</v>
      </c>
      <c r="H2504" s="4">
        <v>5</v>
      </c>
      <c r="I2504" s="4">
        <f t="shared" ref="I2504:I2507" si="239">H2504*2300</f>
        <v>11500</v>
      </c>
      <c r="J2504" s="4"/>
      <c r="K2504" s="4">
        <f t="shared" si="234"/>
        <v>0</v>
      </c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 spans="1:26" ht="15.75" customHeight="1" x14ac:dyDescent="0.2">
      <c r="A2505" s="1">
        <v>2371</v>
      </c>
      <c r="B2505" s="13" t="s">
        <v>142</v>
      </c>
      <c r="C2505" s="14" t="s">
        <v>2325</v>
      </c>
      <c r="D2505" s="14" t="s">
        <v>266</v>
      </c>
      <c r="E2505" s="14" t="s">
        <v>306</v>
      </c>
      <c r="F2505" s="14" t="s">
        <v>2333</v>
      </c>
      <c r="G2505" s="14" t="s">
        <v>2327</v>
      </c>
      <c r="H2505" s="4"/>
      <c r="I2505" s="4">
        <f t="shared" si="239"/>
        <v>0</v>
      </c>
      <c r="J2505" s="4"/>
      <c r="K2505" s="4">
        <f t="shared" si="234"/>
        <v>0</v>
      </c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 spans="1:26" ht="15.75" customHeight="1" x14ac:dyDescent="0.2">
      <c r="A2506" s="1">
        <v>2457</v>
      </c>
      <c r="B2506" s="13" t="s">
        <v>165</v>
      </c>
      <c r="C2506" s="14" t="s">
        <v>2334</v>
      </c>
      <c r="D2506" s="14" t="s">
        <v>437</v>
      </c>
      <c r="E2506" s="14" t="s">
        <v>306</v>
      </c>
      <c r="F2506" s="14" t="s">
        <v>2333</v>
      </c>
      <c r="G2506" s="14" t="s">
        <v>2327</v>
      </c>
      <c r="H2506" s="4"/>
      <c r="I2506" s="4">
        <f t="shared" si="239"/>
        <v>0</v>
      </c>
      <c r="J2506" s="4"/>
      <c r="K2506" s="4">
        <f t="shared" si="234"/>
        <v>0</v>
      </c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 spans="1:26" ht="15.75" customHeight="1" x14ac:dyDescent="0.2">
      <c r="A2507" s="1">
        <v>391</v>
      </c>
      <c r="B2507" s="13" t="s">
        <v>613</v>
      </c>
      <c r="C2507" s="14" t="s">
        <v>2335</v>
      </c>
      <c r="D2507" s="14" t="s">
        <v>713</v>
      </c>
      <c r="E2507" s="14" t="s">
        <v>348</v>
      </c>
      <c r="F2507" s="14" t="s">
        <v>2333</v>
      </c>
      <c r="G2507" s="14" t="s">
        <v>2327</v>
      </c>
      <c r="H2507" s="4"/>
      <c r="I2507" s="4">
        <f t="shared" si="239"/>
        <v>0</v>
      </c>
      <c r="J2507" s="4"/>
      <c r="K2507" s="4">
        <f t="shared" si="234"/>
        <v>0</v>
      </c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 spans="1:26" ht="15.75" customHeight="1" x14ac:dyDescent="0.2">
      <c r="A2508" s="1"/>
      <c r="B2508" s="19" t="s">
        <v>830</v>
      </c>
      <c r="C2508" s="3" t="s">
        <v>2336</v>
      </c>
      <c r="D2508" s="3" t="s">
        <v>1685</v>
      </c>
      <c r="E2508" s="3" t="s">
        <v>637</v>
      </c>
      <c r="F2508" s="3" t="s">
        <v>2337</v>
      </c>
      <c r="G2508" s="3" t="s">
        <v>2327</v>
      </c>
      <c r="H2508" s="4"/>
      <c r="I2508" s="4">
        <f t="shared" ref="I2508:I2525" si="240">H2508*1800</f>
        <v>0</v>
      </c>
      <c r="J2508" s="4"/>
      <c r="K2508" s="4">
        <f t="shared" si="234"/>
        <v>0</v>
      </c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 spans="1:26" ht="15.75" customHeight="1" x14ac:dyDescent="0.2">
      <c r="A2509" s="1"/>
      <c r="B2509" s="2" t="s">
        <v>523</v>
      </c>
      <c r="C2509" s="3" t="s">
        <v>2338</v>
      </c>
      <c r="D2509" s="3" t="s">
        <v>506</v>
      </c>
      <c r="E2509" s="3" t="s">
        <v>40</v>
      </c>
      <c r="F2509" s="3" t="s">
        <v>2337</v>
      </c>
      <c r="G2509" s="3" t="s">
        <v>2327</v>
      </c>
      <c r="H2509" s="4"/>
      <c r="I2509" s="4">
        <f t="shared" si="240"/>
        <v>0</v>
      </c>
      <c r="J2509" s="4"/>
      <c r="K2509" s="4">
        <f t="shared" si="234"/>
        <v>0</v>
      </c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 spans="1:26" ht="15.75" customHeight="1" x14ac:dyDescent="0.2">
      <c r="A2510" s="1"/>
      <c r="B2510" s="2" t="s">
        <v>736</v>
      </c>
      <c r="C2510" s="3" t="s">
        <v>2339</v>
      </c>
      <c r="D2510" s="3" t="s">
        <v>557</v>
      </c>
      <c r="E2510" s="3" t="s">
        <v>79</v>
      </c>
      <c r="F2510" s="3" t="s">
        <v>2337</v>
      </c>
      <c r="G2510" s="3" t="s">
        <v>2327</v>
      </c>
      <c r="H2510" s="4"/>
      <c r="I2510" s="4">
        <f t="shared" si="240"/>
        <v>0</v>
      </c>
      <c r="J2510" s="4"/>
      <c r="K2510" s="4">
        <f t="shared" si="234"/>
        <v>0</v>
      </c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 spans="1:26" ht="15.75" customHeight="1" x14ac:dyDescent="0.2">
      <c r="A2511" s="1"/>
      <c r="B2511" s="2" t="s">
        <v>828</v>
      </c>
      <c r="C2511" s="3" t="s">
        <v>1488</v>
      </c>
      <c r="D2511" s="3" t="s">
        <v>39</v>
      </c>
      <c r="E2511" s="3" t="s">
        <v>310</v>
      </c>
      <c r="F2511" s="3" t="s">
        <v>2337</v>
      </c>
      <c r="G2511" s="3" t="s">
        <v>2327</v>
      </c>
      <c r="H2511" s="4"/>
      <c r="I2511" s="4">
        <f t="shared" si="240"/>
        <v>0</v>
      </c>
      <c r="J2511" s="4"/>
      <c r="K2511" s="4">
        <f t="shared" si="234"/>
        <v>0</v>
      </c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 spans="1:26" ht="15.75" customHeight="1" x14ac:dyDescent="0.2">
      <c r="A2512" s="1"/>
      <c r="B2512" s="2" t="s">
        <v>830</v>
      </c>
      <c r="C2512" s="3" t="s">
        <v>1644</v>
      </c>
      <c r="D2512" s="3" t="s">
        <v>388</v>
      </c>
      <c r="E2512" s="3" t="s">
        <v>348</v>
      </c>
      <c r="F2512" s="3" t="s">
        <v>2337</v>
      </c>
      <c r="G2512" s="3" t="s">
        <v>2327</v>
      </c>
      <c r="H2512" s="4"/>
      <c r="I2512" s="4">
        <f t="shared" si="240"/>
        <v>0</v>
      </c>
      <c r="J2512" s="4"/>
      <c r="K2512" s="4">
        <f t="shared" si="234"/>
        <v>0</v>
      </c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 spans="1:26" ht="15.75" customHeight="1" x14ac:dyDescent="0.2">
      <c r="A2513" s="1"/>
      <c r="B2513" s="2" t="s">
        <v>736</v>
      </c>
      <c r="C2513" s="3" t="s">
        <v>1347</v>
      </c>
      <c r="D2513" s="3" t="s">
        <v>333</v>
      </c>
      <c r="E2513" s="3" t="s">
        <v>306</v>
      </c>
      <c r="F2513" s="3" t="s">
        <v>2337</v>
      </c>
      <c r="G2513" s="3" t="s">
        <v>2327</v>
      </c>
      <c r="H2513" s="4"/>
      <c r="I2513" s="4">
        <f t="shared" si="240"/>
        <v>0</v>
      </c>
      <c r="J2513" s="4"/>
      <c r="K2513" s="4">
        <f t="shared" si="234"/>
        <v>0</v>
      </c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 spans="1:26" ht="15.75" customHeight="1" x14ac:dyDescent="0.2">
      <c r="A2514" s="1"/>
      <c r="B2514" s="2" t="s">
        <v>920</v>
      </c>
      <c r="C2514" s="3" t="s">
        <v>2340</v>
      </c>
      <c r="D2514" s="3" t="s">
        <v>21</v>
      </c>
      <c r="E2514" s="3" t="s">
        <v>326</v>
      </c>
      <c r="F2514" s="3" t="s">
        <v>2337</v>
      </c>
      <c r="G2514" s="3" t="s">
        <v>2327</v>
      </c>
      <c r="H2514" s="4"/>
      <c r="I2514" s="4">
        <f t="shared" si="240"/>
        <v>0</v>
      </c>
      <c r="J2514" s="4"/>
      <c r="K2514" s="4">
        <f t="shared" si="234"/>
        <v>0</v>
      </c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 spans="1:26" ht="15.75" customHeight="1" x14ac:dyDescent="0.2">
      <c r="A2515" s="1"/>
      <c r="B2515" s="2" t="s">
        <v>523</v>
      </c>
      <c r="C2515" s="3" t="s">
        <v>2341</v>
      </c>
      <c r="D2515" s="3" t="s">
        <v>75</v>
      </c>
      <c r="E2515" s="3" t="s">
        <v>630</v>
      </c>
      <c r="F2515" s="3" t="s">
        <v>2337</v>
      </c>
      <c r="G2515" s="3" t="s">
        <v>2327</v>
      </c>
      <c r="H2515" s="4"/>
      <c r="I2515" s="4">
        <f t="shared" si="240"/>
        <v>0</v>
      </c>
      <c r="J2515" s="4"/>
      <c r="K2515" s="4">
        <f t="shared" si="234"/>
        <v>0</v>
      </c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 spans="1:26" ht="15.75" customHeight="1" x14ac:dyDescent="0.2">
      <c r="A2516" s="1"/>
      <c r="B2516" s="2" t="s">
        <v>807</v>
      </c>
      <c r="C2516" s="3" t="s">
        <v>2342</v>
      </c>
      <c r="D2516" s="3" t="s">
        <v>491</v>
      </c>
      <c r="E2516" s="3" t="s">
        <v>273</v>
      </c>
      <c r="F2516" s="3" t="s">
        <v>2337</v>
      </c>
      <c r="G2516" s="3" t="s">
        <v>2327</v>
      </c>
      <c r="H2516" s="4"/>
      <c r="I2516" s="4">
        <f t="shared" si="240"/>
        <v>0</v>
      </c>
      <c r="J2516" s="4"/>
      <c r="K2516" s="4">
        <f t="shared" si="234"/>
        <v>0</v>
      </c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 spans="1:26" ht="15.75" customHeight="1" x14ac:dyDescent="0.2">
      <c r="A2517" s="1"/>
      <c r="B2517" s="2" t="s">
        <v>823</v>
      </c>
      <c r="C2517" s="3" t="s">
        <v>700</v>
      </c>
      <c r="D2517" s="3" t="s">
        <v>39</v>
      </c>
      <c r="E2517" s="3" t="s">
        <v>40</v>
      </c>
      <c r="F2517" s="3" t="s">
        <v>2343</v>
      </c>
      <c r="G2517" s="3" t="s">
        <v>2327</v>
      </c>
      <c r="H2517" s="4"/>
      <c r="I2517" s="4">
        <f t="shared" si="240"/>
        <v>0</v>
      </c>
      <c r="J2517" s="4"/>
      <c r="K2517" s="4">
        <f t="shared" si="234"/>
        <v>0</v>
      </c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 spans="1:26" ht="15.75" customHeight="1" x14ac:dyDescent="0.2">
      <c r="A2518" s="1"/>
      <c r="B2518" s="2" t="s">
        <v>1977</v>
      </c>
      <c r="C2518" s="3" t="s">
        <v>2344</v>
      </c>
      <c r="D2518" s="3" t="s">
        <v>325</v>
      </c>
      <c r="E2518" s="3" t="s">
        <v>40</v>
      </c>
      <c r="F2518" s="3" t="s">
        <v>2343</v>
      </c>
      <c r="G2518" s="3" t="s">
        <v>2327</v>
      </c>
      <c r="H2518" s="4"/>
      <c r="I2518" s="4">
        <f t="shared" si="240"/>
        <v>0</v>
      </c>
      <c r="J2518" s="4"/>
      <c r="K2518" s="4">
        <f t="shared" si="234"/>
        <v>0</v>
      </c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 spans="1:26" ht="15.75" customHeight="1" x14ac:dyDescent="0.2">
      <c r="A2519" s="1"/>
      <c r="B2519" s="2" t="s">
        <v>815</v>
      </c>
      <c r="C2519" s="3" t="s">
        <v>2345</v>
      </c>
      <c r="D2519" s="3" t="s">
        <v>441</v>
      </c>
      <c r="E2519" s="3" t="s">
        <v>2346</v>
      </c>
      <c r="F2519" s="3" t="s">
        <v>2343</v>
      </c>
      <c r="G2519" s="3" t="s">
        <v>2327</v>
      </c>
      <c r="H2519" s="4"/>
      <c r="I2519" s="4">
        <f t="shared" si="240"/>
        <v>0</v>
      </c>
      <c r="J2519" s="4"/>
      <c r="K2519" s="4">
        <f t="shared" si="234"/>
        <v>0</v>
      </c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 spans="1:26" ht="15.75" customHeight="1" x14ac:dyDescent="0.2">
      <c r="A2520" s="1"/>
      <c r="B2520" s="2" t="s">
        <v>523</v>
      </c>
      <c r="C2520" s="3" t="s">
        <v>2128</v>
      </c>
      <c r="D2520" s="3" t="s">
        <v>557</v>
      </c>
      <c r="E2520" s="3" t="s">
        <v>630</v>
      </c>
      <c r="F2520" s="3" t="s">
        <v>2343</v>
      </c>
      <c r="G2520" s="3" t="s">
        <v>2327</v>
      </c>
      <c r="H2520" s="4"/>
      <c r="I2520" s="4">
        <f t="shared" si="240"/>
        <v>0</v>
      </c>
      <c r="J2520" s="4"/>
      <c r="K2520" s="4">
        <f t="shared" si="234"/>
        <v>0</v>
      </c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 spans="1:26" ht="15.75" customHeight="1" x14ac:dyDescent="0.2">
      <c r="A2521" s="1"/>
      <c r="B2521" s="2" t="s">
        <v>818</v>
      </c>
      <c r="C2521" s="3" t="s">
        <v>2347</v>
      </c>
      <c r="D2521" s="3" t="s">
        <v>600</v>
      </c>
      <c r="E2521" s="3" t="s">
        <v>626</v>
      </c>
      <c r="F2521" s="3" t="s">
        <v>2343</v>
      </c>
      <c r="G2521" s="3" t="s">
        <v>2327</v>
      </c>
      <c r="H2521" s="4"/>
      <c r="I2521" s="4">
        <f t="shared" si="240"/>
        <v>0</v>
      </c>
      <c r="J2521" s="4"/>
      <c r="K2521" s="4">
        <f t="shared" si="234"/>
        <v>0</v>
      </c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 spans="1:26" ht="15.75" customHeight="1" x14ac:dyDescent="0.2">
      <c r="A2522" s="1"/>
      <c r="B2522" s="2" t="s">
        <v>830</v>
      </c>
      <c r="C2522" s="3" t="s">
        <v>2348</v>
      </c>
      <c r="D2522" s="3" t="s">
        <v>526</v>
      </c>
      <c r="E2522" s="3" t="s">
        <v>348</v>
      </c>
      <c r="F2522" s="3" t="s">
        <v>2343</v>
      </c>
      <c r="G2522" s="3" t="s">
        <v>2327</v>
      </c>
      <c r="H2522" s="4"/>
      <c r="I2522" s="4">
        <f t="shared" si="240"/>
        <v>0</v>
      </c>
      <c r="J2522" s="4"/>
      <c r="K2522" s="4">
        <f t="shared" si="234"/>
        <v>0</v>
      </c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 spans="1:26" ht="15.75" customHeight="1" x14ac:dyDescent="0.2">
      <c r="A2523" s="1"/>
      <c r="B2523" s="2" t="s">
        <v>830</v>
      </c>
      <c r="C2523" s="3" t="s">
        <v>2349</v>
      </c>
      <c r="D2523" s="3" t="s">
        <v>471</v>
      </c>
      <c r="E2523" s="3" t="s">
        <v>2350</v>
      </c>
      <c r="F2523" s="3" t="s">
        <v>2343</v>
      </c>
      <c r="G2523" s="3" t="s">
        <v>2327</v>
      </c>
      <c r="H2523" s="4"/>
      <c r="I2523" s="4">
        <f t="shared" si="240"/>
        <v>0</v>
      </c>
      <c r="J2523" s="4"/>
      <c r="K2523" s="4">
        <f t="shared" si="234"/>
        <v>0</v>
      </c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 spans="1:26" ht="15.75" customHeight="1" x14ac:dyDescent="0.2">
      <c r="A2524" s="1"/>
      <c r="B2524" s="2" t="s">
        <v>818</v>
      </c>
      <c r="C2524" s="3" t="s">
        <v>2351</v>
      </c>
      <c r="D2524" s="3" t="s">
        <v>605</v>
      </c>
      <c r="E2524" s="3" t="s">
        <v>2352</v>
      </c>
      <c r="F2524" s="3" t="s">
        <v>2343</v>
      </c>
      <c r="G2524" s="3" t="s">
        <v>2327</v>
      </c>
      <c r="H2524" s="4"/>
      <c r="I2524" s="4">
        <f t="shared" si="240"/>
        <v>0</v>
      </c>
      <c r="J2524" s="4"/>
      <c r="K2524" s="4">
        <f t="shared" si="234"/>
        <v>0</v>
      </c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 spans="1:26" ht="15.75" customHeight="1" x14ac:dyDescent="0.2">
      <c r="A2525" s="1"/>
      <c r="B2525" s="2" t="s">
        <v>830</v>
      </c>
      <c r="C2525" s="3" t="s">
        <v>2353</v>
      </c>
      <c r="D2525" s="3" t="s">
        <v>347</v>
      </c>
      <c r="E2525" s="3" t="s">
        <v>18</v>
      </c>
      <c r="F2525" s="3" t="s">
        <v>2343</v>
      </c>
      <c r="G2525" s="3" t="s">
        <v>2327</v>
      </c>
      <c r="H2525" s="4"/>
      <c r="I2525" s="4">
        <f t="shared" si="240"/>
        <v>0</v>
      </c>
      <c r="J2525" s="4"/>
      <c r="K2525" s="4">
        <f t="shared" si="234"/>
        <v>0</v>
      </c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 spans="1:26" ht="15.75" customHeight="1" x14ac:dyDescent="0.2">
      <c r="A2526" s="1">
        <v>321</v>
      </c>
      <c r="B2526" s="13" t="s">
        <v>365</v>
      </c>
      <c r="C2526" s="14" t="s">
        <v>2354</v>
      </c>
      <c r="D2526" s="14" t="s">
        <v>441</v>
      </c>
      <c r="E2526" s="14" t="s">
        <v>571</v>
      </c>
      <c r="F2526" s="14" t="s">
        <v>2355</v>
      </c>
      <c r="G2526" s="14" t="s">
        <v>2356</v>
      </c>
      <c r="H2526" s="4"/>
      <c r="I2526" s="4">
        <f t="shared" ref="I2526:I2532" si="241">H2526*2300</f>
        <v>0</v>
      </c>
      <c r="J2526" s="4"/>
      <c r="K2526" s="4">
        <f t="shared" si="234"/>
        <v>0</v>
      </c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 spans="1:26" ht="15.75" customHeight="1" x14ac:dyDescent="0.2">
      <c r="A2527" s="1">
        <v>331</v>
      </c>
      <c r="B2527" s="13" t="s">
        <v>365</v>
      </c>
      <c r="C2527" s="14" t="s">
        <v>2357</v>
      </c>
      <c r="D2527" s="14" t="s">
        <v>292</v>
      </c>
      <c r="E2527" s="14" t="s">
        <v>79</v>
      </c>
      <c r="F2527" s="14" t="s">
        <v>2355</v>
      </c>
      <c r="G2527" s="14" t="s">
        <v>2356</v>
      </c>
      <c r="H2527" s="4"/>
      <c r="I2527" s="4">
        <f t="shared" si="241"/>
        <v>0</v>
      </c>
      <c r="J2527" s="4"/>
      <c r="K2527" s="4">
        <f t="shared" si="234"/>
        <v>0</v>
      </c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 spans="1:26" ht="15.75" customHeight="1" x14ac:dyDescent="0.2">
      <c r="A2528" s="1">
        <v>761</v>
      </c>
      <c r="B2528" s="13" t="s">
        <v>977</v>
      </c>
      <c r="C2528" s="14" t="s">
        <v>2358</v>
      </c>
      <c r="D2528" s="14" t="s">
        <v>554</v>
      </c>
      <c r="E2528" s="14" t="s">
        <v>40</v>
      </c>
      <c r="F2528" s="14" t="s">
        <v>2355</v>
      </c>
      <c r="G2528" s="14" t="s">
        <v>2356</v>
      </c>
      <c r="H2528" s="4"/>
      <c r="I2528" s="4">
        <f t="shared" si="241"/>
        <v>0</v>
      </c>
      <c r="J2528" s="4"/>
      <c r="K2528" s="4">
        <f t="shared" si="234"/>
        <v>0</v>
      </c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 spans="1:26" ht="15.75" customHeight="1" x14ac:dyDescent="0.2">
      <c r="A2529" s="1">
        <v>769</v>
      </c>
      <c r="B2529" s="13" t="s">
        <v>1112</v>
      </c>
      <c r="C2529" s="14" t="s">
        <v>2359</v>
      </c>
      <c r="D2529" s="14" t="s">
        <v>120</v>
      </c>
      <c r="E2529" s="14" t="s">
        <v>306</v>
      </c>
      <c r="F2529" s="14" t="s">
        <v>2355</v>
      </c>
      <c r="G2529" s="14" t="s">
        <v>2356</v>
      </c>
      <c r="H2529" s="4"/>
      <c r="I2529" s="4">
        <f t="shared" si="241"/>
        <v>0</v>
      </c>
      <c r="J2529" s="4"/>
      <c r="K2529" s="4">
        <f t="shared" si="234"/>
        <v>0</v>
      </c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 spans="1:26" ht="15.75" customHeight="1" x14ac:dyDescent="0.2">
      <c r="A2530" s="1">
        <v>791</v>
      </c>
      <c r="B2530" s="13" t="s">
        <v>691</v>
      </c>
      <c r="C2530" s="14" t="s">
        <v>2360</v>
      </c>
      <c r="D2530" s="14" t="s">
        <v>1766</v>
      </c>
      <c r="E2530" s="14" t="s">
        <v>259</v>
      </c>
      <c r="F2530" s="14" t="s">
        <v>2355</v>
      </c>
      <c r="G2530" s="14" t="s">
        <v>2356</v>
      </c>
      <c r="H2530" s="4"/>
      <c r="I2530" s="4">
        <f t="shared" si="241"/>
        <v>0</v>
      </c>
      <c r="J2530" s="4"/>
      <c r="K2530" s="4">
        <f t="shared" si="234"/>
        <v>0</v>
      </c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 spans="1:26" ht="15.75" customHeight="1" x14ac:dyDescent="0.2">
      <c r="A2531" s="1">
        <v>2769</v>
      </c>
      <c r="B2531" s="13" t="s">
        <v>623</v>
      </c>
      <c r="C2531" s="14" t="s">
        <v>2354</v>
      </c>
      <c r="D2531" s="14" t="s">
        <v>441</v>
      </c>
      <c r="E2531" s="14" t="s">
        <v>571</v>
      </c>
      <c r="F2531" s="14" t="s">
        <v>2355</v>
      </c>
      <c r="G2531" s="14" t="s">
        <v>2356</v>
      </c>
      <c r="H2531" s="4"/>
      <c r="I2531" s="4">
        <f t="shared" si="241"/>
        <v>0</v>
      </c>
      <c r="J2531" s="4"/>
      <c r="K2531" s="4">
        <f t="shared" si="234"/>
        <v>0</v>
      </c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 spans="1:26" ht="15.75" customHeight="1" x14ac:dyDescent="0.2">
      <c r="A2532" s="1">
        <v>2903</v>
      </c>
      <c r="B2532" s="13" t="s">
        <v>1133</v>
      </c>
      <c r="C2532" s="14" t="s">
        <v>2354</v>
      </c>
      <c r="D2532" s="14" t="s">
        <v>441</v>
      </c>
      <c r="E2532" s="14" t="s">
        <v>571</v>
      </c>
      <c r="F2532" s="14" t="s">
        <v>2355</v>
      </c>
      <c r="G2532" s="14" t="s">
        <v>2356</v>
      </c>
      <c r="H2532" s="4"/>
      <c r="I2532" s="4">
        <f t="shared" si="241"/>
        <v>0</v>
      </c>
      <c r="J2532" s="4"/>
      <c r="K2532" s="4">
        <f t="shared" si="234"/>
        <v>0</v>
      </c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 spans="1:26" ht="15.75" customHeight="1" x14ac:dyDescent="0.2">
      <c r="A2533" s="1"/>
      <c r="B2533" s="2" t="s">
        <v>300</v>
      </c>
      <c r="C2533" s="3" t="s">
        <v>2361</v>
      </c>
      <c r="D2533" s="3" t="s">
        <v>554</v>
      </c>
      <c r="E2533" s="3" t="s">
        <v>129</v>
      </c>
      <c r="F2533" s="3" t="s">
        <v>2355</v>
      </c>
      <c r="G2533" s="3" t="s">
        <v>2356</v>
      </c>
      <c r="H2533" s="4"/>
      <c r="I2533" s="4">
        <f t="shared" ref="I2533:I2550" si="242">H2533*1800</f>
        <v>0</v>
      </c>
      <c r="J2533" s="4"/>
      <c r="K2533" s="4">
        <f t="shared" si="234"/>
        <v>0</v>
      </c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 spans="1:26" ht="15.75" customHeight="1" x14ac:dyDescent="0.2">
      <c r="A2534" s="1"/>
      <c r="B2534" s="2" t="s">
        <v>102</v>
      </c>
      <c r="C2534" s="3" t="s">
        <v>2361</v>
      </c>
      <c r="D2534" s="3" t="s">
        <v>554</v>
      </c>
      <c r="E2534" s="3" t="s">
        <v>129</v>
      </c>
      <c r="F2534" s="3" t="s">
        <v>2355</v>
      </c>
      <c r="G2534" s="3" t="s">
        <v>2356</v>
      </c>
      <c r="H2534" s="4"/>
      <c r="I2534" s="4">
        <f t="shared" si="242"/>
        <v>0</v>
      </c>
      <c r="J2534" s="4"/>
      <c r="K2534" s="4">
        <f t="shared" si="234"/>
        <v>0</v>
      </c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 spans="1:26" ht="15.75" customHeight="1" x14ac:dyDescent="0.2">
      <c r="A2535" s="1"/>
      <c r="B2535" s="2" t="s">
        <v>297</v>
      </c>
      <c r="C2535" s="3" t="s">
        <v>2362</v>
      </c>
      <c r="D2535" s="3" t="s">
        <v>31</v>
      </c>
      <c r="E2535" s="3" t="s">
        <v>326</v>
      </c>
      <c r="F2535" s="3" t="s">
        <v>2355</v>
      </c>
      <c r="G2535" s="3" t="s">
        <v>2356</v>
      </c>
      <c r="H2535" s="4"/>
      <c r="I2535" s="4">
        <f t="shared" si="242"/>
        <v>0</v>
      </c>
      <c r="J2535" s="4"/>
      <c r="K2535" s="4">
        <f t="shared" si="234"/>
        <v>0</v>
      </c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 spans="1:26" ht="15.75" customHeight="1" x14ac:dyDescent="0.2">
      <c r="A2536" s="1"/>
      <c r="B2536" s="2" t="s">
        <v>300</v>
      </c>
      <c r="C2536" s="3" t="s">
        <v>2362</v>
      </c>
      <c r="D2536" s="3" t="s">
        <v>31</v>
      </c>
      <c r="E2536" s="3" t="s">
        <v>326</v>
      </c>
      <c r="F2536" s="3" t="s">
        <v>2355</v>
      </c>
      <c r="G2536" s="3" t="s">
        <v>2356</v>
      </c>
      <c r="H2536" s="4"/>
      <c r="I2536" s="4">
        <f t="shared" si="242"/>
        <v>0</v>
      </c>
      <c r="J2536" s="4"/>
      <c r="K2536" s="4">
        <f t="shared" si="234"/>
        <v>0</v>
      </c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 spans="1:26" ht="15.75" customHeight="1" x14ac:dyDescent="0.2">
      <c r="A2537" s="1"/>
      <c r="B2537" s="2" t="s">
        <v>94</v>
      </c>
      <c r="C2537" s="3" t="s">
        <v>2363</v>
      </c>
      <c r="D2537" s="3" t="s">
        <v>1766</v>
      </c>
      <c r="E2537" s="3" t="s">
        <v>1200</v>
      </c>
      <c r="F2537" s="3" t="s">
        <v>2355</v>
      </c>
      <c r="G2537" s="3" t="s">
        <v>2356</v>
      </c>
      <c r="H2537" s="4"/>
      <c r="I2537" s="4">
        <f t="shared" si="242"/>
        <v>0</v>
      </c>
      <c r="J2537" s="4"/>
      <c r="K2537" s="4">
        <f t="shared" si="234"/>
        <v>0</v>
      </c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 spans="1:26" ht="15.75" customHeight="1" x14ac:dyDescent="0.2">
      <c r="A2538" s="1"/>
      <c r="B2538" s="2" t="s">
        <v>94</v>
      </c>
      <c r="C2538" s="3" t="s">
        <v>2364</v>
      </c>
      <c r="D2538" s="3" t="s">
        <v>1302</v>
      </c>
      <c r="E2538" s="3" t="s">
        <v>2365</v>
      </c>
      <c r="F2538" s="3" t="s">
        <v>2355</v>
      </c>
      <c r="G2538" s="3" t="s">
        <v>2356</v>
      </c>
      <c r="H2538" s="4"/>
      <c r="I2538" s="4">
        <f t="shared" si="242"/>
        <v>0</v>
      </c>
      <c r="J2538" s="4"/>
      <c r="K2538" s="4">
        <f t="shared" si="234"/>
        <v>0</v>
      </c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 spans="1:26" ht="15.75" customHeight="1" x14ac:dyDescent="0.2">
      <c r="A2539" s="1"/>
      <c r="B2539" s="2" t="s">
        <v>315</v>
      </c>
      <c r="C2539" s="3" t="s">
        <v>63</v>
      </c>
      <c r="D2539" s="3" t="s">
        <v>333</v>
      </c>
      <c r="E2539" s="3" t="s">
        <v>2366</v>
      </c>
      <c r="F2539" s="3" t="s">
        <v>2355</v>
      </c>
      <c r="G2539" s="3" t="s">
        <v>2356</v>
      </c>
      <c r="H2539" s="4"/>
      <c r="I2539" s="4">
        <f t="shared" si="242"/>
        <v>0</v>
      </c>
      <c r="J2539" s="4"/>
      <c r="K2539" s="4">
        <f t="shared" si="234"/>
        <v>0</v>
      </c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 spans="1:26" ht="15.75" customHeight="1" x14ac:dyDescent="0.2">
      <c r="A2540" s="1"/>
      <c r="B2540" s="2" t="s">
        <v>323</v>
      </c>
      <c r="C2540" s="3" t="s">
        <v>63</v>
      </c>
      <c r="D2540" s="3" t="s">
        <v>333</v>
      </c>
      <c r="E2540" s="3" t="s">
        <v>2366</v>
      </c>
      <c r="F2540" s="3" t="s">
        <v>2355</v>
      </c>
      <c r="G2540" s="3" t="s">
        <v>2356</v>
      </c>
      <c r="H2540" s="4"/>
      <c r="I2540" s="4">
        <f t="shared" si="242"/>
        <v>0</v>
      </c>
      <c r="J2540" s="4"/>
      <c r="K2540" s="4">
        <f t="shared" si="234"/>
        <v>0</v>
      </c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 spans="1:26" ht="15.75" customHeight="1" x14ac:dyDescent="0.2">
      <c r="A2541" s="1"/>
      <c r="B2541" s="2" t="s">
        <v>88</v>
      </c>
      <c r="C2541" s="3" t="s">
        <v>2367</v>
      </c>
      <c r="D2541" s="3" t="s">
        <v>529</v>
      </c>
      <c r="E2541" s="3" t="s">
        <v>18</v>
      </c>
      <c r="F2541" s="3" t="s">
        <v>2355</v>
      </c>
      <c r="G2541" s="3" t="s">
        <v>2356</v>
      </c>
      <c r="H2541" s="4"/>
      <c r="I2541" s="4">
        <f t="shared" si="242"/>
        <v>0</v>
      </c>
      <c r="J2541" s="4"/>
      <c r="K2541" s="4">
        <f t="shared" si="234"/>
        <v>0</v>
      </c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 spans="1:26" ht="15.75" customHeight="1" x14ac:dyDescent="0.2">
      <c r="A2542" s="1"/>
      <c r="B2542" s="2" t="s">
        <v>94</v>
      </c>
      <c r="C2542" s="3" t="s">
        <v>2367</v>
      </c>
      <c r="D2542" s="3" t="s">
        <v>529</v>
      </c>
      <c r="E2542" s="3" t="s">
        <v>18</v>
      </c>
      <c r="F2542" s="3" t="s">
        <v>2355</v>
      </c>
      <c r="G2542" s="3" t="s">
        <v>2356</v>
      </c>
      <c r="H2542" s="4"/>
      <c r="I2542" s="4">
        <f t="shared" si="242"/>
        <v>0</v>
      </c>
      <c r="J2542" s="4"/>
      <c r="K2542" s="4">
        <f t="shared" si="234"/>
        <v>0</v>
      </c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 spans="1:26" ht="15.75" customHeight="1" x14ac:dyDescent="0.2">
      <c r="A2543" s="1"/>
      <c r="B2543" s="2" t="s">
        <v>109</v>
      </c>
      <c r="C2543" s="3" t="s">
        <v>2368</v>
      </c>
      <c r="D2543" s="3" t="s">
        <v>456</v>
      </c>
      <c r="E2543" s="3" t="s">
        <v>79</v>
      </c>
      <c r="F2543" s="3" t="s">
        <v>2355</v>
      </c>
      <c r="G2543" s="3" t="s">
        <v>2356</v>
      </c>
      <c r="H2543" s="4"/>
      <c r="I2543" s="4">
        <f t="shared" si="242"/>
        <v>0</v>
      </c>
      <c r="J2543" s="4"/>
      <c r="K2543" s="4">
        <f t="shared" si="234"/>
        <v>0</v>
      </c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 spans="1:26" ht="15.75" customHeight="1" x14ac:dyDescent="0.2">
      <c r="A2544" s="1"/>
      <c r="B2544" s="2" t="s">
        <v>108</v>
      </c>
      <c r="C2544" s="3" t="s">
        <v>2368</v>
      </c>
      <c r="D2544" s="3" t="s">
        <v>456</v>
      </c>
      <c r="E2544" s="3" t="s">
        <v>79</v>
      </c>
      <c r="F2544" s="3" t="s">
        <v>2355</v>
      </c>
      <c r="G2544" s="3" t="s">
        <v>2356</v>
      </c>
      <c r="H2544" s="4"/>
      <c r="I2544" s="4">
        <f t="shared" si="242"/>
        <v>0</v>
      </c>
      <c r="J2544" s="4"/>
      <c r="K2544" s="4">
        <f t="shared" si="234"/>
        <v>0</v>
      </c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 spans="1:26" ht="15.75" customHeight="1" x14ac:dyDescent="0.2">
      <c r="A2545" s="1"/>
      <c r="B2545" s="2" t="s">
        <v>109</v>
      </c>
      <c r="C2545" s="3" t="s">
        <v>2369</v>
      </c>
      <c r="D2545" s="3" t="s">
        <v>58</v>
      </c>
      <c r="E2545" s="3" t="s">
        <v>40</v>
      </c>
      <c r="F2545" s="3" t="s">
        <v>2355</v>
      </c>
      <c r="G2545" s="3" t="s">
        <v>2356</v>
      </c>
      <c r="H2545" s="4"/>
      <c r="I2545" s="4">
        <f t="shared" si="242"/>
        <v>0</v>
      </c>
      <c r="J2545" s="4"/>
      <c r="K2545" s="4">
        <f t="shared" si="234"/>
        <v>0</v>
      </c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 spans="1:26" ht="15.75" customHeight="1" x14ac:dyDescent="0.2">
      <c r="A2546" s="1"/>
      <c r="B2546" s="2" t="s">
        <v>108</v>
      </c>
      <c r="C2546" s="3" t="s">
        <v>2369</v>
      </c>
      <c r="D2546" s="3" t="s">
        <v>58</v>
      </c>
      <c r="E2546" s="3" t="s">
        <v>40</v>
      </c>
      <c r="F2546" s="3" t="s">
        <v>2355</v>
      </c>
      <c r="G2546" s="3" t="s">
        <v>2356</v>
      </c>
      <c r="H2546" s="4"/>
      <c r="I2546" s="4">
        <f t="shared" si="242"/>
        <v>0</v>
      </c>
      <c r="J2546" s="4"/>
      <c r="K2546" s="4">
        <f t="shared" si="234"/>
        <v>0</v>
      </c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 spans="1:26" ht="15.75" customHeight="1" x14ac:dyDescent="0.2">
      <c r="A2547" s="1"/>
      <c r="B2547" s="2" t="s">
        <v>94</v>
      </c>
      <c r="C2547" s="3" t="s">
        <v>1478</v>
      </c>
      <c r="D2547" s="3" t="s">
        <v>183</v>
      </c>
      <c r="E2547" s="3" t="s">
        <v>187</v>
      </c>
      <c r="F2547" s="3" t="s">
        <v>2355</v>
      </c>
      <c r="G2547" s="3" t="s">
        <v>2356</v>
      </c>
      <c r="H2547" s="4"/>
      <c r="I2547" s="4">
        <f t="shared" si="242"/>
        <v>0</v>
      </c>
      <c r="J2547" s="4"/>
      <c r="K2547" s="4">
        <f t="shared" si="234"/>
        <v>0</v>
      </c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 spans="1:26" ht="15.75" customHeight="1" x14ac:dyDescent="0.2">
      <c r="A2548" s="1"/>
      <c r="B2548" s="2" t="s">
        <v>88</v>
      </c>
      <c r="C2548" s="3" t="s">
        <v>2359</v>
      </c>
      <c r="D2548" s="3" t="s">
        <v>309</v>
      </c>
      <c r="E2548" s="3" t="s">
        <v>79</v>
      </c>
      <c r="F2548" s="3" t="s">
        <v>2370</v>
      </c>
      <c r="G2548" s="3" t="s">
        <v>2356</v>
      </c>
      <c r="H2548" s="4"/>
      <c r="I2548" s="4">
        <f t="shared" si="242"/>
        <v>0</v>
      </c>
      <c r="J2548" s="4"/>
      <c r="K2548" s="4">
        <f t="shared" si="234"/>
        <v>0</v>
      </c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 spans="1:26" ht="15.75" customHeight="1" x14ac:dyDescent="0.2">
      <c r="A2549" s="1"/>
      <c r="B2549" s="2" t="s">
        <v>828</v>
      </c>
      <c r="C2549" s="3" t="s">
        <v>2371</v>
      </c>
      <c r="D2549" s="3" t="s">
        <v>2372</v>
      </c>
      <c r="E2549" s="3" t="s">
        <v>2373</v>
      </c>
      <c r="F2549" s="3" t="s">
        <v>2374</v>
      </c>
      <c r="G2549" s="3" t="s">
        <v>2356</v>
      </c>
      <c r="H2549" s="4"/>
      <c r="I2549" s="4">
        <f t="shared" si="242"/>
        <v>0</v>
      </c>
      <c r="J2549" s="4"/>
      <c r="K2549" s="4">
        <f t="shared" si="234"/>
        <v>0</v>
      </c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 spans="1:26" ht="15.75" customHeight="1" x14ac:dyDescent="0.2">
      <c r="A2550" s="1"/>
      <c r="B2550" s="2" t="s">
        <v>815</v>
      </c>
      <c r="C2550" s="3" t="s">
        <v>2375</v>
      </c>
      <c r="D2550" s="3" t="s">
        <v>78</v>
      </c>
      <c r="E2550" s="3" t="s">
        <v>326</v>
      </c>
      <c r="F2550" s="3" t="s">
        <v>2374</v>
      </c>
      <c r="G2550" s="3" t="s">
        <v>2356</v>
      </c>
      <c r="H2550" s="4"/>
      <c r="I2550" s="4">
        <f t="shared" si="242"/>
        <v>0</v>
      </c>
      <c r="J2550" s="4"/>
      <c r="K2550" s="4">
        <f t="shared" si="234"/>
        <v>0</v>
      </c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 spans="1:26" ht="15.75" customHeight="1" x14ac:dyDescent="0.2">
      <c r="A2551" s="1">
        <v>1177</v>
      </c>
      <c r="B2551" s="13" t="s">
        <v>256</v>
      </c>
      <c r="C2551" s="14" t="s">
        <v>2376</v>
      </c>
      <c r="D2551" s="14" t="s">
        <v>534</v>
      </c>
      <c r="E2551" s="14" t="s">
        <v>1492</v>
      </c>
      <c r="F2551" s="14" t="s">
        <v>2377</v>
      </c>
      <c r="G2551" s="14" t="s">
        <v>2356</v>
      </c>
      <c r="H2551" s="4"/>
      <c r="I2551" s="4">
        <f t="shared" ref="I2551:I2560" si="243">H2551*2300</f>
        <v>0</v>
      </c>
      <c r="J2551" s="4"/>
      <c r="K2551" s="4">
        <f t="shared" si="234"/>
        <v>0</v>
      </c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 spans="1:26" ht="15.75" customHeight="1" x14ac:dyDescent="0.2">
      <c r="A2552" s="1">
        <v>2257</v>
      </c>
      <c r="B2552" s="13" t="s">
        <v>517</v>
      </c>
      <c r="C2552" s="14" t="s">
        <v>2376</v>
      </c>
      <c r="D2552" s="14" t="s">
        <v>534</v>
      </c>
      <c r="E2552" s="14" t="s">
        <v>1492</v>
      </c>
      <c r="F2552" s="14" t="s">
        <v>2377</v>
      </c>
      <c r="G2552" s="14" t="s">
        <v>2356</v>
      </c>
      <c r="H2552" s="4"/>
      <c r="I2552" s="4">
        <f t="shared" si="243"/>
        <v>0</v>
      </c>
      <c r="J2552" s="4"/>
      <c r="K2552" s="4">
        <f t="shared" si="234"/>
        <v>0</v>
      </c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 spans="1:26" ht="15.75" customHeight="1" x14ac:dyDescent="0.2">
      <c r="A2553" s="1">
        <v>2829</v>
      </c>
      <c r="B2553" s="13" t="s">
        <v>518</v>
      </c>
      <c r="C2553" s="14" t="s">
        <v>2376</v>
      </c>
      <c r="D2553" s="14" t="s">
        <v>534</v>
      </c>
      <c r="E2553" s="14" t="s">
        <v>1492</v>
      </c>
      <c r="F2553" s="14" t="s">
        <v>2377</v>
      </c>
      <c r="G2553" s="14" t="s">
        <v>2356</v>
      </c>
      <c r="H2553" s="4"/>
      <c r="I2553" s="4">
        <f t="shared" si="243"/>
        <v>0</v>
      </c>
      <c r="J2553" s="4"/>
      <c r="K2553" s="4">
        <f t="shared" si="234"/>
        <v>0</v>
      </c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 spans="1:26" ht="15.75" customHeight="1" x14ac:dyDescent="0.2">
      <c r="A2554" s="1">
        <v>193</v>
      </c>
      <c r="B2554" s="13" t="s">
        <v>549</v>
      </c>
      <c r="C2554" s="14" t="s">
        <v>2378</v>
      </c>
      <c r="D2554" s="14" t="s">
        <v>120</v>
      </c>
      <c r="E2554" s="14" t="s">
        <v>322</v>
      </c>
      <c r="F2554" s="14" t="s">
        <v>2377</v>
      </c>
      <c r="G2554" s="14" t="s">
        <v>2356</v>
      </c>
      <c r="H2554" s="4"/>
      <c r="I2554" s="4">
        <f t="shared" si="243"/>
        <v>0</v>
      </c>
      <c r="J2554" s="4"/>
      <c r="K2554" s="4">
        <f t="shared" si="234"/>
        <v>0</v>
      </c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 spans="1:26" ht="15.75" customHeight="1" x14ac:dyDescent="0.2">
      <c r="A2555" s="1">
        <v>1333</v>
      </c>
      <c r="B2555" s="13" t="s">
        <v>260</v>
      </c>
      <c r="C2555" s="14" t="s">
        <v>2378</v>
      </c>
      <c r="D2555" s="14" t="s">
        <v>120</v>
      </c>
      <c r="E2555" s="14" t="s">
        <v>322</v>
      </c>
      <c r="F2555" s="14" t="s">
        <v>2377</v>
      </c>
      <c r="G2555" s="14" t="s">
        <v>2356</v>
      </c>
      <c r="H2555" s="4"/>
      <c r="I2555" s="4">
        <f t="shared" si="243"/>
        <v>0</v>
      </c>
      <c r="J2555" s="4"/>
      <c r="K2555" s="4">
        <f t="shared" si="234"/>
        <v>0</v>
      </c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 spans="1:26" ht="15.75" customHeight="1" x14ac:dyDescent="0.2">
      <c r="A2556" s="1">
        <v>2495</v>
      </c>
      <c r="B2556" s="13" t="s">
        <v>444</v>
      </c>
      <c r="C2556" s="14" t="s">
        <v>2378</v>
      </c>
      <c r="D2556" s="14" t="s">
        <v>120</v>
      </c>
      <c r="E2556" s="14" t="s">
        <v>322</v>
      </c>
      <c r="F2556" s="14" t="s">
        <v>2377</v>
      </c>
      <c r="G2556" s="14" t="s">
        <v>2356</v>
      </c>
      <c r="H2556" s="4"/>
      <c r="I2556" s="4">
        <f t="shared" si="243"/>
        <v>0</v>
      </c>
      <c r="J2556" s="4"/>
      <c r="K2556" s="4">
        <f t="shared" si="234"/>
        <v>0</v>
      </c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 spans="1:26" ht="15.75" customHeight="1" x14ac:dyDescent="0.2">
      <c r="A2557" s="1">
        <v>485</v>
      </c>
      <c r="B2557" s="13" t="s">
        <v>445</v>
      </c>
      <c r="C2557" s="14" t="s">
        <v>1644</v>
      </c>
      <c r="D2557" s="14" t="s">
        <v>388</v>
      </c>
      <c r="E2557" s="14" t="s">
        <v>639</v>
      </c>
      <c r="F2557" s="14" t="s">
        <v>2379</v>
      </c>
      <c r="G2557" s="14" t="s">
        <v>2356</v>
      </c>
      <c r="H2557" s="4"/>
      <c r="I2557" s="4">
        <f t="shared" si="243"/>
        <v>0</v>
      </c>
      <c r="J2557" s="4"/>
      <c r="K2557" s="4">
        <f t="shared" si="234"/>
        <v>0</v>
      </c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 spans="1:26" ht="15.75" customHeight="1" x14ac:dyDescent="0.2">
      <c r="A2558" s="1">
        <v>2837</v>
      </c>
      <c r="B2558" s="13" t="s">
        <v>518</v>
      </c>
      <c r="C2558" s="14" t="s">
        <v>1644</v>
      </c>
      <c r="D2558" s="14" t="s">
        <v>388</v>
      </c>
      <c r="E2558" s="14" t="s">
        <v>639</v>
      </c>
      <c r="F2558" s="14" t="s">
        <v>2379</v>
      </c>
      <c r="G2558" s="14" t="s">
        <v>2356</v>
      </c>
      <c r="H2558" s="4"/>
      <c r="I2558" s="4">
        <f t="shared" si="243"/>
        <v>0</v>
      </c>
      <c r="J2558" s="4"/>
      <c r="K2558" s="4">
        <f t="shared" si="234"/>
        <v>0</v>
      </c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 spans="1:26" ht="15.75" customHeight="1" x14ac:dyDescent="0.2">
      <c r="A2559" s="1">
        <v>61</v>
      </c>
      <c r="B2559" s="13" t="s">
        <v>226</v>
      </c>
      <c r="C2559" s="14" t="s">
        <v>2376</v>
      </c>
      <c r="D2559" s="14" t="s">
        <v>554</v>
      </c>
      <c r="E2559" s="14" t="s">
        <v>1490</v>
      </c>
      <c r="F2559" s="14" t="s">
        <v>2380</v>
      </c>
      <c r="G2559" s="14" t="s">
        <v>2356</v>
      </c>
      <c r="H2559" s="4">
        <v>2</v>
      </c>
      <c r="I2559" s="4">
        <f t="shared" si="243"/>
        <v>4600</v>
      </c>
      <c r="J2559" s="4"/>
      <c r="K2559" s="4">
        <f t="shared" si="234"/>
        <v>0</v>
      </c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 spans="1:26" ht="15.75" customHeight="1" x14ac:dyDescent="0.2">
      <c r="A2560" s="1">
        <v>107</v>
      </c>
      <c r="B2560" s="13" t="s">
        <v>415</v>
      </c>
      <c r="C2560" s="14" t="s">
        <v>2376</v>
      </c>
      <c r="D2560" s="14" t="s">
        <v>554</v>
      </c>
      <c r="E2560" s="14" t="s">
        <v>1490</v>
      </c>
      <c r="F2560" s="14" t="s">
        <v>2380</v>
      </c>
      <c r="G2560" s="14" t="s">
        <v>2356</v>
      </c>
      <c r="H2560" s="4"/>
      <c r="I2560" s="4">
        <f t="shared" si="243"/>
        <v>0</v>
      </c>
      <c r="J2560" s="4"/>
      <c r="K2560" s="4">
        <f t="shared" si="234"/>
        <v>0</v>
      </c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 spans="1:26" ht="15.75" customHeight="1" x14ac:dyDescent="0.2">
      <c r="A2561" s="1"/>
      <c r="B2561" s="2" t="s">
        <v>307</v>
      </c>
      <c r="C2561" s="3" t="s">
        <v>2376</v>
      </c>
      <c r="D2561" s="3" t="s">
        <v>554</v>
      </c>
      <c r="E2561" s="3" t="s">
        <v>1490</v>
      </c>
      <c r="F2561" s="3" t="s">
        <v>2380</v>
      </c>
      <c r="G2561" s="3" t="s">
        <v>2356</v>
      </c>
      <c r="H2561" s="4">
        <v>8</v>
      </c>
      <c r="I2561" s="4">
        <f t="shared" ref="I2561:I2570" si="244">H2561*1800</f>
        <v>14400</v>
      </c>
      <c r="J2561" s="4"/>
      <c r="K2561" s="4">
        <f t="shared" si="234"/>
        <v>0</v>
      </c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 spans="1:26" ht="15.75" customHeight="1" x14ac:dyDescent="0.2">
      <c r="A2562" s="1"/>
      <c r="B2562" s="2" t="s">
        <v>232</v>
      </c>
      <c r="C2562" s="3" t="s">
        <v>2376</v>
      </c>
      <c r="D2562" s="3" t="s">
        <v>554</v>
      </c>
      <c r="E2562" s="3" t="s">
        <v>1490</v>
      </c>
      <c r="F2562" s="3" t="s">
        <v>2380</v>
      </c>
      <c r="G2562" s="3" t="s">
        <v>2356</v>
      </c>
      <c r="H2562" s="4"/>
      <c r="I2562" s="4">
        <f t="shared" si="244"/>
        <v>0</v>
      </c>
      <c r="J2562" s="4"/>
      <c r="K2562" s="4">
        <f t="shared" si="234"/>
        <v>0</v>
      </c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 spans="1:26" ht="15.75" customHeight="1" x14ac:dyDescent="0.2">
      <c r="A2563" s="1"/>
      <c r="B2563" s="2" t="s">
        <v>303</v>
      </c>
      <c r="C2563" s="3" t="s">
        <v>2376</v>
      </c>
      <c r="D2563" s="3" t="s">
        <v>554</v>
      </c>
      <c r="E2563" s="3" t="s">
        <v>1490</v>
      </c>
      <c r="F2563" s="3" t="s">
        <v>2380</v>
      </c>
      <c r="G2563" s="3" t="s">
        <v>2356</v>
      </c>
      <c r="H2563" s="4"/>
      <c r="I2563" s="4">
        <f t="shared" si="244"/>
        <v>0</v>
      </c>
      <c r="J2563" s="4"/>
      <c r="K2563" s="4">
        <f t="shared" si="234"/>
        <v>0</v>
      </c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 spans="1:26" ht="15.75" customHeight="1" x14ac:dyDescent="0.2">
      <c r="A2564" s="1"/>
      <c r="B2564" s="2" t="s">
        <v>94</v>
      </c>
      <c r="C2564" s="3" t="s">
        <v>2376</v>
      </c>
      <c r="D2564" s="3" t="s">
        <v>554</v>
      </c>
      <c r="E2564" s="3" t="s">
        <v>1490</v>
      </c>
      <c r="F2564" s="3" t="s">
        <v>2380</v>
      </c>
      <c r="G2564" s="3" t="s">
        <v>2356</v>
      </c>
      <c r="H2564" s="4"/>
      <c r="I2564" s="4">
        <f t="shared" si="244"/>
        <v>0</v>
      </c>
      <c r="J2564" s="4"/>
      <c r="K2564" s="4">
        <f t="shared" si="234"/>
        <v>0</v>
      </c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 spans="1:26" ht="15.75" customHeight="1" x14ac:dyDescent="0.2">
      <c r="A2565" s="1"/>
      <c r="B2565" s="2" t="s">
        <v>126</v>
      </c>
      <c r="C2565" s="3" t="s">
        <v>2381</v>
      </c>
      <c r="D2565" s="3" t="s">
        <v>376</v>
      </c>
      <c r="E2565" s="3" t="s">
        <v>259</v>
      </c>
      <c r="F2565" s="3" t="s">
        <v>2380</v>
      </c>
      <c r="G2565" s="3" t="s">
        <v>2356</v>
      </c>
      <c r="H2565" s="4"/>
      <c r="I2565" s="4">
        <f t="shared" si="244"/>
        <v>0</v>
      </c>
      <c r="J2565" s="4"/>
      <c r="K2565" s="4">
        <f t="shared" si="234"/>
        <v>0</v>
      </c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 spans="1:26" ht="15.75" customHeight="1" x14ac:dyDescent="0.2">
      <c r="A2566" s="1"/>
      <c r="B2566" s="2" t="s">
        <v>303</v>
      </c>
      <c r="C2566" s="3" t="s">
        <v>2381</v>
      </c>
      <c r="D2566" s="3" t="s">
        <v>376</v>
      </c>
      <c r="E2566" s="3" t="s">
        <v>259</v>
      </c>
      <c r="F2566" s="3" t="s">
        <v>2380</v>
      </c>
      <c r="G2566" s="3" t="s">
        <v>2356</v>
      </c>
      <c r="H2566" s="4"/>
      <c r="I2566" s="4">
        <f t="shared" si="244"/>
        <v>0</v>
      </c>
      <c r="J2566" s="4"/>
      <c r="K2566" s="4">
        <f t="shared" si="234"/>
        <v>0</v>
      </c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 spans="1:26" ht="15.75" customHeight="1" x14ac:dyDescent="0.2">
      <c r="A2567" s="1"/>
      <c r="B2567" s="2" t="s">
        <v>94</v>
      </c>
      <c r="C2567" s="3" t="s">
        <v>2381</v>
      </c>
      <c r="D2567" s="3" t="s">
        <v>376</v>
      </c>
      <c r="E2567" s="3" t="s">
        <v>259</v>
      </c>
      <c r="F2567" s="3" t="s">
        <v>2380</v>
      </c>
      <c r="G2567" s="3" t="s">
        <v>2356</v>
      </c>
      <c r="H2567" s="4"/>
      <c r="I2567" s="4">
        <f t="shared" si="244"/>
        <v>0</v>
      </c>
      <c r="J2567" s="4"/>
      <c r="K2567" s="4">
        <f t="shared" si="234"/>
        <v>0</v>
      </c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 spans="1:26" ht="15.75" customHeight="1" x14ac:dyDescent="0.2">
      <c r="A2568" s="1"/>
      <c r="B2568" s="2" t="s">
        <v>232</v>
      </c>
      <c r="C2568" s="3" t="s">
        <v>1623</v>
      </c>
      <c r="D2568" s="3" t="s">
        <v>272</v>
      </c>
      <c r="E2568" s="3" t="s">
        <v>322</v>
      </c>
      <c r="F2568" s="3" t="s">
        <v>2380</v>
      </c>
      <c r="G2568" s="3" t="s">
        <v>2356</v>
      </c>
      <c r="H2568" s="4"/>
      <c r="I2568" s="4">
        <f t="shared" si="244"/>
        <v>0</v>
      </c>
      <c r="J2568" s="4"/>
      <c r="K2568" s="4">
        <f t="shared" si="234"/>
        <v>0</v>
      </c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 spans="1:26" ht="15.75" customHeight="1" x14ac:dyDescent="0.2">
      <c r="A2569" s="1"/>
      <c r="B2569" s="2" t="s">
        <v>108</v>
      </c>
      <c r="C2569" s="3" t="s">
        <v>1623</v>
      </c>
      <c r="D2569" s="3" t="s">
        <v>272</v>
      </c>
      <c r="E2569" s="3" t="s">
        <v>322</v>
      </c>
      <c r="F2569" s="3" t="s">
        <v>2380</v>
      </c>
      <c r="G2569" s="3" t="s">
        <v>2356</v>
      </c>
      <c r="H2569" s="4"/>
      <c r="I2569" s="4">
        <f t="shared" si="244"/>
        <v>0</v>
      </c>
      <c r="J2569" s="4"/>
      <c r="K2569" s="4">
        <f t="shared" si="234"/>
        <v>0</v>
      </c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 spans="1:26" ht="15.75" customHeight="1" x14ac:dyDescent="0.2">
      <c r="A2570" s="1"/>
      <c r="B2570" s="2" t="s">
        <v>94</v>
      </c>
      <c r="C2570" s="3" t="s">
        <v>1623</v>
      </c>
      <c r="D2570" s="3" t="s">
        <v>272</v>
      </c>
      <c r="E2570" s="3" t="s">
        <v>322</v>
      </c>
      <c r="F2570" s="3" t="s">
        <v>2380</v>
      </c>
      <c r="G2570" s="3" t="s">
        <v>2356</v>
      </c>
      <c r="H2570" s="4"/>
      <c r="I2570" s="4">
        <f t="shared" si="244"/>
        <v>0</v>
      </c>
      <c r="J2570" s="4"/>
      <c r="K2570" s="4">
        <f t="shared" si="234"/>
        <v>0</v>
      </c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 spans="1:26" ht="15.75" customHeight="1" x14ac:dyDescent="0.2">
      <c r="A2571" s="1">
        <v>521</v>
      </c>
      <c r="B2571" s="13" t="s">
        <v>509</v>
      </c>
      <c r="C2571" s="14" t="s">
        <v>537</v>
      </c>
      <c r="D2571" s="14" t="s">
        <v>850</v>
      </c>
      <c r="E2571" s="14" t="s">
        <v>105</v>
      </c>
      <c r="F2571" s="14" t="s">
        <v>2382</v>
      </c>
      <c r="G2571" s="14" t="s">
        <v>2356</v>
      </c>
      <c r="H2571" s="4">
        <v>10</v>
      </c>
      <c r="I2571" s="4">
        <f t="shared" ref="I2571:I2574" si="245">H2571*2300</f>
        <v>23000</v>
      </c>
      <c r="J2571" s="4"/>
      <c r="K2571" s="4">
        <f t="shared" si="234"/>
        <v>0</v>
      </c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 spans="1:26" ht="15.75" customHeight="1" x14ac:dyDescent="0.2">
      <c r="A2572" s="1">
        <v>1131</v>
      </c>
      <c r="B2572" s="13" t="s">
        <v>449</v>
      </c>
      <c r="C2572" s="14" t="s">
        <v>537</v>
      </c>
      <c r="D2572" s="14" t="s">
        <v>850</v>
      </c>
      <c r="E2572" s="14" t="s">
        <v>105</v>
      </c>
      <c r="F2572" s="14" t="s">
        <v>2382</v>
      </c>
      <c r="G2572" s="14" t="s">
        <v>2356</v>
      </c>
      <c r="H2572" s="4"/>
      <c r="I2572" s="4">
        <f t="shared" si="245"/>
        <v>0</v>
      </c>
      <c r="J2572" s="4"/>
      <c r="K2572" s="4">
        <f t="shared" si="234"/>
        <v>0</v>
      </c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 spans="1:26" ht="15.75" customHeight="1" x14ac:dyDescent="0.2">
      <c r="A2573" s="1">
        <v>1839</v>
      </c>
      <c r="B2573" s="13" t="s">
        <v>439</v>
      </c>
      <c r="C2573" s="14" t="s">
        <v>537</v>
      </c>
      <c r="D2573" s="14" t="s">
        <v>850</v>
      </c>
      <c r="E2573" s="14" t="s">
        <v>105</v>
      </c>
      <c r="F2573" s="14" t="s">
        <v>2382</v>
      </c>
      <c r="G2573" s="14" t="s">
        <v>2356</v>
      </c>
      <c r="H2573" s="4"/>
      <c r="I2573" s="4">
        <f t="shared" si="245"/>
        <v>0</v>
      </c>
      <c r="J2573" s="4"/>
      <c r="K2573" s="4">
        <f t="shared" si="234"/>
        <v>0</v>
      </c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 spans="1:26" ht="15.75" customHeight="1" x14ac:dyDescent="0.2">
      <c r="A2574" s="1">
        <v>2663</v>
      </c>
      <c r="B2574" s="13" t="s">
        <v>1055</v>
      </c>
      <c r="C2574" s="14" t="s">
        <v>2383</v>
      </c>
      <c r="D2574" s="14" t="s">
        <v>2384</v>
      </c>
      <c r="E2574" s="14" t="s">
        <v>2385</v>
      </c>
      <c r="F2574" s="14" t="s">
        <v>2382</v>
      </c>
      <c r="G2574" s="14" t="s">
        <v>2356</v>
      </c>
      <c r="H2574" s="4"/>
      <c r="I2574" s="4">
        <f t="shared" si="245"/>
        <v>0</v>
      </c>
      <c r="J2574" s="4"/>
      <c r="K2574" s="4">
        <f t="shared" si="234"/>
        <v>0</v>
      </c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 spans="1:26" ht="15.75" customHeight="1" x14ac:dyDescent="0.2">
      <c r="A2575" s="1"/>
      <c r="B2575" s="2" t="s">
        <v>828</v>
      </c>
      <c r="C2575" s="3" t="s">
        <v>598</v>
      </c>
      <c r="D2575" s="3" t="s">
        <v>183</v>
      </c>
      <c r="E2575" s="3" t="s">
        <v>87</v>
      </c>
      <c r="F2575" s="3" t="s">
        <v>2386</v>
      </c>
      <c r="G2575" s="3" t="s">
        <v>2356</v>
      </c>
      <c r="H2575" s="4"/>
      <c r="I2575" s="4">
        <f t="shared" ref="I2575:I2587" si="246">H2575*1800</f>
        <v>0</v>
      </c>
      <c r="J2575" s="4"/>
      <c r="K2575" s="4">
        <f t="shared" si="234"/>
        <v>0</v>
      </c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 spans="1:26" ht="15.75" customHeight="1" x14ac:dyDescent="0.2">
      <c r="A2576" s="1"/>
      <c r="B2576" s="2" t="s">
        <v>523</v>
      </c>
      <c r="C2576" s="3" t="s">
        <v>2387</v>
      </c>
      <c r="D2576" s="3" t="s">
        <v>78</v>
      </c>
      <c r="E2576" s="3" t="s">
        <v>306</v>
      </c>
      <c r="F2576" s="3" t="s">
        <v>2386</v>
      </c>
      <c r="G2576" s="3" t="s">
        <v>2356</v>
      </c>
      <c r="H2576" s="4"/>
      <c r="I2576" s="4">
        <f t="shared" si="246"/>
        <v>0</v>
      </c>
      <c r="J2576" s="4"/>
      <c r="K2576" s="4">
        <f t="shared" si="234"/>
        <v>0</v>
      </c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 spans="1:26" ht="15.75" customHeight="1" x14ac:dyDescent="0.2">
      <c r="A2577" s="1"/>
      <c r="B2577" s="2" t="s">
        <v>1975</v>
      </c>
      <c r="C2577" s="3" t="s">
        <v>2388</v>
      </c>
      <c r="D2577" s="3" t="s">
        <v>491</v>
      </c>
      <c r="E2577" s="3" t="s">
        <v>40</v>
      </c>
      <c r="F2577" s="3" t="s">
        <v>2386</v>
      </c>
      <c r="G2577" s="3" t="s">
        <v>2356</v>
      </c>
      <c r="H2577" s="4"/>
      <c r="I2577" s="4">
        <f t="shared" si="246"/>
        <v>0</v>
      </c>
      <c r="J2577" s="4"/>
      <c r="K2577" s="4">
        <f t="shared" si="234"/>
        <v>0</v>
      </c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 spans="1:26" ht="15.75" customHeight="1" x14ac:dyDescent="0.2">
      <c r="A2578" s="1"/>
      <c r="B2578" s="2" t="s">
        <v>830</v>
      </c>
      <c r="C2578" s="3" t="s">
        <v>2389</v>
      </c>
      <c r="D2578" s="3" t="s">
        <v>526</v>
      </c>
      <c r="E2578" s="3" t="s">
        <v>18</v>
      </c>
      <c r="F2578" s="3" t="s">
        <v>2390</v>
      </c>
      <c r="G2578" s="3" t="s">
        <v>2356</v>
      </c>
      <c r="H2578" s="4"/>
      <c r="I2578" s="4">
        <f t="shared" si="246"/>
        <v>0</v>
      </c>
      <c r="J2578" s="4"/>
      <c r="K2578" s="4">
        <f t="shared" si="234"/>
        <v>0</v>
      </c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 spans="1:26" ht="15.75" customHeight="1" x14ac:dyDescent="0.2">
      <c r="A2579" s="1"/>
      <c r="B2579" s="2" t="s">
        <v>823</v>
      </c>
      <c r="C2579" s="3" t="s">
        <v>1264</v>
      </c>
      <c r="D2579" s="3" t="s">
        <v>78</v>
      </c>
      <c r="E2579" s="3" t="s">
        <v>546</v>
      </c>
      <c r="F2579" s="3" t="s">
        <v>2390</v>
      </c>
      <c r="G2579" s="3" t="s">
        <v>2356</v>
      </c>
      <c r="H2579" s="4"/>
      <c r="I2579" s="4">
        <f t="shared" si="246"/>
        <v>0</v>
      </c>
      <c r="J2579" s="4"/>
      <c r="K2579" s="4">
        <f t="shared" si="234"/>
        <v>0</v>
      </c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 spans="1:26" ht="15.75" customHeight="1" x14ac:dyDescent="0.2">
      <c r="A2580" s="1"/>
      <c r="B2580" s="2" t="s">
        <v>815</v>
      </c>
      <c r="C2580" s="3" t="s">
        <v>2391</v>
      </c>
      <c r="D2580" s="3" t="s">
        <v>116</v>
      </c>
      <c r="E2580" s="3" t="s">
        <v>1212</v>
      </c>
      <c r="F2580" s="3" t="s">
        <v>2390</v>
      </c>
      <c r="G2580" s="3" t="s">
        <v>2356</v>
      </c>
      <c r="H2580" s="4"/>
      <c r="I2580" s="4">
        <f t="shared" si="246"/>
        <v>0</v>
      </c>
      <c r="J2580" s="4"/>
      <c r="K2580" s="4">
        <f t="shared" si="234"/>
        <v>0</v>
      </c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 spans="1:26" ht="15.75" customHeight="1" x14ac:dyDescent="0.2">
      <c r="A2581" s="1"/>
      <c r="B2581" s="2" t="s">
        <v>815</v>
      </c>
      <c r="C2581" s="3" t="s">
        <v>1268</v>
      </c>
      <c r="D2581" s="3" t="s">
        <v>516</v>
      </c>
      <c r="E2581" s="3" t="s">
        <v>40</v>
      </c>
      <c r="F2581" s="3" t="s">
        <v>2390</v>
      </c>
      <c r="G2581" s="3" t="s">
        <v>2356</v>
      </c>
      <c r="H2581" s="4"/>
      <c r="I2581" s="4">
        <f t="shared" si="246"/>
        <v>0</v>
      </c>
      <c r="J2581" s="4"/>
      <c r="K2581" s="4">
        <f t="shared" si="234"/>
        <v>0</v>
      </c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 spans="1:26" ht="15.75" customHeight="1" x14ac:dyDescent="0.2">
      <c r="A2582" s="1"/>
      <c r="B2582" s="2" t="s">
        <v>815</v>
      </c>
      <c r="C2582" s="3" t="s">
        <v>2392</v>
      </c>
      <c r="D2582" s="3" t="s">
        <v>992</v>
      </c>
      <c r="E2582" s="3" t="s">
        <v>310</v>
      </c>
      <c r="F2582" s="3" t="s">
        <v>2390</v>
      </c>
      <c r="G2582" s="3" t="s">
        <v>2356</v>
      </c>
      <c r="H2582" s="4"/>
      <c r="I2582" s="4">
        <f t="shared" si="246"/>
        <v>0</v>
      </c>
      <c r="J2582" s="4"/>
      <c r="K2582" s="4">
        <f t="shared" si="234"/>
        <v>0</v>
      </c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 spans="1:26" ht="15.75" customHeight="1" x14ac:dyDescent="0.2">
      <c r="A2583" s="1"/>
      <c r="B2583" s="2" t="s">
        <v>736</v>
      </c>
      <c r="C2583" s="3" t="s">
        <v>1347</v>
      </c>
      <c r="D2583" s="3" t="s">
        <v>58</v>
      </c>
      <c r="E2583" s="3" t="s">
        <v>571</v>
      </c>
      <c r="F2583" s="3" t="s">
        <v>2390</v>
      </c>
      <c r="G2583" s="3" t="s">
        <v>2356</v>
      </c>
      <c r="H2583" s="4"/>
      <c r="I2583" s="4">
        <f t="shared" si="246"/>
        <v>0</v>
      </c>
      <c r="J2583" s="4"/>
      <c r="K2583" s="4">
        <f t="shared" si="234"/>
        <v>0</v>
      </c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 spans="1:26" ht="15.75" customHeight="1" x14ac:dyDescent="0.2">
      <c r="A2584" s="1"/>
      <c r="B2584" s="2" t="s">
        <v>818</v>
      </c>
      <c r="C2584" s="3" t="s">
        <v>2393</v>
      </c>
      <c r="D2584" s="3" t="s">
        <v>656</v>
      </c>
      <c r="E2584" s="3" t="s">
        <v>2394</v>
      </c>
      <c r="F2584" s="3" t="s">
        <v>2395</v>
      </c>
      <c r="G2584" s="3" t="s">
        <v>2356</v>
      </c>
      <c r="H2584" s="4"/>
      <c r="I2584" s="4">
        <f t="shared" si="246"/>
        <v>0</v>
      </c>
      <c r="J2584" s="4"/>
      <c r="K2584" s="4">
        <f t="shared" si="234"/>
        <v>0</v>
      </c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 spans="1:26" ht="15.75" customHeight="1" x14ac:dyDescent="0.2">
      <c r="A2585" s="1"/>
      <c r="B2585" s="2" t="s">
        <v>828</v>
      </c>
      <c r="C2585" s="3" t="s">
        <v>2396</v>
      </c>
      <c r="D2585" s="3" t="s">
        <v>593</v>
      </c>
      <c r="E2585" s="3" t="s">
        <v>134</v>
      </c>
      <c r="F2585" s="3" t="s">
        <v>2395</v>
      </c>
      <c r="G2585" s="3" t="s">
        <v>2356</v>
      </c>
      <c r="H2585" s="4"/>
      <c r="I2585" s="4">
        <f t="shared" si="246"/>
        <v>0</v>
      </c>
      <c r="J2585" s="4"/>
      <c r="K2585" s="4">
        <f t="shared" si="234"/>
        <v>0</v>
      </c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 spans="1:26" ht="15.75" customHeight="1" x14ac:dyDescent="0.2">
      <c r="A2586" s="1"/>
      <c r="B2586" s="2" t="s">
        <v>830</v>
      </c>
      <c r="C2586" s="3" t="s">
        <v>2397</v>
      </c>
      <c r="D2586" s="3" t="s">
        <v>183</v>
      </c>
      <c r="E2586" s="3" t="s">
        <v>630</v>
      </c>
      <c r="F2586" s="3" t="s">
        <v>2395</v>
      </c>
      <c r="G2586" s="3" t="s">
        <v>2356</v>
      </c>
      <c r="H2586" s="4"/>
      <c r="I2586" s="4">
        <f t="shared" si="246"/>
        <v>0</v>
      </c>
      <c r="J2586" s="4"/>
      <c r="K2586" s="4">
        <f t="shared" si="234"/>
        <v>0</v>
      </c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 spans="1:26" ht="15.75" customHeight="1" x14ac:dyDescent="0.2">
      <c r="A2587" s="1"/>
      <c r="B2587" s="2" t="s">
        <v>818</v>
      </c>
      <c r="C2587" s="3" t="s">
        <v>2398</v>
      </c>
      <c r="D2587" s="3" t="s">
        <v>554</v>
      </c>
      <c r="E2587" s="3" t="s">
        <v>424</v>
      </c>
      <c r="F2587" s="3" t="s">
        <v>2395</v>
      </c>
      <c r="G2587" s="3" t="s">
        <v>2356</v>
      </c>
      <c r="H2587" s="4"/>
      <c r="I2587" s="4">
        <f t="shared" si="246"/>
        <v>0</v>
      </c>
      <c r="J2587" s="4"/>
      <c r="K2587" s="4">
        <f t="shared" si="234"/>
        <v>0</v>
      </c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 spans="1:26" ht="15.75" customHeight="1" x14ac:dyDescent="0.2">
      <c r="A2588" s="1">
        <v>1697</v>
      </c>
      <c r="B2588" s="13" t="s">
        <v>270</v>
      </c>
      <c r="C2588" s="14" t="s">
        <v>1679</v>
      </c>
      <c r="D2588" s="14" t="s">
        <v>989</v>
      </c>
      <c r="E2588" s="14" t="s">
        <v>32</v>
      </c>
      <c r="F2588" s="14" t="s">
        <v>2399</v>
      </c>
      <c r="G2588" s="14" t="s">
        <v>2356</v>
      </c>
      <c r="H2588" s="4"/>
      <c r="I2588" s="4">
        <f t="shared" ref="I2588:I2590" si="247">H2588*2300</f>
        <v>0</v>
      </c>
      <c r="J2588" s="4"/>
      <c r="K2588" s="4">
        <f t="shared" si="234"/>
        <v>0</v>
      </c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 spans="1:26" ht="15.75" customHeight="1" x14ac:dyDescent="0.2">
      <c r="A2589" s="1">
        <v>2225</v>
      </c>
      <c r="B2589" s="13" t="s">
        <v>282</v>
      </c>
      <c r="C2589" s="14" t="s">
        <v>1679</v>
      </c>
      <c r="D2589" s="14" t="s">
        <v>989</v>
      </c>
      <c r="E2589" s="14" t="s">
        <v>32</v>
      </c>
      <c r="F2589" s="14" t="s">
        <v>2399</v>
      </c>
      <c r="G2589" s="14" t="s">
        <v>2356</v>
      </c>
      <c r="H2589" s="4"/>
      <c r="I2589" s="4">
        <f t="shared" si="247"/>
        <v>0</v>
      </c>
      <c r="J2589" s="4"/>
      <c r="K2589" s="4">
        <f t="shared" si="234"/>
        <v>0</v>
      </c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 spans="1:26" ht="15.75" customHeight="1" x14ac:dyDescent="0.2">
      <c r="A2590" s="20">
        <v>3015</v>
      </c>
      <c r="B2590" s="21" t="s">
        <v>290</v>
      </c>
      <c r="C2590" s="22" t="s">
        <v>1679</v>
      </c>
      <c r="D2590" s="22" t="s">
        <v>989</v>
      </c>
      <c r="E2590" s="22" t="s">
        <v>32</v>
      </c>
      <c r="F2590" s="14" t="s">
        <v>2399</v>
      </c>
      <c r="G2590" s="14" t="s">
        <v>2356</v>
      </c>
      <c r="H2590" s="4"/>
      <c r="I2590" s="4">
        <f t="shared" si="247"/>
        <v>0</v>
      </c>
      <c r="J2590" s="4"/>
      <c r="K2590" s="4">
        <f t="shared" si="234"/>
        <v>0</v>
      </c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 spans="1:26" ht="15.75" customHeight="1" x14ac:dyDescent="0.2">
      <c r="A2591" s="1"/>
      <c r="B2591" s="2" t="s">
        <v>315</v>
      </c>
      <c r="C2591" s="3" t="s">
        <v>2400</v>
      </c>
      <c r="D2591" s="3" t="s">
        <v>325</v>
      </c>
      <c r="E2591" s="3" t="s">
        <v>393</v>
      </c>
      <c r="F2591" s="3" t="s">
        <v>2399</v>
      </c>
      <c r="G2591" s="3" t="s">
        <v>2356</v>
      </c>
      <c r="H2591" s="4"/>
      <c r="I2591" s="4">
        <f t="shared" ref="I2591:I2594" si="248">H2591*1800</f>
        <v>0</v>
      </c>
      <c r="J2591" s="4"/>
      <c r="K2591" s="4">
        <f t="shared" si="234"/>
        <v>0</v>
      </c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 spans="1:26" ht="15.75" customHeight="1" x14ac:dyDescent="0.2">
      <c r="A2592" s="1"/>
      <c r="B2592" s="2" t="s">
        <v>108</v>
      </c>
      <c r="C2592" s="3" t="s">
        <v>2400</v>
      </c>
      <c r="D2592" s="3" t="s">
        <v>325</v>
      </c>
      <c r="E2592" s="3" t="s">
        <v>393</v>
      </c>
      <c r="F2592" s="3" t="s">
        <v>2399</v>
      </c>
      <c r="G2592" s="3" t="s">
        <v>2356</v>
      </c>
      <c r="H2592" s="4"/>
      <c r="I2592" s="4">
        <f t="shared" si="248"/>
        <v>0</v>
      </c>
      <c r="J2592" s="4"/>
      <c r="K2592" s="4">
        <f t="shared" si="234"/>
        <v>0</v>
      </c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 spans="1:26" ht="15.75" customHeight="1" x14ac:dyDescent="0.2">
      <c r="A2593" s="1"/>
      <c r="B2593" s="2" t="s">
        <v>108</v>
      </c>
      <c r="C2593" s="3" t="s">
        <v>2401</v>
      </c>
      <c r="D2593" s="3" t="s">
        <v>557</v>
      </c>
      <c r="E2593" s="3" t="s">
        <v>567</v>
      </c>
      <c r="F2593" s="3" t="s">
        <v>2399</v>
      </c>
      <c r="G2593" s="3" t="s">
        <v>2356</v>
      </c>
      <c r="H2593" s="4"/>
      <c r="I2593" s="4">
        <f t="shared" si="248"/>
        <v>0</v>
      </c>
      <c r="J2593" s="4"/>
      <c r="K2593" s="4">
        <f t="shared" si="234"/>
        <v>0</v>
      </c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 spans="1:26" ht="15.75" customHeight="1" x14ac:dyDescent="0.2">
      <c r="A2594" s="1"/>
      <c r="B2594" s="2" t="s">
        <v>108</v>
      </c>
      <c r="C2594" s="3" t="s">
        <v>2401</v>
      </c>
      <c r="D2594" s="3" t="s">
        <v>557</v>
      </c>
      <c r="E2594" s="3" t="s">
        <v>567</v>
      </c>
      <c r="F2594" s="3" t="s">
        <v>2399</v>
      </c>
      <c r="G2594" s="3" t="s">
        <v>2356</v>
      </c>
      <c r="H2594" s="4"/>
      <c r="I2594" s="4">
        <f t="shared" si="248"/>
        <v>0</v>
      </c>
      <c r="J2594" s="4"/>
      <c r="K2594" s="4">
        <f t="shared" si="234"/>
        <v>0</v>
      </c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 spans="1:26" ht="15.75" customHeight="1" x14ac:dyDescent="0.2">
      <c r="A2595" s="1">
        <v>2429</v>
      </c>
      <c r="B2595" s="13" t="s">
        <v>201</v>
      </c>
      <c r="C2595" s="14" t="s">
        <v>2402</v>
      </c>
      <c r="D2595" s="14" t="s">
        <v>309</v>
      </c>
      <c r="E2595" s="14" t="s">
        <v>273</v>
      </c>
      <c r="F2595" s="14" t="s">
        <v>2403</v>
      </c>
      <c r="G2595" s="14" t="s">
        <v>2356</v>
      </c>
      <c r="H2595" s="4"/>
      <c r="I2595" s="4">
        <f>H2595*2300</f>
        <v>0</v>
      </c>
      <c r="J2595" s="4"/>
      <c r="K2595" s="4">
        <f t="shared" si="234"/>
        <v>0</v>
      </c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 spans="1:26" ht="15.75" customHeight="1" x14ac:dyDescent="0.2">
      <c r="A2596" s="1"/>
      <c r="B2596" s="2" t="s">
        <v>336</v>
      </c>
      <c r="C2596" s="3" t="s">
        <v>2404</v>
      </c>
      <c r="D2596" s="3" t="s">
        <v>2405</v>
      </c>
      <c r="E2596" s="3" t="s">
        <v>2406</v>
      </c>
      <c r="F2596" s="3" t="s">
        <v>2403</v>
      </c>
      <c r="G2596" s="3" t="s">
        <v>2356</v>
      </c>
      <c r="H2596" s="4"/>
      <c r="I2596" s="4">
        <f t="shared" ref="I2596:I2604" si="249">H2596*1800</f>
        <v>0</v>
      </c>
      <c r="J2596" s="4"/>
      <c r="K2596" s="4">
        <f t="shared" si="234"/>
        <v>0</v>
      </c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 spans="1:26" ht="15.75" customHeight="1" x14ac:dyDescent="0.2">
      <c r="A2597" s="1"/>
      <c r="B2597" s="2" t="s">
        <v>336</v>
      </c>
      <c r="C2597" s="3" t="s">
        <v>2407</v>
      </c>
      <c r="D2597" s="3" t="s">
        <v>898</v>
      </c>
      <c r="E2597" s="3" t="s">
        <v>650</v>
      </c>
      <c r="F2597" s="3" t="s">
        <v>2403</v>
      </c>
      <c r="G2597" s="3" t="s">
        <v>2356</v>
      </c>
      <c r="H2597" s="4"/>
      <c r="I2597" s="4">
        <f t="shared" si="249"/>
        <v>0</v>
      </c>
      <c r="J2597" s="4"/>
      <c r="K2597" s="4">
        <f t="shared" si="234"/>
        <v>0</v>
      </c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 spans="1:26" ht="15.75" customHeight="1" x14ac:dyDescent="0.2">
      <c r="A2598" s="1"/>
      <c r="B2598" s="2" t="s">
        <v>41</v>
      </c>
      <c r="C2598" s="3" t="s">
        <v>1557</v>
      </c>
      <c r="D2598" s="3" t="s">
        <v>111</v>
      </c>
      <c r="E2598" s="3" t="s">
        <v>1090</v>
      </c>
      <c r="F2598" s="3" t="s">
        <v>2403</v>
      </c>
      <c r="G2598" s="3" t="s">
        <v>2356</v>
      </c>
      <c r="H2598" s="4"/>
      <c r="I2598" s="4">
        <f t="shared" si="249"/>
        <v>0</v>
      </c>
      <c r="J2598" s="4"/>
      <c r="K2598" s="4">
        <f t="shared" si="234"/>
        <v>0</v>
      </c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 spans="1:26" ht="15.75" customHeight="1" x14ac:dyDescent="0.2">
      <c r="A2599" s="1"/>
      <c r="B2599" s="2" t="s">
        <v>80</v>
      </c>
      <c r="C2599" s="3" t="s">
        <v>640</v>
      </c>
      <c r="D2599" s="3" t="s">
        <v>516</v>
      </c>
      <c r="E2599" s="3" t="s">
        <v>650</v>
      </c>
      <c r="F2599" s="3" t="s">
        <v>2403</v>
      </c>
      <c r="G2599" s="3" t="s">
        <v>2356</v>
      </c>
      <c r="H2599" s="4"/>
      <c r="I2599" s="4">
        <f t="shared" si="249"/>
        <v>0</v>
      </c>
      <c r="J2599" s="4"/>
      <c r="K2599" s="4">
        <f t="shared" si="234"/>
        <v>0</v>
      </c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 spans="1:26" ht="15.75" customHeight="1" x14ac:dyDescent="0.2">
      <c r="A2600" s="1"/>
      <c r="B2600" s="2" t="s">
        <v>80</v>
      </c>
      <c r="C2600" s="3" t="s">
        <v>625</v>
      </c>
      <c r="D2600" s="3" t="s">
        <v>474</v>
      </c>
      <c r="E2600" s="3" t="s">
        <v>319</v>
      </c>
      <c r="F2600" s="3" t="s">
        <v>2403</v>
      </c>
      <c r="G2600" s="3" t="s">
        <v>2356</v>
      </c>
      <c r="H2600" s="4"/>
      <c r="I2600" s="4">
        <f t="shared" si="249"/>
        <v>0</v>
      </c>
      <c r="J2600" s="4"/>
      <c r="K2600" s="4">
        <f t="shared" si="234"/>
        <v>0</v>
      </c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 spans="1:26" ht="15.75" customHeight="1" x14ac:dyDescent="0.2">
      <c r="A2601" s="1"/>
      <c r="B2601" s="2" t="s">
        <v>46</v>
      </c>
      <c r="C2601" s="3" t="s">
        <v>2408</v>
      </c>
      <c r="D2601" s="3" t="s">
        <v>39</v>
      </c>
      <c r="E2601" s="3" t="s">
        <v>87</v>
      </c>
      <c r="F2601" s="3" t="s">
        <v>2403</v>
      </c>
      <c r="G2601" s="3" t="s">
        <v>2356</v>
      </c>
      <c r="H2601" s="4"/>
      <c r="I2601" s="4">
        <f t="shared" si="249"/>
        <v>0</v>
      </c>
      <c r="J2601" s="4"/>
      <c r="K2601" s="4">
        <f t="shared" si="234"/>
        <v>0</v>
      </c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 spans="1:26" ht="15.75" customHeight="1" x14ac:dyDescent="0.2">
      <c r="A2602" s="1"/>
      <c r="B2602" s="2" t="s">
        <v>336</v>
      </c>
      <c r="C2602" s="3" t="s">
        <v>2409</v>
      </c>
      <c r="D2602" s="3" t="s">
        <v>309</v>
      </c>
      <c r="E2602" s="3" t="s">
        <v>1212</v>
      </c>
      <c r="F2602" s="3" t="s">
        <v>2403</v>
      </c>
      <c r="G2602" s="3" t="s">
        <v>2356</v>
      </c>
      <c r="H2602" s="4"/>
      <c r="I2602" s="4">
        <f t="shared" si="249"/>
        <v>0</v>
      </c>
      <c r="J2602" s="4"/>
      <c r="K2602" s="4">
        <f t="shared" si="234"/>
        <v>0</v>
      </c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 spans="1:26" ht="15.75" customHeight="1" x14ac:dyDescent="0.2">
      <c r="A2603" s="1"/>
      <c r="B2603" s="2" t="s">
        <v>336</v>
      </c>
      <c r="C2603" s="3" t="s">
        <v>2410</v>
      </c>
      <c r="D2603" s="3" t="s">
        <v>647</v>
      </c>
      <c r="E2603" s="3" t="s">
        <v>690</v>
      </c>
      <c r="F2603" s="3" t="s">
        <v>2403</v>
      </c>
      <c r="G2603" s="3" t="s">
        <v>2356</v>
      </c>
      <c r="H2603" s="4"/>
      <c r="I2603" s="4">
        <f t="shared" si="249"/>
        <v>0</v>
      </c>
      <c r="J2603" s="4"/>
      <c r="K2603" s="4">
        <f t="shared" si="234"/>
        <v>0</v>
      </c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 spans="1:26" ht="15.75" customHeight="1" x14ac:dyDescent="0.2">
      <c r="A2604" s="1"/>
      <c r="B2604" s="2" t="s">
        <v>80</v>
      </c>
      <c r="C2604" s="3" t="s">
        <v>2411</v>
      </c>
      <c r="D2604" s="3" t="s">
        <v>58</v>
      </c>
      <c r="E2604" s="3" t="s">
        <v>32</v>
      </c>
      <c r="F2604" s="3" t="s">
        <v>2403</v>
      </c>
      <c r="G2604" s="3" t="s">
        <v>2356</v>
      </c>
      <c r="H2604" s="4"/>
      <c r="I2604" s="4">
        <f t="shared" si="249"/>
        <v>0</v>
      </c>
      <c r="J2604" s="4"/>
      <c r="K2604" s="4">
        <f t="shared" si="234"/>
        <v>0</v>
      </c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 spans="1:26" ht="15.75" customHeight="1" x14ac:dyDescent="0.2">
      <c r="A2605" s="1">
        <v>307</v>
      </c>
      <c r="B2605" s="13" t="s">
        <v>1208</v>
      </c>
      <c r="C2605" s="14" t="s">
        <v>241</v>
      </c>
      <c r="D2605" s="14" t="s">
        <v>516</v>
      </c>
      <c r="E2605" s="14" t="s">
        <v>650</v>
      </c>
      <c r="F2605" s="14" t="s">
        <v>2413</v>
      </c>
      <c r="G2605" s="14" t="s">
        <v>2356</v>
      </c>
      <c r="H2605" s="4">
        <v>6</v>
      </c>
      <c r="I2605" s="4">
        <f t="shared" ref="I2605:I2609" si="250">H2605*2300</f>
        <v>13800</v>
      </c>
      <c r="J2605" s="4"/>
      <c r="K2605" s="4">
        <f t="shared" si="234"/>
        <v>0</v>
      </c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 spans="1:26" ht="15.75" customHeight="1" x14ac:dyDescent="0.2">
      <c r="A2606" s="1">
        <v>309</v>
      </c>
      <c r="B2606" s="13" t="s">
        <v>1208</v>
      </c>
      <c r="C2606" s="14" t="s">
        <v>2414</v>
      </c>
      <c r="D2606" s="14" t="s">
        <v>120</v>
      </c>
      <c r="E2606" s="14" t="s">
        <v>237</v>
      </c>
      <c r="F2606" s="14" t="s">
        <v>2413</v>
      </c>
      <c r="G2606" s="14" t="s">
        <v>2356</v>
      </c>
      <c r="H2606" s="4"/>
      <c r="I2606" s="4">
        <f t="shared" si="250"/>
        <v>0</v>
      </c>
      <c r="J2606" s="4"/>
      <c r="K2606" s="4">
        <f t="shared" si="234"/>
        <v>0</v>
      </c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 spans="1:26" ht="15.75" customHeight="1" x14ac:dyDescent="0.2">
      <c r="A2607" s="1">
        <v>311</v>
      </c>
      <c r="B2607" s="13" t="s">
        <v>1208</v>
      </c>
      <c r="C2607" s="14" t="s">
        <v>2415</v>
      </c>
      <c r="D2607" s="14" t="s">
        <v>120</v>
      </c>
      <c r="E2607" s="14" t="s">
        <v>22</v>
      </c>
      <c r="F2607" s="14" t="s">
        <v>2413</v>
      </c>
      <c r="G2607" s="14" t="s">
        <v>2356</v>
      </c>
      <c r="H2607" s="4"/>
      <c r="I2607" s="4">
        <f t="shared" si="250"/>
        <v>0</v>
      </c>
      <c r="J2607" s="4"/>
      <c r="K2607" s="4">
        <f t="shared" si="234"/>
        <v>0</v>
      </c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 spans="1:26" ht="15.75" customHeight="1" x14ac:dyDescent="0.2">
      <c r="A2608" s="1">
        <v>315</v>
      </c>
      <c r="B2608" s="13" t="s">
        <v>1208</v>
      </c>
      <c r="C2608" s="14" t="s">
        <v>2416</v>
      </c>
      <c r="D2608" s="14" t="s">
        <v>309</v>
      </c>
      <c r="E2608" s="14" t="s">
        <v>32</v>
      </c>
      <c r="F2608" s="14" t="s">
        <v>2413</v>
      </c>
      <c r="G2608" s="14" t="s">
        <v>2356</v>
      </c>
      <c r="H2608" s="4"/>
      <c r="I2608" s="4">
        <f t="shared" si="250"/>
        <v>0</v>
      </c>
      <c r="J2608" s="4"/>
      <c r="K2608" s="4">
        <f t="shared" si="234"/>
        <v>0</v>
      </c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 spans="1:26" ht="15.75" customHeight="1" x14ac:dyDescent="0.2">
      <c r="A2609" s="1">
        <v>397</v>
      </c>
      <c r="B2609" s="13" t="s">
        <v>1883</v>
      </c>
      <c r="C2609" s="14" t="s">
        <v>2417</v>
      </c>
      <c r="D2609" s="14" t="s">
        <v>593</v>
      </c>
      <c r="E2609" s="14" t="s">
        <v>2418</v>
      </c>
      <c r="F2609" s="14" t="s">
        <v>2413</v>
      </c>
      <c r="G2609" s="14" t="s">
        <v>2356</v>
      </c>
      <c r="H2609" s="4"/>
      <c r="I2609" s="4">
        <f t="shared" si="250"/>
        <v>0</v>
      </c>
      <c r="J2609" s="4"/>
      <c r="K2609" s="4">
        <f t="shared" si="234"/>
        <v>0</v>
      </c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 spans="1:26" ht="15.75" customHeight="1" x14ac:dyDescent="0.2">
      <c r="A2610" s="1"/>
      <c r="B2610" s="2" t="s">
        <v>815</v>
      </c>
      <c r="C2610" s="3" t="s">
        <v>2417</v>
      </c>
      <c r="D2610" s="3" t="s">
        <v>593</v>
      </c>
      <c r="E2610" s="3" t="s">
        <v>2418</v>
      </c>
      <c r="F2610" s="3" t="s">
        <v>2413</v>
      </c>
      <c r="G2610" s="3" t="s">
        <v>2356</v>
      </c>
      <c r="H2610" s="4"/>
      <c r="I2610" s="4">
        <f t="shared" ref="I2610:I2616" si="251">H2610*1800</f>
        <v>0</v>
      </c>
      <c r="J2610" s="4"/>
      <c r="K2610" s="4">
        <f t="shared" si="234"/>
        <v>0</v>
      </c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 spans="1:26" ht="15.75" customHeight="1" x14ac:dyDescent="0.2">
      <c r="A2611" s="1"/>
      <c r="B2611" s="2" t="s">
        <v>807</v>
      </c>
      <c r="C2611" s="3" t="s">
        <v>2412</v>
      </c>
      <c r="D2611" s="3" t="s">
        <v>1385</v>
      </c>
      <c r="E2611" s="3" t="s">
        <v>630</v>
      </c>
      <c r="F2611" s="3" t="s">
        <v>2413</v>
      </c>
      <c r="G2611" s="3" t="s">
        <v>2356</v>
      </c>
      <c r="H2611" s="4"/>
      <c r="I2611" s="4">
        <f t="shared" si="251"/>
        <v>0</v>
      </c>
      <c r="J2611" s="4"/>
      <c r="K2611" s="4">
        <f t="shared" si="234"/>
        <v>0</v>
      </c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 spans="1:26" ht="15.75" customHeight="1" x14ac:dyDescent="0.2">
      <c r="A2612" s="1"/>
      <c r="B2612" s="2" t="s">
        <v>828</v>
      </c>
      <c r="C2612" s="3" t="s">
        <v>2419</v>
      </c>
      <c r="D2612" s="3" t="s">
        <v>647</v>
      </c>
      <c r="E2612" s="3" t="s">
        <v>259</v>
      </c>
      <c r="F2612" s="3" t="s">
        <v>2413</v>
      </c>
      <c r="G2612" s="3" t="s">
        <v>2356</v>
      </c>
      <c r="H2612" s="4"/>
      <c r="I2612" s="4">
        <f t="shared" si="251"/>
        <v>0</v>
      </c>
      <c r="J2612" s="4"/>
      <c r="K2612" s="4">
        <f t="shared" si="234"/>
        <v>0</v>
      </c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 spans="1:26" ht="15.75" customHeight="1" x14ac:dyDescent="0.2">
      <c r="A2613" s="1"/>
      <c r="B2613" s="2" t="s">
        <v>815</v>
      </c>
      <c r="C2613" s="3" t="s">
        <v>2420</v>
      </c>
      <c r="D2613" s="3" t="s">
        <v>1748</v>
      </c>
      <c r="E2613" s="3" t="s">
        <v>1749</v>
      </c>
      <c r="F2613" s="3" t="s">
        <v>2413</v>
      </c>
      <c r="G2613" s="3" t="s">
        <v>2356</v>
      </c>
      <c r="H2613" s="4"/>
      <c r="I2613" s="4">
        <f t="shared" si="251"/>
        <v>0</v>
      </c>
      <c r="J2613" s="4"/>
      <c r="K2613" s="4">
        <f t="shared" si="234"/>
        <v>0</v>
      </c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 spans="1:26" ht="15.75" customHeight="1" x14ac:dyDescent="0.2">
      <c r="A2614" s="1"/>
      <c r="B2614" s="2" t="s">
        <v>736</v>
      </c>
      <c r="C2614" s="3" t="s">
        <v>2416</v>
      </c>
      <c r="D2614" s="3" t="s">
        <v>309</v>
      </c>
      <c r="E2614" s="3" t="s">
        <v>32</v>
      </c>
      <c r="F2614" s="3" t="s">
        <v>2413</v>
      </c>
      <c r="G2614" s="3" t="s">
        <v>2356</v>
      </c>
      <c r="H2614" s="4"/>
      <c r="I2614" s="4">
        <f t="shared" si="251"/>
        <v>0</v>
      </c>
      <c r="J2614" s="4"/>
      <c r="K2614" s="4">
        <f t="shared" si="234"/>
        <v>0</v>
      </c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 spans="1:26" ht="15.75" customHeight="1" x14ac:dyDescent="0.2">
      <c r="A2615" s="1"/>
      <c r="B2615" s="2" t="s">
        <v>920</v>
      </c>
      <c r="C2615" s="3" t="s">
        <v>2421</v>
      </c>
      <c r="D2615" s="3" t="s">
        <v>78</v>
      </c>
      <c r="E2615" s="3" t="s">
        <v>2422</v>
      </c>
      <c r="F2615" s="3" t="s">
        <v>2413</v>
      </c>
      <c r="G2615" s="3" t="s">
        <v>2356</v>
      </c>
      <c r="H2615" s="4"/>
      <c r="I2615" s="4">
        <f t="shared" si="251"/>
        <v>0</v>
      </c>
      <c r="J2615" s="4"/>
      <c r="K2615" s="4">
        <f t="shared" si="234"/>
        <v>0</v>
      </c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 spans="1:26" ht="15.75" customHeight="1" x14ac:dyDescent="0.2">
      <c r="A2616" s="1"/>
      <c r="B2616" s="2" t="s">
        <v>523</v>
      </c>
      <c r="C2616" s="3" t="s">
        <v>1027</v>
      </c>
      <c r="D2616" s="3" t="s">
        <v>2423</v>
      </c>
      <c r="E2616" s="3" t="s">
        <v>2424</v>
      </c>
      <c r="F2616" s="3" t="s">
        <v>2413</v>
      </c>
      <c r="G2616" s="3" t="s">
        <v>2356</v>
      </c>
      <c r="H2616" s="4"/>
      <c r="I2616" s="4">
        <f t="shared" si="251"/>
        <v>0</v>
      </c>
      <c r="J2616" s="4"/>
      <c r="K2616" s="4">
        <f t="shared" si="234"/>
        <v>0</v>
      </c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 spans="1:26" ht="15.75" customHeight="1" x14ac:dyDescent="0.2">
      <c r="A2617" s="1">
        <v>2393</v>
      </c>
      <c r="B2617" s="13" t="s">
        <v>154</v>
      </c>
      <c r="C2617" s="14" t="s">
        <v>1917</v>
      </c>
      <c r="D2617" s="14" t="s">
        <v>557</v>
      </c>
      <c r="E2617" s="14" t="s">
        <v>1169</v>
      </c>
      <c r="F2617" s="14" t="s">
        <v>2425</v>
      </c>
      <c r="G2617" s="14" t="s">
        <v>2356</v>
      </c>
      <c r="H2617" s="4">
        <v>4</v>
      </c>
      <c r="I2617" s="4">
        <f t="shared" ref="I2617:I2619" si="252">H2617*2300</f>
        <v>9200</v>
      </c>
      <c r="J2617" s="4"/>
      <c r="K2617" s="4">
        <f t="shared" si="234"/>
        <v>0</v>
      </c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 spans="1:26" ht="15.75" customHeight="1" x14ac:dyDescent="0.2">
      <c r="A2618" s="1">
        <v>2411</v>
      </c>
      <c r="B2618" s="13" t="s">
        <v>10</v>
      </c>
      <c r="C2618" s="14" t="s">
        <v>2426</v>
      </c>
      <c r="D2618" s="14" t="s">
        <v>75</v>
      </c>
      <c r="E2618" s="14" t="s">
        <v>1806</v>
      </c>
      <c r="F2618" s="14" t="s">
        <v>2425</v>
      </c>
      <c r="G2618" s="14" t="s">
        <v>2356</v>
      </c>
      <c r="H2618" s="4"/>
      <c r="I2618" s="4">
        <f t="shared" si="252"/>
        <v>0</v>
      </c>
      <c r="J2618" s="4"/>
      <c r="K2618" s="4">
        <f t="shared" si="234"/>
        <v>0</v>
      </c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 spans="1:26" ht="15.75" customHeight="1" x14ac:dyDescent="0.2">
      <c r="A2619" s="1">
        <v>2469</v>
      </c>
      <c r="B2619" s="13" t="s">
        <v>16</v>
      </c>
      <c r="C2619" s="14" t="s">
        <v>2427</v>
      </c>
      <c r="D2619" s="14" t="s">
        <v>647</v>
      </c>
      <c r="E2619" s="14" t="s">
        <v>1038</v>
      </c>
      <c r="F2619" s="14" t="s">
        <v>2425</v>
      </c>
      <c r="G2619" s="14" t="s">
        <v>2356</v>
      </c>
      <c r="H2619" s="4"/>
      <c r="I2619" s="4">
        <f t="shared" si="252"/>
        <v>0</v>
      </c>
      <c r="J2619" s="4"/>
      <c r="K2619" s="4">
        <f t="shared" si="234"/>
        <v>0</v>
      </c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 spans="1:26" ht="15.75" customHeight="1" x14ac:dyDescent="0.2">
      <c r="A2620" s="1"/>
      <c r="B2620" s="2" t="s">
        <v>71</v>
      </c>
      <c r="C2620" s="3" t="s">
        <v>2428</v>
      </c>
      <c r="D2620" s="3" t="s">
        <v>272</v>
      </c>
      <c r="E2620" s="3" t="s">
        <v>112</v>
      </c>
      <c r="F2620" s="3" t="s">
        <v>2425</v>
      </c>
      <c r="G2620" s="3" t="s">
        <v>2356</v>
      </c>
      <c r="H2620" s="4"/>
      <c r="I2620" s="4">
        <f t="shared" ref="I2620:I2637" si="253">H2620*1800</f>
        <v>0</v>
      </c>
      <c r="J2620" s="4"/>
      <c r="K2620" s="4">
        <f t="shared" si="234"/>
        <v>0</v>
      </c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 spans="1:26" ht="15.75" customHeight="1" x14ac:dyDescent="0.2">
      <c r="A2621" s="1"/>
      <c r="B2621" s="2" t="s">
        <v>37</v>
      </c>
      <c r="C2621" s="3" t="s">
        <v>2429</v>
      </c>
      <c r="D2621" s="3" t="s">
        <v>1397</v>
      </c>
      <c r="E2621" s="3" t="s">
        <v>626</v>
      </c>
      <c r="F2621" s="3" t="s">
        <v>2425</v>
      </c>
      <c r="G2621" s="3" t="s">
        <v>2356</v>
      </c>
      <c r="H2621" s="4"/>
      <c r="I2621" s="4">
        <f t="shared" si="253"/>
        <v>0</v>
      </c>
      <c r="J2621" s="4"/>
      <c r="K2621" s="4">
        <f t="shared" si="234"/>
        <v>0</v>
      </c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 spans="1:26" ht="15.75" customHeight="1" x14ac:dyDescent="0.2">
      <c r="A2622" s="1"/>
      <c r="B2622" s="2" t="s">
        <v>71</v>
      </c>
      <c r="C2622" s="3" t="s">
        <v>2430</v>
      </c>
      <c r="D2622" s="3" t="s">
        <v>78</v>
      </c>
      <c r="E2622" s="3" t="s">
        <v>87</v>
      </c>
      <c r="F2622" s="3" t="s">
        <v>2425</v>
      </c>
      <c r="G2622" s="3" t="s">
        <v>2356</v>
      </c>
      <c r="H2622" s="4"/>
      <c r="I2622" s="4">
        <f t="shared" si="253"/>
        <v>0</v>
      </c>
      <c r="J2622" s="4"/>
      <c r="K2622" s="4">
        <f t="shared" si="234"/>
        <v>0</v>
      </c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 spans="1:26" ht="15.75" customHeight="1" x14ac:dyDescent="0.2">
      <c r="A2623" s="1"/>
      <c r="B2623" s="2" t="s">
        <v>41</v>
      </c>
      <c r="C2623" s="3" t="s">
        <v>450</v>
      </c>
      <c r="D2623" s="3" t="s">
        <v>1581</v>
      </c>
      <c r="E2623" s="3" t="s">
        <v>1425</v>
      </c>
      <c r="F2623" s="3" t="s">
        <v>2425</v>
      </c>
      <c r="G2623" s="3" t="s">
        <v>2356</v>
      </c>
      <c r="H2623" s="4"/>
      <c r="I2623" s="4">
        <f t="shared" si="253"/>
        <v>0</v>
      </c>
      <c r="J2623" s="4"/>
      <c r="K2623" s="4">
        <f t="shared" si="234"/>
        <v>0</v>
      </c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 spans="1:26" ht="15.75" customHeight="1" x14ac:dyDescent="0.2">
      <c r="A2624" s="1"/>
      <c r="B2624" s="2" t="s">
        <v>26</v>
      </c>
      <c r="C2624" s="3" t="s">
        <v>2431</v>
      </c>
      <c r="D2624" s="3" t="s">
        <v>309</v>
      </c>
      <c r="E2624" s="3" t="s">
        <v>1212</v>
      </c>
      <c r="F2624" s="3" t="s">
        <v>2425</v>
      </c>
      <c r="G2624" s="3" t="s">
        <v>2356</v>
      </c>
      <c r="H2624" s="4"/>
      <c r="I2624" s="4">
        <f t="shared" si="253"/>
        <v>0</v>
      </c>
      <c r="J2624" s="4"/>
      <c r="K2624" s="4">
        <f t="shared" si="234"/>
        <v>0</v>
      </c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 spans="1:26" ht="15.75" customHeight="1" x14ac:dyDescent="0.2">
      <c r="A2625" s="1"/>
      <c r="B2625" s="2" t="s">
        <v>37</v>
      </c>
      <c r="C2625" s="3" t="s">
        <v>2432</v>
      </c>
      <c r="D2625" s="3" t="s">
        <v>383</v>
      </c>
      <c r="E2625" s="3" t="s">
        <v>302</v>
      </c>
      <c r="F2625" s="3" t="s">
        <v>2425</v>
      </c>
      <c r="G2625" s="3" t="s">
        <v>2356</v>
      </c>
      <c r="H2625" s="4"/>
      <c r="I2625" s="4">
        <f t="shared" si="253"/>
        <v>0</v>
      </c>
      <c r="J2625" s="4"/>
      <c r="K2625" s="4">
        <f t="shared" si="234"/>
        <v>0</v>
      </c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 spans="1:26" ht="15.75" customHeight="1" x14ac:dyDescent="0.2">
      <c r="A2626" s="1"/>
      <c r="B2626" s="2" t="s">
        <v>71</v>
      </c>
      <c r="C2626" s="3" t="s">
        <v>2433</v>
      </c>
      <c r="D2626" s="3" t="s">
        <v>39</v>
      </c>
      <c r="E2626" s="3" t="s">
        <v>393</v>
      </c>
      <c r="F2626" s="3" t="s">
        <v>2425</v>
      </c>
      <c r="G2626" s="3" t="s">
        <v>2356</v>
      </c>
      <c r="H2626" s="4"/>
      <c r="I2626" s="4">
        <f t="shared" si="253"/>
        <v>0</v>
      </c>
      <c r="J2626" s="4"/>
      <c r="K2626" s="4">
        <f t="shared" si="234"/>
        <v>0</v>
      </c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 spans="1:26" ht="15.75" customHeight="1" x14ac:dyDescent="0.2">
      <c r="A2627" s="1"/>
      <c r="B2627" s="2" t="s">
        <v>26</v>
      </c>
      <c r="C2627" s="3" t="s">
        <v>2434</v>
      </c>
      <c r="D2627" s="3" t="s">
        <v>1401</v>
      </c>
      <c r="E2627" s="3" t="s">
        <v>393</v>
      </c>
      <c r="F2627" s="3" t="s">
        <v>2425</v>
      </c>
      <c r="G2627" s="3" t="s">
        <v>2356</v>
      </c>
      <c r="H2627" s="4"/>
      <c r="I2627" s="4">
        <f t="shared" si="253"/>
        <v>0</v>
      </c>
      <c r="J2627" s="4"/>
      <c r="K2627" s="4">
        <f t="shared" si="234"/>
        <v>0</v>
      </c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 spans="1:26" ht="15.75" customHeight="1" x14ac:dyDescent="0.2">
      <c r="A2628" s="1"/>
      <c r="B2628" s="2" t="s">
        <v>311</v>
      </c>
      <c r="C2628" s="3" t="s">
        <v>2435</v>
      </c>
      <c r="D2628" s="3" t="s">
        <v>554</v>
      </c>
      <c r="E2628" s="3" t="s">
        <v>650</v>
      </c>
      <c r="F2628" s="3" t="s">
        <v>2436</v>
      </c>
      <c r="G2628" s="3" t="s">
        <v>2356</v>
      </c>
      <c r="H2628" s="4"/>
      <c r="I2628" s="4">
        <f t="shared" si="253"/>
        <v>0</v>
      </c>
      <c r="J2628" s="4"/>
      <c r="K2628" s="4">
        <f t="shared" si="234"/>
        <v>0</v>
      </c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 spans="1:26" ht="15.75" customHeight="1" x14ac:dyDescent="0.2">
      <c r="A2629" s="1"/>
      <c r="B2629" s="2" t="s">
        <v>114</v>
      </c>
      <c r="C2629" s="3" t="s">
        <v>2435</v>
      </c>
      <c r="D2629" s="3" t="s">
        <v>554</v>
      </c>
      <c r="E2629" s="3" t="s">
        <v>650</v>
      </c>
      <c r="F2629" s="3" t="s">
        <v>2436</v>
      </c>
      <c r="G2629" s="3" t="s">
        <v>2356</v>
      </c>
      <c r="H2629" s="4"/>
      <c r="I2629" s="4">
        <f t="shared" si="253"/>
        <v>0</v>
      </c>
      <c r="J2629" s="4"/>
      <c r="K2629" s="4">
        <f t="shared" si="234"/>
        <v>0</v>
      </c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 spans="1:26" ht="15.75" customHeight="1" x14ac:dyDescent="0.2">
      <c r="A2630" s="1"/>
      <c r="B2630" s="2" t="s">
        <v>108</v>
      </c>
      <c r="C2630" s="3" t="s">
        <v>2435</v>
      </c>
      <c r="D2630" s="3" t="s">
        <v>554</v>
      </c>
      <c r="E2630" s="3" t="s">
        <v>650</v>
      </c>
      <c r="F2630" s="3" t="s">
        <v>2436</v>
      </c>
      <c r="G2630" s="3" t="s">
        <v>2356</v>
      </c>
      <c r="H2630" s="4"/>
      <c r="I2630" s="4">
        <f t="shared" si="253"/>
        <v>0</v>
      </c>
      <c r="J2630" s="4"/>
      <c r="K2630" s="4">
        <f t="shared" si="234"/>
        <v>0</v>
      </c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 spans="1:26" ht="15.75" customHeight="1" x14ac:dyDescent="0.2">
      <c r="A2631" s="1"/>
      <c r="B2631" s="2" t="s">
        <v>300</v>
      </c>
      <c r="C2631" s="3" t="s">
        <v>2437</v>
      </c>
      <c r="D2631" s="3" t="s">
        <v>516</v>
      </c>
      <c r="E2631" s="3" t="s">
        <v>129</v>
      </c>
      <c r="F2631" s="3" t="s">
        <v>2436</v>
      </c>
      <c r="G2631" s="3" t="s">
        <v>2356</v>
      </c>
      <c r="H2631" s="4"/>
      <c r="I2631" s="4">
        <f t="shared" si="253"/>
        <v>0</v>
      </c>
      <c r="J2631" s="4"/>
      <c r="K2631" s="4">
        <f t="shared" si="234"/>
        <v>0</v>
      </c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 spans="1:26" ht="15.75" customHeight="1" x14ac:dyDescent="0.2">
      <c r="A2632" s="1"/>
      <c r="B2632" s="2" t="s">
        <v>303</v>
      </c>
      <c r="C2632" s="3" t="s">
        <v>2437</v>
      </c>
      <c r="D2632" s="3" t="s">
        <v>516</v>
      </c>
      <c r="E2632" s="3" t="s">
        <v>129</v>
      </c>
      <c r="F2632" s="3" t="s">
        <v>2436</v>
      </c>
      <c r="G2632" s="3" t="s">
        <v>2356</v>
      </c>
      <c r="H2632" s="4"/>
      <c r="I2632" s="4">
        <f t="shared" si="253"/>
        <v>0</v>
      </c>
      <c r="J2632" s="4"/>
      <c r="K2632" s="4">
        <f t="shared" si="234"/>
        <v>0</v>
      </c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 spans="1:26" ht="15.75" customHeight="1" x14ac:dyDescent="0.2">
      <c r="A2633" s="1"/>
      <c r="B2633" s="2" t="s">
        <v>94</v>
      </c>
      <c r="C2633" s="3" t="s">
        <v>2437</v>
      </c>
      <c r="D2633" s="3" t="s">
        <v>516</v>
      </c>
      <c r="E2633" s="3" t="s">
        <v>129</v>
      </c>
      <c r="F2633" s="3" t="s">
        <v>2436</v>
      </c>
      <c r="G2633" s="3" t="s">
        <v>2356</v>
      </c>
      <c r="H2633" s="4"/>
      <c r="I2633" s="4">
        <f t="shared" si="253"/>
        <v>0</v>
      </c>
      <c r="J2633" s="4"/>
      <c r="K2633" s="4">
        <f t="shared" si="234"/>
        <v>0</v>
      </c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 spans="1:26" ht="15.75" customHeight="1" x14ac:dyDescent="0.2">
      <c r="A2634" s="1"/>
      <c r="B2634" s="2" t="s">
        <v>94</v>
      </c>
      <c r="C2634" s="3" t="s">
        <v>2438</v>
      </c>
      <c r="D2634" s="3" t="s">
        <v>2439</v>
      </c>
      <c r="E2634" s="3" t="s">
        <v>32</v>
      </c>
      <c r="F2634" s="3" t="s">
        <v>2436</v>
      </c>
      <c r="G2634" s="3" t="s">
        <v>2356</v>
      </c>
      <c r="H2634" s="4"/>
      <c r="I2634" s="4">
        <f t="shared" si="253"/>
        <v>0</v>
      </c>
      <c r="J2634" s="4"/>
      <c r="K2634" s="4">
        <f t="shared" si="234"/>
        <v>0</v>
      </c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 spans="1:26" ht="15.75" customHeight="1" x14ac:dyDescent="0.2">
      <c r="A2635" s="1"/>
      <c r="B2635" s="2" t="s">
        <v>131</v>
      </c>
      <c r="C2635" s="3" t="s">
        <v>2440</v>
      </c>
      <c r="D2635" s="3" t="s">
        <v>600</v>
      </c>
      <c r="E2635" s="3" t="s">
        <v>319</v>
      </c>
      <c r="F2635" s="3" t="s">
        <v>2436</v>
      </c>
      <c r="G2635" s="3" t="s">
        <v>2356</v>
      </c>
      <c r="H2635" s="4"/>
      <c r="I2635" s="4">
        <f t="shared" si="253"/>
        <v>0</v>
      </c>
      <c r="J2635" s="4"/>
      <c r="K2635" s="4">
        <f t="shared" si="234"/>
        <v>0</v>
      </c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 spans="1:26" ht="15.75" customHeight="1" x14ac:dyDescent="0.2">
      <c r="A2636" s="1"/>
      <c r="B2636" s="2" t="s">
        <v>118</v>
      </c>
      <c r="C2636" s="3" t="s">
        <v>2440</v>
      </c>
      <c r="D2636" s="3" t="s">
        <v>600</v>
      </c>
      <c r="E2636" s="3" t="s">
        <v>319</v>
      </c>
      <c r="F2636" s="3" t="s">
        <v>2436</v>
      </c>
      <c r="G2636" s="3" t="s">
        <v>2356</v>
      </c>
      <c r="H2636" s="4"/>
      <c r="I2636" s="4">
        <f t="shared" si="253"/>
        <v>0</v>
      </c>
      <c r="J2636" s="4"/>
      <c r="K2636" s="4">
        <f t="shared" si="234"/>
        <v>0</v>
      </c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 spans="1:26" ht="15.75" customHeight="1" x14ac:dyDescent="0.2">
      <c r="A2637" s="1"/>
      <c r="B2637" s="2" t="s">
        <v>94</v>
      </c>
      <c r="C2637" s="3" t="s">
        <v>2440</v>
      </c>
      <c r="D2637" s="3" t="s">
        <v>600</v>
      </c>
      <c r="E2637" s="3" t="s">
        <v>319</v>
      </c>
      <c r="F2637" s="3" t="s">
        <v>2436</v>
      </c>
      <c r="G2637" s="3" t="s">
        <v>2356</v>
      </c>
      <c r="H2637" s="4"/>
      <c r="I2637" s="4">
        <f t="shared" si="253"/>
        <v>0</v>
      </c>
      <c r="J2637" s="4"/>
      <c r="K2637" s="4">
        <f t="shared" si="234"/>
        <v>0</v>
      </c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 spans="1:26" ht="15.75" customHeight="1" x14ac:dyDescent="0.2">
      <c r="A2638" s="1">
        <v>259</v>
      </c>
      <c r="B2638" s="13" t="s">
        <v>243</v>
      </c>
      <c r="C2638" s="14" t="s">
        <v>2441</v>
      </c>
      <c r="D2638" s="14" t="s">
        <v>562</v>
      </c>
      <c r="E2638" s="14" t="s">
        <v>571</v>
      </c>
      <c r="F2638" s="14" t="s">
        <v>2442</v>
      </c>
      <c r="G2638" s="14" t="s">
        <v>2356</v>
      </c>
      <c r="H2638" s="4"/>
      <c r="I2638" s="4">
        <f t="shared" ref="I2638:I2663" si="254">H2638*2300</f>
        <v>0</v>
      </c>
      <c r="J2638" s="4"/>
      <c r="K2638" s="4">
        <f t="shared" si="234"/>
        <v>0</v>
      </c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 spans="1:26" ht="15.75" customHeight="1" x14ac:dyDescent="0.2">
      <c r="A2639" s="1">
        <v>633</v>
      </c>
      <c r="B2639" s="13" t="s">
        <v>248</v>
      </c>
      <c r="C2639" s="14" t="s">
        <v>2443</v>
      </c>
      <c r="D2639" s="14" t="s">
        <v>388</v>
      </c>
      <c r="E2639" s="14" t="s">
        <v>1083</v>
      </c>
      <c r="F2639" s="14" t="s">
        <v>2442</v>
      </c>
      <c r="G2639" s="14" t="s">
        <v>2356</v>
      </c>
      <c r="H2639" s="4"/>
      <c r="I2639" s="4">
        <f t="shared" si="254"/>
        <v>0</v>
      </c>
      <c r="J2639" s="4"/>
      <c r="K2639" s="4">
        <f t="shared" si="234"/>
        <v>0</v>
      </c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 spans="1:26" ht="15.75" customHeight="1" x14ac:dyDescent="0.2">
      <c r="A2640" s="1">
        <v>1245</v>
      </c>
      <c r="B2640" s="13" t="s">
        <v>699</v>
      </c>
      <c r="C2640" s="14" t="s">
        <v>2441</v>
      </c>
      <c r="D2640" s="14" t="s">
        <v>562</v>
      </c>
      <c r="E2640" s="14" t="s">
        <v>571</v>
      </c>
      <c r="F2640" s="14" t="s">
        <v>2442</v>
      </c>
      <c r="G2640" s="14" t="s">
        <v>2356</v>
      </c>
      <c r="H2640" s="4"/>
      <c r="I2640" s="4">
        <f t="shared" si="254"/>
        <v>0</v>
      </c>
      <c r="J2640" s="4"/>
      <c r="K2640" s="4">
        <f t="shared" si="234"/>
        <v>0</v>
      </c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 spans="1:26" ht="15.75" customHeight="1" x14ac:dyDescent="0.2">
      <c r="A2641" s="1">
        <v>1453</v>
      </c>
      <c r="B2641" s="13" t="s">
        <v>261</v>
      </c>
      <c r="C2641" s="14" t="s">
        <v>2444</v>
      </c>
      <c r="D2641" s="14" t="s">
        <v>554</v>
      </c>
      <c r="E2641" s="14" t="s">
        <v>424</v>
      </c>
      <c r="F2641" s="14" t="s">
        <v>2442</v>
      </c>
      <c r="G2641" s="14" t="s">
        <v>2356</v>
      </c>
      <c r="H2641" s="4"/>
      <c r="I2641" s="4">
        <f t="shared" si="254"/>
        <v>0</v>
      </c>
      <c r="J2641" s="4"/>
      <c r="K2641" s="4">
        <f t="shared" si="234"/>
        <v>0</v>
      </c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 spans="1:26" ht="15.75" customHeight="1" x14ac:dyDescent="0.2">
      <c r="A2642" s="1">
        <v>1465</v>
      </c>
      <c r="B2642" s="13" t="s">
        <v>261</v>
      </c>
      <c r="C2642" s="14" t="s">
        <v>2445</v>
      </c>
      <c r="D2642" s="14" t="s">
        <v>309</v>
      </c>
      <c r="E2642" s="14" t="s">
        <v>32</v>
      </c>
      <c r="F2642" s="14" t="s">
        <v>2442</v>
      </c>
      <c r="G2642" s="14" t="s">
        <v>2356</v>
      </c>
      <c r="H2642" s="4"/>
      <c r="I2642" s="4">
        <f t="shared" si="254"/>
        <v>0</v>
      </c>
      <c r="J2642" s="4"/>
      <c r="K2642" s="4">
        <f t="shared" si="234"/>
        <v>0</v>
      </c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 spans="1:26" ht="15.75" customHeight="1" x14ac:dyDescent="0.2">
      <c r="A2643" s="1">
        <v>1505</v>
      </c>
      <c r="B2643" s="13" t="s">
        <v>262</v>
      </c>
      <c r="C2643" s="14" t="s">
        <v>2443</v>
      </c>
      <c r="D2643" s="14" t="s">
        <v>388</v>
      </c>
      <c r="E2643" s="14" t="s">
        <v>1083</v>
      </c>
      <c r="F2643" s="14" t="s">
        <v>2442</v>
      </c>
      <c r="G2643" s="14" t="s">
        <v>2356</v>
      </c>
      <c r="H2643" s="4"/>
      <c r="I2643" s="4">
        <f t="shared" si="254"/>
        <v>0</v>
      </c>
      <c r="J2643" s="4"/>
      <c r="K2643" s="4">
        <f t="shared" si="234"/>
        <v>0</v>
      </c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 spans="1:26" ht="15.75" customHeight="1" x14ac:dyDescent="0.2">
      <c r="A2644" s="1">
        <v>1901</v>
      </c>
      <c r="B2644" s="13" t="s">
        <v>277</v>
      </c>
      <c r="C2644" s="14" t="s">
        <v>2444</v>
      </c>
      <c r="D2644" s="14" t="s">
        <v>554</v>
      </c>
      <c r="E2644" s="14" t="s">
        <v>424</v>
      </c>
      <c r="F2644" s="14" t="s">
        <v>2442</v>
      </c>
      <c r="G2644" s="14" t="s">
        <v>2356</v>
      </c>
      <c r="H2644" s="4"/>
      <c r="I2644" s="4">
        <f t="shared" si="254"/>
        <v>0</v>
      </c>
      <c r="J2644" s="4"/>
      <c r="K2644" s="4">
        <f t="shared" si="234"/>
        <v>0</v>
      </c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 spans="1:26" ht="15.75" customHeight="1" x14ac:dyDescent="0.2">
      <c r="A2645" s="1">
        <v>1967</v>
      </c>
      <c r="B2645" s="13" t="s">
        <v>721</v>
      </c>
      <c r="C2645" s="14" t="s">
        <v>2443</v>
      </c>
      <c r="D2645" s="14" t="s">
        <v>388</v>
      </c>
      <c r="E2645" s="14" t="s">
        <v>1083</v>
      </c>
      <c r="F2645" s="14" t="s">
        <v>2442</v>
      </c>
      <c r="G2645" s="14" t="s">
        <v>2356</v>
      </c>
      <c r="H2645" s="4"/>
      <c r="I2645" s="4">
        <f t="shared" si="254"/>
        <v>0</v>
      </c>
      <c r="J2645" s="4"/>
      <c r="K2645" s="4">
        <f t="shared" si="234"/>
        <v>0</v>
      </c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 spans="1:26" ht="15.75" customHeight="1" x14ac:dyDescent="0.2">
      <c r="A2646" s="1">
        <v>2697</v>
      </c>
      <c r="B2646" s="13" t="s">
        <v>1098</v>
      </c>
      <c r="C2646" s="14" t="s">
        <v>2444</v>
      </c>
      <c r="D2646" s="14" t="s">
        <v>554</v>
      </c>
      <c r="E2646" s="14" t="s">
        <v>424</v>
      </c>
      <c r="F2646" s="14" t="s">
        <v>2442</v>
      </c>
      <c r="G2646" s="14" t="s">
        <v>2356</v>
      </c>
      <c r="H2646" s="4"/>
      <c r="I2646" s="4">
        <f t="shared" si="254"/>
        <v>0</v>
      </c>
      <c r="J2646" s="4"/>
      <c r="K2646" s="4">
        <f t="shared" si="234"/>
        <v>0</v>
      </c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 spans="1:26" ht="15.75" customHeight="1" x14ac:dyDescent="0.2">
      <c r="A2647" s="1">
        <v>2705</v>
      </c>
      <c r="B2647" s="13" t="s">
        <v>1098</v>
      </c>
      <c r="C2647" s="14" t="s">
        <v>2445</v>
      </c>
      <c r="D2647" s="14" t="s">
        <v>309</v>
      </c>
      <c r="E2647" s="14" t="s">
        <v>32</v>
      </c>
      <c r="F2647" s="14" t="s">
        <v>2442</v>
      </c>
      <c r="G2647" s="14" t="s">
        <v>2356</v>
      </c>
      <c r="H2647" s="4"/>
      <c r="I2647" s="4">
        <f t="shared" si="254"/>
        <v>0</v>
      </c>
      <c r="J2647" s="4"/>
      <c r="K2647" s="4">
        <f t="shared" si="234"/>
        <v>0</v>
      </c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 spans="1:26" ht="15.75" customHeight="1" x14ac:dyDescent="0.2">
      <c r="A2648" s="1">
        <v>155</v>
      </c>
      <c r="B2648" s="13" t="s">
        <v>460</v>
      </c>
      <c r="C2648" s="14" t="s">
        <v>1819</v>
      </c>
      <c r="D2648" s="14" t="s">
        <v>325</v>
      </c>
      <c r="E2648" s="14" t="s">
        <v>334</v>
      </c>
      <c r="F2648" s="14" t="s">
        <v>2446</v>
      </c>
      <c r="G2648" s="14" t="s">
        <v>2447</v>
      </c>
      <c r="H2648" s="4"/>
      <c r="I2648" s="4">
        <f t="shared" si="254"/>
        <v>0</v>
      </c>
      <c r="J2648" s="4"/>
      <c r="K2648" s="4">
        <f t="shared" si="234"/>
        <v>0</v>
      </c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 spans="1:26" ht="15.75" customHeight="1" x14ac:dyDescent="0.2">
      <c r="A2649" s="1">
        <v>531</v>
      </c>
      <c r="B2649" s="13" t="s">
        <v>678</v>
      </c>
      <c r="C2649" s="14" t="s">
        <v>2448</v>
      </c>
      <c r="D2649" s="14" t="s">
        <v>295</v>
      </c>
      <c r="E2649" s="14" t="s">
        <v>314</v>
      </c>
      <c r="F2649" s="14" t="s">
        <v>2446</v>
      </c>
      <c r="G2649" s="14" t="s">
        <v>2447</v>
      </c>
      <c r="H2649" s="4"/>
      <c r="I2649" s="4">
        <f t="shared" si="254"/>
        <v>0</v>
      </c>
      <c r="J2649" s="4"/>
      <c r="K2649" s="4">
        <f t="shared" si="234"/>
        <v>0</v>
      </c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 spans="1:26" ht="15.75" customHeight="1" x14ac:dyDescent="0.2">
      <c r="A2650" s="1">
        <v>631</v>
      </c>
      <c r="B2650" s="13" t="s">
        <v>248</v>
      </c>
      <c r="C2650" s="14" t="s">
        <v>712</v>
      </c>
      <c r="D2650" s="14" t="s">
        <v>1107</v>
      </c>
      <c r="E2650" s="14" t="s">
        <v>319</v>
      </c>
      <c r="F2650" s="14" t="s">
        <v>2446</v>
      </c>
      <c r="G2650" s="14" t="s">
        <v>2447</v>
      </c>
      <c r="H2650" s="4"/>
      <c r="I2650" s="4">
        <f t="shared" si="254"/>
        <v>0</v>
      </c>
      <c r="J2650" s="4"/>
      <c r="K2650" s="4">
        <f t="shared" si="234"/>
        <v>0</v>
      </c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 spans="1:26" ht="15.75" customHeight="1" x14ac:dyDescent="0.2">
      <c r="A2651" s="1">
        <v>685</v>
      </c>
      <c r="B2651" s="13" t="s">
        <v>252</v>
      </c>
      <c r="C2651" s="14" t="s">
        <v>2449</v>
      </c>
      <c r="D2651" s="14" t="s">
        <v>526</v>
      </c>
      <c r="E2651" s="14" t="s">
        <v>374</v>
      </c>
      <c r="F2651" s="14" t="s">
        <v>2446</v>
      </c>
      <c r="G2651" s="14" t="s">
        <v>2447</v>
      </c>
      <c r="H2651" s="4"/>
      <c r="I2651" s="4">
        <f t="shared" si="254"/>
        <v>0</v>
      </c>
      <c r="J2651" s="4"/>
      <c r="K2651" s="4">
        <f t="shared" si="234"/>
        <v>0</v>
      </c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 spans="1:26" ht="15.75" customHeight="1" x14ac:dyDescent="0.2">
      <c r="A2652" s="1">
        <v>1075</v>
      </c>
      <c r="B2652" s="13" t="s">
        <v>458</v>
      </c>
      <c r="C2652" s="14" t="s">
        <v>1819</v>
      </c>
      <c r="D2652" s="14" t="s">
        <v>325</v>
      </c>
      <c r="E2652" s="14" t="s">
        <v>334</v>
      </c>
      <c r="F2652" s="14" t="s">
        <v>2446</v>
      </c>
      <c r="G2652" s="14" t="s">
        <v>2447</v>
      </c>
      <c r="H2652" s="4"/>
      <c r="I2652" s="4">
        <f t="shared" si="254"/>
        <v>0</v>
      </c>
      <c r="J2652" s="4"/>
      <c r="K2652" s="4">
        <f t="shared" si="234"/>
        <v>0</v>
      </c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 spans="1:26" ht="15.75" customHeight="1" x14ac:dyDescent="0.2">
      <c r="A2653" s="1">
        <v>1123</v>
      </c>
      <c r="B2653" s="13" t="s">
        <v>449</v>
      </c>
      <c r="C2653" s="14" t="s">
        <v>2448</v>
      </c>
      <c r="D2653" s="14" t="s">
        <v>295</v>
      </c>
      <c r="E2653" s="14" t="s">
        <v>314</v>
      </c>
      <c r="F2653" s="14" t="s">
        <v>2446</v>
      </c>
      <c r="G2653" s="14" t="s">
        <v>2447</v>
      </c>
      <c r="H2653" s="4"/>
      <c r="I2653" s="4">
        <f t="shared" si="254"/>
        <v>0</v>
      </c>
      <c r="J2653" s="4"/>
      <c r="K2653" s="4">
        <f t="shared" si="234"/>
        <v>0</v>
      </c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 spans="1:26" ht="15.75" customHeight="1" x14ac:dyDescent="0.2">
      <c r="A2654" s="1">
        <v>1339</v>
      </c>
      <c r="B2654" s="13" t="s">
        <v>260</v>
      </c>
      <c r="C2654" s="14" t="s">
        <v>2450</v>
      </c>
      <c r="D2654" s="14" t="s">
        <v>183</v>
      </c>
      <c r="E2654" s="14" t="s">
        <v>79</v>
      </c>
      <c r="F2654" s="14" t="s">
        <v>2446</v>
      </c>
      <c r="G2654" s="14" t="s">
        <v>2447</v>
      </c>
      <c r="H2654" s="4"/>
      <c r="I2654" s="4">
        <f t="shared" si="254"/>
        <v>0</v>
      </c>
      <c r="J2654" s="4"/>
      <c r="K2654" s="4">
        <f t="shared" si="234"/>
        <v>0</v>
      </c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 spans="1:26" ht="15.75" customHeight="1" x14ac:dyDescent="0.2">
      <c r="A2655" s="1">
        <v>1541</v>
      </c>
      <c r="B2655" s="13" t="s">
        <v>263</v>
      </c>
      <c r="C2655" s="14" t="s">
        <v>2449</v>
      </c>
      <c r="D2655" s="14" t="s">
        <v>526</v>
      </c>
      <c r="E2655" s="14" t="s">
        <v>374</v>
      </c>
      <c r="F2655" s="14" t="s">
        <v>2446</v>
      </c>
      <c r="G2655" s="14" t="s">
        <v>2447</v>
      </c>
      <c r="H2655" s="4"/>
      <c r="I2655" s="4">
        <f t="shared" si="254"/>
        <v>0</v>
      </c>
      <c r="J2655" s="4"/>
      <c r="K2655" s="4">
        <f t="shared" si="234"/>
        <v>0</v>
      </c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 spans="1:26" ht="15.75" customHeight="1" x14ac:dyDescent="0.2">
      <c r="A2656" s="1">
        <v>1573</v>
      </c>
      <c r="B2656" s="13" t="s">
        <v>585</v>
      </c>
      <c r="C2656" s="14" t="s">
        <v>712</v>
      </c>
      <c r="D2656" s="14" t="s">
        <v>1107</v>
      </c>
      <c r="E2656" s="14" t="s">
        <v>319</v>
      </c>
      <c r="F2656" s="14" t="s">
        <v>2446</v>
      </c>
      <c r="G2656" s="14" t="s">
        <v>2447</v>
      </c>
      <c r="H2656" s="4"/>
      <c r="I2656" s="4">
        <f t="shared" si="254"/>
        <v>0</v>
      </c>
      <c r="J2656" s="4"/>
      <c r="K2656" s="4">
        <f t="shared" si="234"/>
        <v>0</v>
      </c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 spans="1:26" ht="15.75" customHeight="1" x14ac:dyDescent="0.2">
      <c r="A2657" s="1">
        <v>1659</v>
      </c>
      <c r="B2657" s="13" t="s">
        <v>435</v>
      </c>
      <c r="C2657" s="14" t="s">
        <v>700</v>
      </c>
      <c r="D2657" s="14" t="s">
        <v>272</v>
      </c>
      <c r="E2657" s="14" t="s">
        <v>40</v>
      </c>
      <c r="F2657" s="14" t="s">
        <v>2446</v>
      </c>
      <c r="G2657" s="14" t="s">
        <v>2447</v>
      </c>
      <c r="H2657" s="4"/>
      <c r="I2657" s="4">
        <f t="shared" si="254"/>
        <v>0</v>
      </c>
      <c r="J2657" s="4"/>
      <c r="K2657" s="4">
        <f t="shared" si="234"/>
        <v>0</v>
      </c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 spans="1:26" ht="15.75" customHeight="1" x14ac:dyDescent="0.2">
      <c r="A2658" s="1">
        <v>1765</v>
      </c>
      <c r="B2658" s="13" t="s">
        <v>459</v>
      </c>
      <c r="C2658" s="14" t="s">
        <v>1819</v>
      </c>
      <c r="D2658" s="14" t="s">
        <v>325</v>
      </c>
      <c r="E2658" s="14" t="s">
        <v>334</v>
      </c>
      <c r="F2658" s="14" t="s">
        <v>2446</v>
      </c>
      <c r="G2658" s="14" t="s">
        <v>2447</v>
      </c>
      <c r="H2658" s="4"/>
      <c r="I2658" s="4">
        <f t="shared" si="254"/>
        <v>0</v>
      </c>
      <c r="J2658" s="4"/>
      <c r="K2658" s="4">
        <f t="shared" si="234"/>
        <v>0</v>
      </c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 spans="1:26" ht="15.75" customHeight="1" x14ac:dyDescent="0.2">
      <c r="A2659" s="1">
        <v>1811</v>
      </c>
      <c r="B2659" s="13" t="s">
        <v>276</v>
      </c>
      <c r="C2659" s="14" t="s">
        <v>2450</v>
      </c>
      <c r="D2659" s="14" t="s">
        <v>183</v>
      </c>
      <c r="E2659" s="14" t="s">
        <v>79</v>
      </c>
      <c r="F2659" s="14" t="s">
        <v>2446</v>
      </c>
      <c r="G2659" s="14" t="s">
        <v>2447</v>
      </c>
      <c r="H2659" s="4"/>
      <c r="I2659" s="4">
        <f t="shared" si="254"/>
        <v>0</v>
      </c>
      <c r="J2659" s="4"/>
      <c r="K2659" s="4">
        <f t="shared" si="234"/>
        <v>0</v>
      </c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 spans="1:26" ht="15.75" customHeight="1" x14ac:dyDescent="0.2">
      <c r="A2660" s="1">
        <v>1821</v>
      </c>
      <c r="B2660" s="13" t="s">
        <v>439</v>
      </c>
      <c r="C2660" s="14" t="s">
        <v>2448</v>
      </c>
      <c r="D2660" s="14" t="s">
        <v>295</v>
      </c>
      <c r="E2660" s="14" t="s">
        <v>314</v>
      </c>
      <c r="F2660" s="14" t="s">
        <v>2446</v>
      </c>
      <c r="G2660" s="14" t="s">
        <v>2447</v>
      </c>
      <c r="H2660" s="4"/>
      <c r="I2660" s="4">
        <f t="shared" si="254"/>
        <v>0</v>
      </c>
      <c r="J2660" s="4"/>
      <c r="K2660" s="4">
        <f t="shared" si="234"/>
        <v>0</v>
      </c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 spans="1:26" ht="15.75" customHeight="1" x14ac:dyDescent="0.2">
      <c r="A2661" s="1">
        <v>1933</v>
      </c>
      <c r="B2661" s="13" t="s">
        <v>278</v>
      </c>
      <c r="C2661" s="14" t="s">
        <v>700</v>
      </c>
      <c r="D2661" s="14" t="s">
        <v>272</v>
      </c>
      <c r="E2661" s="14" t="s">
        <v>40</v>
      </c>
      <c r="F2661" s="14" t="s">
        <v>2446</v>
      </c>
      <c r="G2661" s="14" t="s">
        <v>2447</v>
      </c>
      <c r="H2661" s="4"/>
      <c r="I2661" s="4">
        <f t="shared" si="254"/>
        <v>0</v>
      </c>
      <c r="J2661" s="4"/>
      <c r="K2661" s="4">
        <f t="shared" si="234"/>
        <v>0</v>
      </c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 spans="1:26" ht="15.75" customHeight="1" x14ac:dyDescent="0.2">
      <c r="A2662" s="1">
        <v>2293</v>
      </c>
      <c r="B2662" s="13" t="s">
        <v>284</v>
      </c>
      <c r="C2662" s="14" t="s">
        <v>712</v>
      </c>
      <c r="D2662" s="14" t="s">
        <v>1107</v>
      </c>
      <c r="E2662" s="14" t="s">
        <v>319</v>
      </c>
      <c r="F2662" s="14" t="s">
        <v>2446</v>
      </c>
      <c r="G2662" s="14" t="s">
        <v>2447</v>
      </c>
      <c r="H2662" s="4"/>
      <c r="I2662" s="4">
        <f t="shared" si="254"/>
        <v>0</v>
      </c>
      <c r="J2662" s="4"/>
      <c r="K2662" s="4">
        <f t="shared" si="234"/>
        <v>0</v>
      </c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 spans="1:26" ht="15.75" customHeight="1" x14ac:dyDescent="0.2">
      <c r="A2663" s="1">
        <v>59</v>
      </c>
      <c r="B2663" s="13" t="s">
        <v>226</v>
      </c>
      <c r="C2663" s="14" t="s">
        <v>700</v>
      </c>
      <c r="D2663" s="14" t="s">
        <v>2451</v>
      </c>
      <c r="E2663" s="14" t="s">
        <v>125</v>
      </c>
      <c r="F2663" s="14" t="s">
        <v>2446</v>
      </c>
      <c r="G2663" s="14" t="s">
        <v>2447</v>
      </c>
      <c r="H2663" s="4"/>
      <c r="I2663" s="4">
        <f t="shared" si="254"/>
        <v>0</v>
      </c>
      <c r="J2663" s="4"/>
      <c r="K2663" s="4">
        <f t="shared" si="234"/>
        <v>0</v>
      </c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 spans="1:26" ht="15.75" customHeight="1" x14ac:dyDescent="0.2">
      <c r="A2664" s="1"/>
      <c r="B2664" s="2" t="s">
        <v>118</v>
      </c>
      <c r="C2664" s="3" t="s">
        <v>700</v>
      </c>
      <c r="D2664" s="3" t="s">
        <v>516</v>
      </c>
      <c r="E2664" s="3" t="s">
        <v>630</v>
      </c>
      <c r="F2664" s="3" t="s">
        <v>2446</v>
      </c>
      <c r="G2664" s="3" t="s">
        <v>2447</v>
      </c>
      <c r="H2664" s="4"/>
      <c r="I2664" s="4">
        <f t="shared" ref="I2664:I2672" si="255">H2664*1800</f>
        <v>0</v>
      </c>
      <c r="J2664" s="4"/>
      <c r="K2664" s="4">
        <f t="shared" si="234"/>
        <v>0</v>
      </c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 spans="1:26" ht="15.75" customHeight="1" x14ac:dyDescent="0.2">
      <c r="A2665" s="1"/>
      <c r="B2665" s="2" t="s">
        <v>121</v>
      </c>
      <c r="C2665" s="3" t="s">
        <v>700</v>
      </c>
      <c r="D2665" s="3" t="s">
        <v>516</v>
      </c>
      <c r="E2665" s="3" t="s">
        <v>630</v>
      </c>
      <c r="F2665" s="3" t="s">
        <v>2446</v>
      </c>
      <c r="G2665" s="3" t="s">
        <v>2447</v>
      </c>
      <c r="H2665" s="4"/>
      <c r="I2665" s="4">
        <f t="shared" si="255"/>
        <v>0</v>
      </c>
      <c r="J2665" s="4"/>
      <c r="K2665" s="4">
        <f t="shared" si="234"/>
        <v>0</v>
      </c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 spans="1:26" ht="15.75" customHeight="1" x14ac:dyDescent="0.2">
      <c r="A2666" s="1"/>
      <c r="B2666" s="2" t="s">
        <v>94</v>
      </c>
      <c r="C2666" s="3" t="s">
        <v>700</v>
      </c>
      <c r="D2666" s="3" t="s">
        <v>516</v>
      </c>
      <c r="E2666" s="3" t="s">
        <v>630</v>
      </c>
      <c r="F2666" s="3" t="s">
        <v>2446</v>
      </c>
      <c r="G2666" s="3" t="s">
        <v>2447</v>
      </c>
      <c r="H2666" s="4"/>
      <c r="I2666" s="4">
        <f t="shared" si="255"/>
        <v>0</v>
      </c>
      <c r="J2666" s="4"/>
      <c r="K2666" s="4">
        <f t="shared" si="234"/>
        <v>0</v>
      </c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 spans="1:26" ht="15.75" customHeight="1" x14ac:dyDescent="0.2">
      <c r="A2667" s="1"/>
      <c r="B2667" s="2" t="s">
        <v>131</v>
      </c>
      <c r="C2667" s="3" t="s">
        <v>870</v>
      </c>
      <c r="D2667" s="3" t="s">
        <v>39</v>
      </c>
      <c r="E2667" s="3" t="s">
        <v>650</v>
      </c>
      <c r="F2667" s="3" t="s">
        <v>2446</v>
      </c>
      <c r="G2667" s="3" t="s">
        <v>2447</v>
      </c>
      <c r="H2667" s="4"/>
      <c r="I2667" s="4">
        <f t="shared" si="255"/>
        <v>0</v>
      </c>
      <c r="J2667" s="4"/>
      <c r="K2667" s="4">
        <f t="shared" si="234"/>
        <v>0</v>
      </c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 spans="1:26" ht="15.75" customHeight="1" x14ac:dyDescent="0.2">
      <c r="A2668" s="1"/>
      <c r="B2668" s="2" t="s">
        <v>118</v>
      </c>
      <c r="C2668" s="3" t="s">
        <v>870</v>
      </c>
      <c r="D2668" s="3" t="s">
        <v>39</v>
      </c>
      <c r="E2668" s="3" t="s">
        <v>650</v>
      </c>
      <c r="F2668" s="3" t="s">
        <v>2446</v>
      </c>
      <c r="G2668" s="3" t="s">
        <v>2447</v>
      </c>
      <c r="H2668" s="4"/>
      <c r="I2668" s="4">
        <f t="shared" si="255"/>
        <v>0</v>
      </c>
      <c r="J2668" s="4"/>
      <c r="K2668" s="4">
        <f t="shared" si="234"/>
        <v>0</v>
      </c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 spans="1:26" ht="15.75" customHeight="1" x14ac:dyDescent="0.2">
      <c r="A2669" s="1"/>
      <c r="B2669" s="2" t="s">
        <v>94</v>
      </c>
      <c r="C2669" s="3" t="s">
        <v>870</v>
      </c>
      <c r="D2669" s="3" t="s">
        <v>39</v>
      </c>
      <c r="E2669" s="3" t="s">
        <v>650</v>
      </c>
      <c r="F2669" s="3" t="s">
        <v>2446</v>
      </c>
      <c r="G2669" s="3" t="s">
        <v>2447</v>
      </c>
      <c r="H2669" s="4"/>
      <c r="I2669" s="4">
        <f t="shared" si="255"/>
        <v>0</v>
      </c>
      <c r="J2669" s="4"/>
      <c r="K2669" s="4">
        <f t="shared" si="234"/>
        <v>0</v>
      </c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 spans="1:26" ht="15.75" customHeight="1" x14ac:dyDescent="0.2">
      <c r="A2670" s="1"/>
      <c r="B2670" s="2" t="s">
        <v>118</v>
      </c>
      <c r="C2670" s="3" t="s">
        <v>2452</v>
      </c>
      <c r="D2670" s="3" t="s">
        <v>31</v>
      </c>
      <c r="E2670" s="3" t="s">
        <v>546</v>
      </c>
      <c r="F2670" s="3" t="s">
        <v>2446</v>
      </c>
      <c r="G2670" s="3" t="s">
        <v>2447</v>
      </c>
      <c r="H2670" s="4"/>
      <c r="I2670" s="4">
        <f t="shared" si="255"/>
        <v>0</v>
      </c>
      <c r="J2670" s="4"/>
      <c r="K2670" s="4">
        <f t="shared" si="234"/>
        <v>0</v>
      </c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 spans="1:26" ht="15.75" customHeight="1" x14ac:dyDescent="0.2">
      <c r="A2671" s="1"/>
      <c r="B2671" s="2" t="s">
        <v>121</v>
      </c>
      <c r="C2671" s="3" t="s">
        <v>2452</v>
      </c>
      <c r="D2671" s="3" t="s">
        <v>31</v>
      </c>
      <c r="E2671" s="3" t="s">
        <v>546</v>
      </c>
      <c r="F2671" s="3" t="s">
        <v>2446</v>
      </c>
      <c r="G2671" s="3" t="s">
        <v>2447</v>
      </c>
      <c r="H2671" s="4"/>
      <c r="I2671" s="4">
        <f t="shared" si="255"/>
        <v>0</v>
      </c>
      <c r="J2671" s="4"/>
      <c r="K2671" s="4">
        <f t="shared" si="234"/>
        <v>0</v>
      </c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 spans="1:26" ht="15.75" customHeight="1" x14ac:dyDescent="0.2">
      <c r="A2672" s="1"/>
      <c r="B2672" s="2" t="s">
        <v>94</v>
      </c>
      <c r="C2672" s="3" t="s">
        <v>2452</v>
      </c>
      <c r="D2672" s="3" t="s">
        <v>31</v>
      </c>
      <c r="E2672" s="3" t="s">
        <v>546</v>
      </c>
      <c r="F2672" s="3" t="s">
        <v>2446</v>
      </c>
      <c r="G2672" s="3" t="s">
        <v>2447</v>
      </c>
      <c r="H2672" s="4"/>
      <c r="I2672" s="4">
        <f t="shared" si="255"/>
        <v>0</v>
      </c>
      <c r="J2672" s="4"/>
      <c r="K2672" s="4">
        <f t="shared" si="234"/>
        <v>0</v>
      </c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 spans="1:26" ht="15.75" customHeight="1" x14ac:dyDescent="0.2">
      <c r="A2673" s="1">
        <v>403</v>
      </c>
      <c r="B2673" s="13" t="s">
        <v>1299</v>
      </c>
      <c r="C2673" s="14" t="s">
        <v>2453</v>
      </c>
      <c r="D2673" s="14" t="s">
        <v>992</v>
      </c>
      <c r="E2673" s="14" t="s">
        <v>563</v>
      </c>
      <c r="F2673" s="14" t="s">
        <v>2454</v>
      </c>
      <c r="G2673" s="14" t="s">
        <v>2447</v>
      </c>
      <c r="H2673" s="4"/>
      <c r="I2673" s="4">
        <f t="shared" ref="I2673:I2681" si="256">H2673*2300</f>
        <v>0</v>
      </c>
      <c r="J2673" s="4"/>
      <c r="K2673" s="4">
        <f t="shared" si="234"/>
        <v>0</v>
      </c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 spans="1:26" ht="15.75" customHeight="1" x14ac:dyDescent="0.2">
      <c r="A2674" s="1">
        <v>533</v>
      </c>
      <c r="B2674" s="13" t="s">
        <v>678</v>
      </c>
      <c r="C2674" s="14" t="s">
        <v>2448</v>
      </c>
      <c r="D2674" s="14" t="s">
        <v>511</v>
      </c>
      <c r="E2674" s="14" t="s">
        <v>1065</v>
      </c>
      <c r="F2674" s="14" t="s">
        <v>2454</v>
      </c>
      <c r="G2674" s="14" t="s">
        <v>2447</v>
      </c>
      <c r="H2674" s="4"/>
      <c r="I2674" s="4">
        <f t="shared" si="256"/>
        <v>0</v>
      </c>
      <c r="J2674" s="4"/>
      <c r="K2674" s="4">
        <f t="shared" si="234"/>
        <v>0</v>
      </c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 spans="1:26" ht="15.75" customHeight="1" x14ac:dyDescent="0.2">
      <c r="A2675" s="1">
        <v>753</v>
      </c>
      <c r="B2675" s="13" t="s">
        <v>977</v>
      </c>
      <c r="C2675" s="14" t="s">
        <v>700</v>
      </c>
      <c r="D2675" s="14" t="s">
        <v>522</v>
      </c>
      <c r="E2675" s="14" t="s">
        <v>125</v>
      </c>
      <c r="F2675" s="14" t="s">
        <v>2454</v>
      </c>
      <c r="G2675" s="14" t="s">
        <v>2447</v>
      </c>
      <c r="H2675" s="4"/>
      <c r="I2675" s="4">
        <f t="shared" si="256"/>
        <v>0</v>
      </c>
      <c r="J2675" s="4"/>
      <c r="K2675" s="4">
        <f t="shared" si="234"/>
        <v>0</v>
      </c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 spans="1:26" ht="15.75" customHeight="1" x14ac:dyDescent="0.2">
      <c r="A2676" s="1">
        <v>1109</v>
      </c>
      <c r="B2676" s="13" t="s">
        <v>1344</v>
      </c>
      <c r="C2676" s="14" t="s">
        <v>2448</v>
      </c>
      <c r="D2676" s="14" t="s">
        <v>511</v>
      </c>
      <c r="E2676" s="14" t="s">
        <v>1065</v>
      </c>
      <c r="F2676" s="14" t="s">
        <v>2454</v>
      </c>
      <c r="G2676" s="14" t="s">
        <v>2447</v>
      </c>
      <c r="H2676" s="4"/>
      <c r="I2676" s="4">
        <f t="shared" si="256"/>
        <v>0</v>
      </c>
      <c r="J2676" s="4"/>
      <c r="K2676" s="4">
        <f t="shared" si="234"/>
        <v>0</v>
      </c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 spans="1:26" ht="15.75" customHeight="1" x14ac:dyDescent="0.2">
      <c r="A2677" s="1">
        <v>1661</v>
      </c>
      <c r="B2677" s="13" t="s">
        <v>435</v>
      </c>
      <c r="C2677" s="14" t="s">
        <v>2453</v>
      </c>
      <c r="D2677" s="14" t="s">
        <v>992</v>
      </c>
      <c r="E2677" s="14" t="s">
        <v>563</v>
      </c>
      <c r="F2677" s="14" t="s">
        <v>2454</v>
      </c>
      <c r="G2677" s="14" t="s">
        <v>2447</v>
      </c>
      <c r="H2677" s="4"/>
      <c r="I2677" s="4">
        <f t="shared" si="256"/>
        <v>0</v>
      </c>
      <c r="J2677" s="4"/>
      <c r="K2677" s="4">
        <f t="shared" si="234"/>
        <v>0</v>
      </c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 spans="1:26" ht="15.75" customHeight="1" x14ac:dyDescent="0.2">
      <c r="A2678" s="1">
        <v>1823</v>
      </c>
      <c r="B2678" s="13" t="s">
        <v>439</v>
      </c>
      <c r="C2678" s="14" t="s">
        <v>2448</v>
      </c>
      <c r="D2678" s="14" t="s">
        <v>511</v>
      </c>
      <c r="E2678" s="14" t="s">
        <v>1065</v>
      </c>
      <c r="F2678" s="14" t="s">
        <v>2454</v>
      </c>
      <c r="G2678" s="14" t="s">
        <v>2447</v>
      </c>
      <c r="H2678" s="4"/>
      <c r="I2678" s="4">
        <f t="shared" si="256"/>
        <v>0</v>
      </c>
      <c r="J2678" s="4"/>
      <c r="K2678" s="4">
        <f t="shared" si="234"/>
        <v>0</v>
      </c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 spans="1:26" ht="15.75" customHeight="1" x14ac:dyDescent="0.2">
      <c r="A2679" s="1">
        <v>1935</v>
      </c>
      <c r="B2679" s="13" t="s">
        <v>278</v>
      </c>
      <c r="C2679" s="14" t="s">
        <v>2453</v>
      </c>
      <c r="D2679" s="14" t="s">
        <v>992</v>
      </c>
      <c r="E2679" s="14" t="s">
        <v>563</v>
      </c>
      <c r="F2679" s="14" t="s">
        <v>2454</v>
      </c>
      <c r="G2679" s="14" t="s">
        <v>2447</v>
      </c>
      <c r="H2679" s="4"/>
      <c r="I2679" s="4">
        <f t="shared" si="256"/>
        <v>0</v>
      </c>
      <c r="J2679" s="4"/>
      <c r="K2679" s="4">
        <f t="shared" si="234"/>
        <v>0</v>
      </c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 spans="1:26" ht="15.75" customHeight="1" x14ac:dyDescent="0.2">
      <c r="A2680" s="1">
        <v>2205</v>
      </c>
      <c r="B2680" s="13" t="s">
        <v>282</v>
      </c>
      <c r="C2680" s="14" t="s">
        <v>2453</v>
      </c>
      <c r="D2680" s="14" t="s">
        <v>992</v>
      </c>
      <c r="E2680" s="14" t="s">
        <v>563</v>
      </c>
      <c r="F2680" s="14" t="s">
        <v>2454</v>
      </c>
      <c r="G2680" s="14" t="s">
        <v>2447</v>
      </c>
      <c r="H2680" s="4"/>
      <c r="I2680" s="4">
        <f t="shared" si="256"/>
        <v>0</v>
      </c>
      <c r="J2680" s="4"/>
      <c r="K2680" s="4">
        <f t="shared" si="234"/>
        <v>0</v>
      </c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 spans="1:26" ht="15.75" customHeight="1" x14ac:dyDescent="0.2">
      <c r="A2681" s="1">
        <v>2351</v>
      </c>
      <c r="B2681" s="13" t="s">
        <v>1700</v>
      </c>
      <c r="C2681" s="14" t="s">
        <v>700</v>
      </c>
      <c r="D2681" s="14" t="s">
        <v>522</v>
      </c>
      <c r="E2681" s="14" t="s">
        <v>125</v>
      </c>
      <c r="F2681" s="14" t="s">
        <v>2454</v>
      </c>
      <c r="G2681" s="14" t="s">
        <v>2447</v>
      </c>
      <c r="H2681" s="4"/>
      <c r="I2681" s="4">
        <f t="shared" si="256"/>
        <v>0</v>
      </c>
      <c r="J2681" s="4"/>
      <c r="K2681" s="4">
        <f t="shared" si="234"/>
        <v>0</v>
      </c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 spans="1:26" ht="15.75" customHeight="1" x14ac:dyDescent="0.2">
      <c r="A2682" s="1"/>
      <c r="B2682" s="2" t="s">
        <v>102</v>
      </c>
      <c r="C2682" s="3" t="s">
        <v>2455</v>
      </c>
      <c r="D2682" s="3" t="s">
        <v>692</v>
      </c>
      <c r="E2682" s="3" t="s">
        <v>596</v>
      </c>
      <c r="F2682" s="3" t="s">
        <v>2454</v>
      </c>
      <c r="G2682" s="3" t="s">
        <v>2447</v>
      </c>
      <c r="H2682" s="4"/>
      <c r="I2682" s="4">
        <f t="shared" ref="I2682:I2694" si="257">H2682*1800</f>
        <v>0</v>
      </c>
      <c r="J2682" s="4"/>
      <c r="K2682" s="4">
        <f t="shared" si="234"/>
        <v>0</v>
      </c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 spans="1:26" ht="15.75" customHeight="1" x14ac:dyDescent="0.2">
      <c r="A2683" s="1"/>
      <c r="B2683" s="2" t="s">
        <v>303</v>
      </c>
      <c r="C2683" s="3" t="s">
        <v>2455</v>
      </c>
      <c r="D2683" s="3" t="s">
        <v>692</v>
      </c>
      <c r="E2683" s="3" t="s">
        <v>596</v>
      </c>
      <c r="F2683" s="3" t="s">
        <v>2454</v>
      </c>
      <c r="G2683" s="3" t="s">
        <v>2447</v>
      </c>
      <c r="H2683" s="4"/>
      <c r="I2683" s="4">
        <f t="shared" si="257"/>
        <v>0</v>
      </c>
      <c r="J2683" s="4"/>
      <c r="K2683" s="4">
        <f t="shared" si="234"/>
        <v>0</v>
      </c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 spans="1:26" ht="15.75" customHeight="1" x14ac:dyDescent="0.2">
      <c r="A2684" s="1"/>
      <c r="B2684" s="2" t="s">
        <v>94</v>
      </c>
      <c r="C2684" s="3" t="s">
        <v>2455</v>
      </c>
      <c r="D2684" s="3" t="s">
        <v>692</v>
      </c>
      <c r="E2684" s="3" t="s">
        <v>596</v>
      </c>
      <c r="F2684" s="3" t="s">
        <v>2454</v>
      </c>
      <c r="G2684" s="3" t="s">
        <v>2447</v>
      </c>
      <c r="H2684" s="4"/>
      <c r="I2684" s="4">
        <f t="shared" si="257"/>
        <v>0</v>
      </c>
      <c r="J2684" s="4"/>
      <c r="K2684" s="4">
        <f t="shared" si="234"/>
        <v>0</v>
      </c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 spans="1:26" ht="15.75" customHeight="1" x14ac:dyDescent="0.2">
      <c r="A2685" s="1"/>
      <c r="B2685" s="2" t="s">
        <v>94</v>
      </c>
      <c r="C2685" s="3" t="s">
        <v>2456</v>
      </c>
      <c r="D2685" s="3" t="s">
        <v>581</v>
      </c>
      <c r="E2685" s="3" t="s">
        <v>255</v>
      </c>
      <c r="F2685" s="3" t="s">
        <v>2454</v>
      </c>
      <c r="G2685" s="3" t="s">
        <v>2447</v>
      </c>
      <c r="H2685" s="4"/>
      <c r="I2685" s="4">
        <f t="shared" si="257"/>
        <v>0</v>
      </c>
      <c r="J2685" s="4"/>
      <c r="K2685" s="4">
        <f t="shared" si="234"/>
        <v>0</v>
      </c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 spans="1:26" ht="15.75" customHeight="1" x14ac:dyDescent="0.2">
      <c r="A2686" s="1"/>
      <c r="B2686" s="2" t="s">
        <v>94</v>
      </c>
      <c r="C2686" s="3" t="s">
        <v>2410</v>
      </c>
      <c r="D2686" s="3" t="s">
        <v>513</v>
      </c>
      <c r="E2686" s="3" t="s">
        <v>251</v>
      </c>
      <c r="F2686" s="3" t="s">
        <v>2454</v>
      </c>
      <c r="G2686" s="3" t="s">
        <v>2447</v>
      </c>
      <c r="H2686" s="4"/>
      <c r="I2686" s="4">
        <f t="shared" si="257"/>
        <v>0</v>
      </c>
      <c r="J2686" s="4"/>
      <c r="K2686" s="4">
        <f t="shared" si="234"/>
        <v>0</v>
      </c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 spans="1:26" ht="15.75" customHeight="1" x14ac:dyDescent="0.2">
      <c r="A2687" s="1"/>
      <c r="B2687" s="2" t="s">
        <v>307</v>
      </c>
      <c r="C2687" s="3" t="s">
        <v>2457</v>
      </c>
      <c r="D2687" s="3" t="s">
        <v>730</v>
      </c>
      <c r="E2687" s="3" t="s">
        <v>876</v>
      </c>
      <c r="F2687" s="3" t="s">
        <v>2454</v>
      </c>
      <c r="G2687" s="3" t="s">
        <v>2447</v>
      </c>
      <c r="H2687" s="4"/>
      <c r="I2687" s="4">
        <f t="shared" si="257"/>
        <v>0</v>
      </c>
      <c r="J2687" s="4"/>
      <c r="K2687" s="4">
        <f t="shared" si="234"/>
        <v>0</v>
      </c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 spans="1:26" ht="15.75" customHeight="1" x14ac:dyDescent="0.2">
      <c r="A2688" s="1"/>
      <c r="B2688" s="2" t="s">
        <v>232</v>
      </c>
      <c r="C2688" s="3" t="s">
        <v>2457</v>
      </c>
      <c r="D2688" s="3" t="s">
        <v>730</v>
      </c>
      <c r="E2688" s="3" t="s">
        <v>876</v>
      </c>
      <c r="F2688" s="3" t="s">
        <v>2454</v>
      </c>
      <c r="G2688" s="3" t="s">
        <v>2447</v>
      </c>
      <c r="H2688" s="4"/>
      <c r="I2688" s="4">
        <f t="shared" si="257"/>
        <v>0</v>
      </c>
      <c r="J2688" s="4"/>
      <c r="K2688" s="4">
        <f t="shared" si="234"/>
        <v>0</v>
      </c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 spans="1:26" ht="15.75" customHeight="1" x14ac:dyDescent="0.2">
      <c r="A2689" s="1"/>
      <c r="B2689" s="2" t="s">
        <v>108</v>
      </c>
      <c r="C2689" s="3" t="s">
        <v>2457</v>
      </c>
      <c r="D2689" s="3" t="s">
        <v>730</v>
      </c>
      <c r="E2689" s="3" t="s">
        <v>876</v>
      </c>
      <c r="F2689" s="3" t="s">
        <v>2454</v>
      </c>
      <c r="G2689" s="3" t="s">
        <v>2447</v>
      </c>
      <c r="H2689" s="4"/>
      <c r="I2689" s="4">
        <f t="shared" si="257"/>
        <v>0</v>
      </c>
      <c r="J2689" s="4"/>
      <c r="K2689" s="4">
        <f t="shared" si="234"/>
        <v>0</v>
      </c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 spans="1:26" ht="15.75" customHeight="1" x14ac:dyDescent="0.2">
      <c r="A2690" s="1"/>
      <c r="B2690" s="2" t="s">
        <v>303</v>
      </c>
      <c r="C2690" s="3" t="s">
        <v>2457</v>
      </c>
      <c r="D2690" s="3" t="s">
        <v>730</v>
      </c>
      <c r="E2690" s="3" t="s">
        <v>876</v>
      </c>
      <c r="F2690" s="3" t="s">
        <v>2454</v>
      </c>
      <c r="G2690" s="3" t="s">
        <v>2447</v>
      </c>
      <c r="H2690" s="4"/>
      <c r="I2690" s="4">
        <f t="shared" si="257"/>
        <v>0</v>
      </c>
      <c r="J2690" s="4"/>
      <c r="K2690" s="4">
        <f t="shared" si="234"/>
        <v>0</v>
      </c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 spans="1:26" ht="15.75" customHeight="1" x14ac:dyDescent="0.2">
      <c r="A2691" s="1"/>
      <c r="B2691" s="2" t="s">
        <v>94</v>
      </c>
      <c r="C2691" s="3" t="s">
        <v>2457</v>
      </c>
      <c r="D2691" s="3" t="s">
        <v>730</v>
      </c>
      <c r="E2691" s="3" t="s">
        <v>876</v>
      </c>
      <c r="F2691" s="3" t="s">
        <v>2454</v>
      </c>
      <c r="G2691" s="3" t="s">
        <v>2447</v>
      </c>
      <c r="H2691" s="4"/>
      <c r="I2691" s="4">
        <f t="shared" si="257"/>
        <v>0</v>
      </c>
      <c r="J2691" s="4"/>
      <c r="K2691" s="4">
        <f t="shared" si="234"/>
        <v>0</v>
      </c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 spans="1:26" ht="15.75" customHeight="1" x14ac:dyDescent="0.2">
      <c r="A2692" s="1"/>
      <c r="B2692" s="2" t="s">
        <v>122</v>
      </c>
      <c r="C2692" s="3" t="s">
        <v>57</v>
      </c>
      <c r="D2692" s="3" t="s">
        <v>124</v>
      </c>
      <c r="E2692" s="3" t="s">
        <v>79</v>
      </c>
      <c r="F2692" s="3" t="s">
        <v>2458</v>
      </c>
      <c r="G2692" s="3" t="s">
        <v>2447</v>
      </c>
      <c r="H2692" s="4"/>
      <c r="I2692" s="4">
        <f t="shared" si="257"/>
        <v>0</v>
      </c>
      <c r="J2692" s="4"/>
      <c r="K2692" s="4">
        <f t="shared" si="234"/>
        <v>0</v>
      </c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 spans="1:26" ht="15.75" customHeight="1" x14ac:dyDescent="0.2">
      <c r="A2693" s="1"/>
      <c r="B2693" s="2" t="s">
        <v>126</v>
      </c>
      <c r="C2693" s="3" t="s">
        <v>57</v>
      </c>
      <c r="D2693" s="3" t="s">
        <v>124</v>
      </c>
      <c r="E2693" s="3" t="s">
        <v>79</v>
      </c>
      <c r="F2693" s="3" t="s">
        <v>2458</v>
      </c>
      <c r="G2693" s="3" t="s">
        <v>2447</v>
      </c>
      <c r="H2693" s="4"/>
      <c r="I2693" s="4">
        <f t="shared" si="257"/>
        <v>0</v>
      </c>
      <c r="J2693" s="4"/>
      <c r="K2693" s="4">
        <f t="shared" si="234"/>
        <v>0</v>
      </c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 spans="1:26" ht="15.75" customHeight="1" x14ac:dyDescent="0.2">
      <c r="A2694" s="1"/>
      <c r="B2694" s="2" t="s">
        <v>94</v>
      </c>
      <c r="C2694" s="3" t="s">
        <v>57</v>
      </c>
      <c r="D2694" s="3" t="s">
        <v>124</v>
      </c>
      <c r="E2694" s="3" t="s">
        <v>79</v>
      </c>
      <c r="F2694" s="3" t="s">
        <v>2458</v>
      </c>
      <c r="G2694" s="3" t="s">
        <v>2447</v>
      </c>
      <c r="H2694" s="4"/>
      <c r="I2694" s="4">
        <f t="shared" si="257"/>
        <v>0</v>
      </c>
      <c r="J2694" s="4"/>
      <c r="K2694" s="4">
        <f t="shared" si="234"/>
        <v>0</v>
      </c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 spans="1:26" ht="15.75" customHeight="1" x14ac:dyDescent="0.2">
      <c r="A2695" s="1">
        <v>621</v>
      </c>
      <c r="B2695" s="13" t="s">
        <v>428</v>
      </c>
      <c r="C2695" s="14" t="s">
        <v>2459</v>
      </c>
      <c r="D2695" s="14" t="s">
        <v>526</v>
      </c>
      <c r="E2695" s="14" t="s">
        <v>259</v>
      </c>
      <c r="F2695" s="14" t="s">
        <v>2458</v>
      </c>
      <c r="G2695" s="14" t="s">
        <v>2447</v>
      </c>
      <c r="H2695" s="4"/>
      <c r="I2695" s="4">
        <f t="shared" ref="I2695:I2722" si="258">H2695*2300</f>
        <v>0</v>
      </c>
      <c r="J2695" s="4"/>
      <c r="K2695" s="4">
        <f t="shared" si="234"/>
        <v>0</v>
      </c>
      <c r="L2695" s="5" t="s">
        <v>2460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 spans="1:26" ht="15.75" customHeight="1" x14ac:dyDescent="0.2">
      <c r="A2696" s="1">
        <v>1517</v>
      </c>
      <c r="B2696" s="13" t="s">
        <v>262</v>
      </c>
      <c r="C2696" s="14" t="s">
        <v>2459</v>
      </c>
      <c r="D2696" s="14" t="s">
        <v>526</v>
      </c>
      <c r="E2696" s="14" t="s">
        <v>259</v>
      </c>
      <c r="F2696" s="14" t="s">
        <v>2458</v>
      </c>
      <c r="G2696" s="14" t="s">
        <v>2447</v>
      </c>
      <c r="H2696" s="4"/>
      <c r="I2696" s="4">
        <f t="shared" si="258"/>
        <v>0</v>
      </c>
      <c r="J2696" s="4"/>
      <c r="K2696" s="4">
        <f t="shared" si="234"/>
        <v>0</v>
      </c>
      <c r="L2696" s="5" t="s">
        <v>2460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 spans="1:26" ht="15.75" customHeight="1" x14ac:dyDescent="0.2">
      <c r="A2697" s="1">
        <v>1983</v>
      </c>
      <c r="B2697" s="13" t="s">
        <v>279</v>
      </c>
      <c r="C2697" s="14" t="s">
        <v>2459</v>
      </c>
      <c r="D2697" s="14" t="s">
        <v>526</v>
      </c>
      <c r="E2697" s="14" t="s">
        <v>259</v>
      </c>
      <c r="F2697" s="14" t="s">
        <v>2458</v>
      </c>
      <c r="G2697" s="14" t="s">
        <v>2447</v>
      </c>
      <c r="H2697" s="4"/>
      <c r="I2697" s="4">
        <f t="shared" si="258"/>
        <v>0</v>
      </c>
      <c r="J2697" s="4"/>
      <c r="K2697" s="4">
        <f t="shared" si="234"/>
        <v>0</v>
      </c>
      <c r="L2697" s="5" t="s">
        <v>2460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 spans="1:26" ht="15.75" customHeight="1" x14ac:dyDescent="0.2">
      <c r="A2698" s="1">
        <v>267</v>
      </c>
      <c r="B2698" s="13" t="s">
        <v>243</v>
      </c>
      <c r="C2698" s="14" t="s">
        <v>2119</v>
      </c>
      <c r="D2698" s="14" t="s">
        <v>1041</v>
      </c>
      <c r="E2698" s="14" t="s">
        <v>125</v>
      </c>
      <c r="F2698" s="14" t="s">
        <v>2458</v>
      </c>
      <c r="G2698" s="14" t="s">
        <v>2447</v>
      </c>
      <c r="H2698" s="4"/>
      <c r="I2698" s="4">
        <f t="shared" si="258"/>
        <v>0</v>
      </c>
      <c r="J2698" s="4"/>
      <c r="K2698" s="4">
        <f t="shared" si="234"/>
        <v>0</v>
      </c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 spans="1:26" ht="15.75" customHeight="1" x14ac:dyDescent="0.2">
      <c r="A2699" s="1">
        <v>1257</v>
      </c>
      <c r="B2699" s="13" t="s">
        <v>699</v>
      </c>
      <c r="C2699" s="14" t="s">
        <v>2119</v>
      </c>
      <c r="D2699" s="14" t="s">
        <v>1041</v>
      </c>
      <c r="E2699" s="14" t="s">
        <v>125</v>
      </c>
      <c r="F2699" s="14" t="s">
        <v>2458</v>
      </c>
      <c r="G2699" s="14" t="s">
        <v>2447</v>
      </c>
      <c r="H2699" s="4"/>
      <c r="I2699" s="4">
        <f t="shared" si="258"/>
        <v>0</v>
      </c>
      <c r="J2699" s="4"/>
      <c r="K2699" s="4">
        <f t="shared" si="234"/>
        <v>0</v>
      </c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 spans="1:26" ht="15.75" customHeight="1" x14ac:dyDescent="0.2">
      <c r="A2700" s="1">
        <v>2637</v>
      </c>
      <c r="B2700" s="13" t="s">
        <v>702</v>
      </c>
      <c r="C2700" s="14" t="s">
        <v>2119</v>
      </c>
      <c r="D2700" s="14" t="s">
        <v>2461</v>
      </c>
      <c r="E2700" s="14" t="s">
        <v>125</v>
      </c>
      <c r="F2700" s="14" t="s">
        <v>2458</v>
      </c>
      <c r="G2700" s="14" t="s">
        <v>2447</v>
      </c>
      <c r="H2700" s="4"/>
      <c r="I2700" s="4">
        <f t="shared" si="258"/>
        <v>0</v>
      </c>
      <c r="J2700" s="4"/>
      <c r="K2700" s="4">
        <f t="shared" si="234"/>
        <v>0</v>
      </c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 spans="1:26" ht="15.75" customHeight="1" x14ac:dyDescent="0.2">
      <c r="A2701" s="1">
        <v>2755</v>
      </c>
      <c r="B2701" s="13" t="s">
        <v>944</v>
      </c>
      <c r="C2701" s="14" t="s">
        <v>2119</v>
      </c>
      <c r="D2701" s="14" t="s">
        <v>2461</v>
      </c>
      <c r="E2701" s="14" t="s">
        <v>125</v>
      </c>
      <c r="F2701" s="14" t="s">
        <v>2458</v>
      </c>
      <c r="G2701" s="14" t="s">
        <v>2447</v>
      </c>
      <c r="H2701" s="4"/>
      <c r="I2701" s="4">
        <f t="shared" si="258"/>
        <v>0</v>
      </c>
      <c r="J2701" s="4"/>
      <c r="K2701" s="4">
        <f t="shared" si="234"/>
        <v>0</v>
      </c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 spans="1:26" ht="15.75" customHeight="1" x14ac:dyDescent="0.2">
      <c r="A2702" s="1">
        <v>2933</v>
      </c>
      <c r="B2702" s="13" t="s">
        <v>722</v>
      </c>
      <c r="C2702" s="14" t="s">
        <v>2119</v>
      </c>
      <c r="D2702" s="14" t="s">
        <v>1041</v>
      </c>
      <c r="E2702" s="14" t="s">
        <v>125</v>
      </c>
      <c r="F2702" s="14" t="s">
        <v>2458</v>
      </c>
      <c r="G2702" s="14" t="s">
        <v>2447</v>
      </c>
      <c r="H2702" s="4"/>
      <c r="I2702" s="4">
        <f t="shared" si="258"/>
        <v>0</v>
      </c>
      <c r="J2702" s="4"/>
      <c r="K2702" s="4">
        <f t="shared" si="234"/>
        <v>0</v>
      </c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 spans="1:26" ht="15.75" customHeight="1" x14ac:dyDescent="0.2">
      <c r="A2703" s="1">
        <v>407</v>
      </c>
      <c r="B2703" s="13" t="s">
        <v>1299</v>
      </c>
      <c r="C2703" s="14" t="s">
        <v>2462</v>
      </c>
      <c r="D2703" s="14" t="s">
        <v>183</v>
      </c>
      <c r="E2703" s="14" t="s">
        <v>87</v>
      </c>
      <c r="F2703" s="14" t="s">
        <v>2463</v>
      </c>
      <c r="G2703" s="14" t="s">
        <v>2447</v>
      </c>
      <c r="H2703" s="4">
        <v>26</v>
      </c>
      <c r="I2703" s="4">
        <f t="shared" si="258"/>
        <v>59800</v>
      </c>
      <c r="J2703" s="4"/>
      <c r="K2703" s="4">
        <f t="shared" si="234"/>
        <v>0</v>
      </c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 spans="1:26" ht="15.75" customHeight="1" x14ac:dyDescent="0.2">
      <c r="A2704" s="1">
        <v>1601</v>
      </c>
      <c r="B2704" s="13" t="s">
        <v>264</v>
      </c>
      <c r="C2704" s="14" t="s">
        <v>2462</v>
      </c>
      <c r="D2704" s="14" t="s">
        <v>183</v>
      </c>
      <c r="E2704" s="14" t="s">
        <v>87</v>
      </c>
      <c r="F2704" s="14" t="s">
        <v>2463</v>
      </c>
      <c r="G2704" s="14" t="s">
        <v>2447</v>
      </c>
      <c r="H2704" s="4"/>
      <c r="I2704" s="4">
        <f t="shared" si="258"/>
        <v>0</v>
      </c>
      <c r="J2704" s="4"/>
      <c r="K2704" s="4">
        <f t="shared" si="234"/>
        <v>0</v>
      </c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 spans="1:26" ht="15.75" customHeight="1" x14ac:dyDescent="0.2">
      <c r="A2705" s="1">
        <v>2773</v>
      </c>
      <c r="B2705" s="13" t="s">
        <v>623</v>
      </c>
      <c r="C2705" s="14" t="s">
        <v>2462</v>
      </c>
      <c r="D2705" s="14" t="s">
        <v>183</v>
      </c>
      <c r="E2705" s="14" t="s">
        <v>87</v>
      </c>
      <c r="F2705" s="14" t="s">
        <v>2463</v>
      </c>
      <c r="G2705" s="14" t="s">
        <v>2447</v>
      </c>
      <c r="H2705" s="4"/>
      <c r="I2705" s="4">
        <f t="shared" si="258"/>
        <v>0</v>
      </c>
      <c r="J2705" s="4"/>
      <c r="K2705" s="4">
        <f t="shared" si="234"/>
        <v>0</v>
      </c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 spans="1:26" ht="15.75" customHeight="1" x14ac:dyDescent="0.2">
      <c r="A2706" s="1">
        <v>1389</v>
      </c>
      <c r="B2706" s="13" t="s">
        <v>601</v>
      </c>
      <c r="C2706" s="14" t="s">
        <v>2464</v>
      </c>
      <c r="D2706" s="14" t="s">
        <v>128</v>
      </c>
      <c r="E2706" s="14" t="s">
        <v>40</v>
      </c>
      <c r="F2706" s="14" t="s">
        <v>2463</v>
      </c>
      <c r="G2706" s="14" t="s">
        <v>2447</v>
      </c>
      <c r="H2706" s="4"/>
      <c r="I2706" s="4">
        <f t="shared" si="258"/>
        <v>0</v>
      </c>
      <c r="J2706" s="4"/>
      <c r="K2706" s="4">
        <f t="shared" si="234"/>
        <v>0</v>
      </c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 spans="1:26" ht="15.75" customHeight="1" x14ac:dyDescent="0.2">
      <c r="A2707" s="1">
        <v>1887</v>
      </c>
      <c r="B2707" s="13" t="s">
        <v>711</v>
      </c>
      <c r="C2707" s="14" t="s">
        <v>2464</v>
      </c>
      <c r="D2707" s="14" t="s">
        <v>128</v>
      </c>
      <c r="E2707" s="14" t="s">
        <v>40</v>
      </c>
      <c r="F2707" s="14" t="s">
        <v>2463</v>
      </c>
      <c r="G2707" s="14" t="s">
        <v>2447</v>
      </c>
      <c r="H2707" s="4"/>
      <c r="I2707" s="4">
        <f t="shared" si="258"/>
        <v>0</v>
      </c>
      <c r="J2707" s="4"/>
      <c r="K2707" s="4">
        <f t="shared" si="234"/>
        <v>0</v>
      </c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 spans="1:26" ht="15.75" customHeight="1" x14ac:dyDescent="0.2">
      <c r="A2708" s="1">
        <v>277</v>
      </c>
      <c r="B2708" s="13" t="s">
        <v>628</v>
      </c>
      <c r="C2708" s="14" t="s">
        <v>811</v>
      </c>
      <c r="D2708" s="14" t="s">
        <v>1858</v>
      </c>
      <c r="E2708" s="14" t="s">
        <v>40</v>
      </c>
      <c r="F2708" s="14" t="s">
        <v>2463</v>
      </c>
      <c r="G2708" s="14" t="s">
        <v>2447</v>
      </c>
      <c r="H2708" s="4"/>
      <c r="I2708" s="4">
        <f t="shared" si="258"/>
        <v>0</v>
      </c>
      <c r="J2708" s="4"/>
      <c r="K2708" s="4">
        <f t="shared" si="234"/>
        <v>0</v>
      </c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 spans="1:26" ht="15.75" customHeight="1" x14ac:dyDescent="0.2">
      <c r="A2709" s="1">
        <v>1315</v>
      </c>
      <c r="B2709" s="13" t="s">
        <v>936</v>
      </c>
      <c r="C2709" s="14" t="s">
        <v>811</v>
      </c>
      <c r="D2709" s="14" t="s">
        <v>1858</v>
      </c>
      <c r="E2709" s="14" t="s">
        <v>40</v>
      </c>
      <c r="F2709" s="14" t="s">
        <v>2463</v>
      </c>
      <c r="G2709" s="14" t="s">
        <v>2447</v>
      </c>
      <c r="H2709" s="4"/>
      <c r="I2709" s="4">
        <f t="shared" si="258"/>
        <v>0</v>
      </c>
      <c r="J2709" s="4"/>
      <c r="K2709" s="4">
        <f t="shared" si="234"/>
        <v>0</v>
      </c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 spans="1:26" ht="15.75" customHeight="1" x14ac:dyDescent="0.2">
      <c r="A2710" s="1">
        <v>1803</v>
      </c>
      <c r="B2710" s="13" t="s">
        <v>276</v>
      </c>
      <c r="C2710" s="14" t="s">
        <v>811</v>
      </c>
      <c r="D2710" s="14" t="s">
        <v>1858</v>
      </c>
      <c r="E2710" s="14" t="s">
        <v>40</v>
      </c>
      <c r="F2710" s="14" t="s">
        <v>2463</v>
      </c>
      <c r="G2710" s="14" t="s">
        <v>2447</v>
      </c>
      <c r="H2710" s="4"/>
      <c r="I2710" s="4">
        <f t="shared" si="258"/>
        <v>0</v>
      </c>
      <c r="J2710" s="4"/>
      <c r="K2710" s="4">
        <f t="shared" si="234"/>
        <v>0</v>
      </c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 spans="1:26" ht="15.75" customHeight="1" x14ac:dyDescent="0.2">
      <c r="A2711" s="1">
        <v>1273</v>
      </c>
      <c r="B2711" s="13" t="s">
        <v>453</v>
      </c>
      <c r="C2711" s="14" t="s">
        <v>2465</v>
      </c>
      <c r="D2711" s="14" t="s">
        <v>339</v>
      </c>
      <c r="E2711" s="14" t="s">
        <v>32</v>
      </c>
      <c r="F2711" s="14" t="s">
        <v>2463</v>
      </c>
      <c r="G2711" s="14" t="s">
        <v>2447</v>
      </c>
      <c r="H2711" s="4"/>
      <c r="I2711" s="4">
        <f t="shared" si="258"/>
        <v>0</v>
      </c>
      <c r="J2711" s="4"/>
      <c r="K2711" s="4">
        <f t="shared" si="234"/>
        <v>0</v>
      </c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 spans="1:26" ht="15.75" customHeight="1" x14ac:dyDescent="0.2">
      <c r="A2712" s="1">
        <v>1781</v>
      </c>
      <c r="B2712" s="13" t="s">
        <v>442</v>
      </c>
      <c r="C2712" s="14" t="s">
        <v>2465</v>
      </c>
      <c r="D2712" s="14" t="s">
        <v>339</v>
      </c>
      <c r="E2712" s="14" t="s">
        <v>32</v>
      </c>
      <c r="F2712" s="14" t="s">
        <v>2463</v>
      </c>
      <c r="G2712" s="14" t="s">
        <v>2447</v>
      </c>
      <c r="H2712" s="4"/>
      <c r="I2712" s="4">
        <f t="shared" si="258"/>
        <v>0</v>
      </c>
      <c r="J2712" s="4"/>
      <c r="K2712" s="4">
        <f t="shared" si="234"/>
        <v>0</v>
      </c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 spans="1:26" ht="15.75" customHeight="1" x14ac:dyDescent="0.2">
      <c r="A2713" s="1">
        <v>2113</v>
      </c>
      <c r="B2713" s="13" t="s">
        <v>280</v>
      </c>
      <c r="C2713" s="14" t="s">
        <v>2465</v>
      </c>
      <c r="D2713" s="14" t="s">
        <v>339</v>
      </c>
      <c r="E2713" s="14" t="s">
        <v>32</v>
      </c>
      <c r="F2713" s="14" t="s">
        <v>2463</v>
      </c>
      <c r="G2713" s="14" t="s">
        <v>2447</v>
      </c>
      <c r="H2713" s="4"/>
      <c r="I2713" s="4">
        <f t="shared" si="258"/>
        <v>0</v>
      </c>
      <c r="J2713" s="4"/>
      <c r="K2713" s="4">
        <f t="shared" si="234"/>
        <v>0</v>
      </c>
      <c r="L2713" s="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 spans="1:26" ht="15.75" customHeight="1" x14ac:dyDescent="0.2">
      <c r="A2714" s="1">
        <v>381</v>
      </c>
      <c r="B2714" s="13" t="s">
        <v>246</v>
      </c>
      <c r="C2714" s="14" t="s">
        <v>57</v>
      </c>
      <c r="D2714" s="14" t="s">
        <v>1369</v>
      </c>
      <c r="E2714" s="14" t="s">
        <v>40</v>
      </c>
      <c r="F2714" s="14" t="s">
        <v>2463</v>
      </c>
      <c r="G2714" s="14" t="s">
        <v>2447</v>
      </c>
      <c r="H2714" s="4"/>
      <c r="I2714" s="4">
        <f t="shared" si="258"/>
        <v>0</v>
      </c>
      <c r="J2714" s="4"/>
      <c r="K2714" s="4">
        <f t="shared" si="234"/>
        <v>0</v>
      </c>
      <c r="L2714" s="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 spans="1:26" ht="15.75" customHeight="1" x14ac:dyDescent="0.2">
      <c r="A2715" s="1">
        <v>1369</v>
      </c>
      <c r="B2715" s="13" t="s">
        <v>601</v>
      </c>
      <c r="C2715" s="14" t="s">
        <v>57</v>
      </c>
      <c r="D2715" s="14" t="s">
        <v>1369</v>
      </c>
      <c r="E2715" s="14" t="s">
        <v>40</v>
      </c>
      <c r="F2715" s="14" t="s">
        <v>2463</v>
      </c>
      <c r="G2715" s="14" t="s">
        <v>2447</v>
      </c>
      <c r="H2715" s="4"/>
      <c r="I2715" s="4">
        <f t="shared" si="258"/>
        <v>0</v>
      </c>
      <c r="J2715" s="4"/>
      <c r="K2715" s="4">
        <f t="shared" si="234"/>
        <v>0</v>
      </c>
      <c r="L2715" s="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 spans="1:26" ht="15.75" customHeight="1" x14ac:dyDescent="0.2">
      <c r="A2716" s="1">
        <v>1857</v>
      </c>
      <c r="B2716" s="13" t="s">
        <v>604</v>
      </c>
      <c r="C2716" s="14" t="s">
        <v>57</v>
      </c>
      <c r="D2716" s="14" t="s">
        <v>1369</v>
      </c>
      <c r="E2716" s="14" t="s">
        <v>40</v>
      </c>
      <c r="F2716" s="14" t="s">
        <v>2463</v>
      </c>
      <c r="G2716" s="14" t="s">
        <v>2447</v>
      </c>
      <c r="H2716" s="4"/>
      <c r="I2716" s="4">
        <f t="shared" si="258"/>
        <v>0</v>
      </c>
      <c r="J2716" s="4"/>
      <c r="K2716" s="4">
        <f t="shared" si="234"/>
        <v>0</v>
      </c>
      <c r="L2716" s="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 spans="1:26" ht="15.75" customHeight="1" x14ac:dyDescent="0.2">
      <c r="A2717" s="1">
        <v>537</v>
      </c>
      <c r="B2717" s="13" t="s">
        <v>678</v>
      </c>
      <c r="C2717" s="14" t="s">
        <v>1444</v>
      </c>
      <c r="D2717" s="14" t="s">
        <v>171</v>
      </c>
      <c r="E2717" s="14" t="s">
        <v>357</v>
      </c>
      <c r="F2717" s="14" t="s">
        <v>2463</v>
      </c>
      <c r="G2717" s="14" t="s">
        <v>2447</v>
      </c>
      <c r="H2717" s="4"/>
      <c r="I2717" s="4">
        <f t="shared" si="258"/>
        <v>0</v>
      </c>
      <c r="J2717" s="4"/>
      <c r="K2717" s="4">
        <f t="shared" ref="K2717:K2791" si="259">J2717*4000</f>
        <v>0</v>
      </c>
      <c r="L2717" s="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 spans="1:26" ht="15.75" customHeight="1" x14ac:dyDescent="0.2">
      <c r="A2718" s="1">
        <v>1117</v>
      </c>
      <c r="B2718" s="13" t="s">
        <v>1344</v>
      </c>
      <c r="C2718" s="14" t="s">
        <v>1444</v>
      </c>
      <c r="D2718" s="14" t="s">
        <v>171</v>
      </c>
      <c r="E2718" s="14" t="s">
        <v>357</v>
      </c>
      <c r="F2718" s="14" t="s">
        <v>2463</v>
      </c>
      <c r="G2718" s="14" t="s">
        <v>2447</v>
      </c>
      <c r="H2718" s="4"/>
      <c r="I2718" s="4">
        <f t="shared" si="258"/>
        <v>0</v>
      </c>
      <c r="J2718" s="4"/>
      <c r="K2718" s="4">
        <f t="shared" si="259"/>
        <v>0</v>
      </c>
      <c r="L2718" s="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 spans="1:26" ht="15.75" customHeight="1" x14ac:dyDescent="0.2">
      <c r="A2719" s="1">
        <v>1551</v>
      </c>
      <c r="B2719" s="13" t="s">
        <v>377</v>
      </c>
      <c r="C2719" s="14" t="s">
        <v>1444</v>
      </c>
      <c r="D2719" s="14" t="s">
        <v>513</v>
      </c>
      <c r="E2719" s="14" t="s">
        <v>18</v>
      </c>
      <c r="F2719" s="14" t="s">
        <v>2463</v>
      </c>
      <c r="G2719" s="14" t="s">
        <v>2447</v>
      </c>
      <c r="H2719" s="4"/>
      <c r="I2719" s="4">
        <f t="shared" si="258"/>
        <v>0</v>
      </c>
      <c r="J2719" s="4"/>
      <c r="K2719" s="4">
        <f t="shared" si="259"/>
        <v>0</v>
      </c>
      <c r="L2719" s="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 spans="1:26" ht="15.75" customHeight="1" x14ac:dyDescent="0.2">
      <c r="A2720" s="1">
        <v>1831</v>
      </c>
      <c r="B2720" s="13" t="s">
        <v>439</v>
      </c>
      <c r="C2720" s="14" t="s">
        <v>1444</v>
      </c>
      <c r="D2720" s="14" t="s">
        <v>171</v>
      </c>
      <c r="E2720" s="14" t="s">
        <v>357</v>
      </c>
      <c r="F2720" s="14" t="s">
        <v>2463</v>
      </c>
      <c r="G2720" s="14" t="s">
        <v>2447</v>
      </c>
      <c r="H2720" s="4"/>
      <c r="I2720" s="4">
        <f t="shared" si="258"/>
        <v>0</v>
      </c>
      <c r="J2720" s="4"/>
      <c r="K2720" s="4">
        <f t="shared" si="259"/>
        <v>0</v>
      </c>
      <c r="L2720" s="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 spans="1:26" ht="15.75" customHeight="1" x14ac:dyDescent="0.2">
      <c r="A2721" s="1">
        <v>2335</v>
      </c>
      <c r="B2721" s="13" t="s">
        <v>285</v>
      </c>
      <c r="C2721" s="14" t="s">
        <v>1444</v>
      </c>
      <c r="D2721" s="14" t="s">
        <v>513</v>
      </c>
      <c r="E2721" s="14" t="s">
        <v>18</v>
      </c>
      <c r="F2721" s="14" t="s">
        <v>2463</v>
      </c>
      <c r="G2721" s="14" t="s">
        <v>2447</v>
      </c>
      <c r="H2721" s="4"/>
      <c r="I2721" s="4">
        <f t="shared" si="258"/>
        <v>0</v>
      </c>
      <c r="J2721" s="4"/>
      <c r="K2721" s="4">
        <f t="shared" si="259"/>
        <v>0</v>
      </c>
      <c r="L2721" s="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 spans="1:26" ht="15.75" customHeight="1" x14ac:dyDescent="0.2">
      <c r="A2722" s="1">
        <v>2585</v>
      </c>
      <c r="B2722" s="13" t="s">
        <v>287</v>
      </c>
      <c r="C2722" s="14" t="s">
        <v>1444</v>
      </c>
      <c r="D2722" s="14" t="s">
        <v>513</v>
      </c>
      <c r="E2722" s="14" t="s">
        <v>18</v>
      </c>
      <c r="F2722" s="14" t="s">
        <v>2463</v>
      </c>
      <c r="G2722" s="14" t="s">
        <v>2447</v>
      </c>
      <c r="H2722" s="4"/>
      <c r="I2722" s="4">
        <f t="shared" si="258"/>
        <v>0</v>
      </c>
      <c r="J2722" s="4"/>
      <c r="K2722" s="4">
        <f t="shared" si="259"/>
        <v>0</v>
      </c>
      <c r="L2722" s="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 spans="1:26" ht="15.75" customHeight="1" x14ac:dyDescent="0.2">
      <c r="A2723" s="1"/>
      <c r="B2723" s="2" t="s">
        <v>323</v>
      </c>
      <c r="C2723" s="3" t="s">
        <v>2466</v>
      </c>
      <c r="D2723" s="3" t="s">
        <v>491</v>
      </c>
      <c r="E2723" s="3" t="s">
        <v>322</v>
      </c>
      <c r="F2723" s="3" t="s">
        <v>2463</v>
      </c>
      <c r="G2723" s="3" t="s">
        <v>2447</v>
      </c>
      <c r="H2723" s="4">
        <v>7</v>
      </c>
      <c r="I2723" s="4">
        <f>H2723*1800</f>
        <v>12600</v>
      </c>
      <c r="J2723" s="4"/>
      <c r="K2723" s="4">
        <f t="shared" si="259"/>
        <v>0</v>
      </c>
      <c r="L2723" s="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 spans="1:26" ht="15.75" customHeight="1" x14ac:dyDescent="0.2">
      <c r="A2724" s="1"/>
      <c r="B2724" s="2" t="s">
        <v>297</v>
      </c>
      <c r="C2724" s="3" t="s">
        <v>2466</v>
      </c>
      <c r="D2724" s="3" t="s">
        <v>491</v>
      </c>
      <c r="E2724" s="3" t="s">
        <v>322</v>
      </c>
      <c r="F2724" s="3" t="s">
        <v>2463</v>
      </c>
      <c r="G2724" s="3" t="s">
        <v>2447</v>
      </c>
      <c r="H2724" s="4"/>
      <c r="I2724" s="4">
        <f t="shared" ref="I2724:I2728" si="260">H2724*2300</f>
        <v>0</v>
      </c>
      <c r="J2724" s="4"/>
      <c r="K2724" s="4">
        <f t="shared" si="259"/>
        <v>0</v>
      </c>
      <c r="L2724" s="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 spans="1:26" ht="15.75" customHeight="1" x14ac:dyDescent="0.2">
      <c r="A2725" s="1"/>
      <c r="B2725" s="2" t="s">
        <v>122</v>
      </c>
      <c r="C2725" s="3" t="s">
        <v>1347</v>
      </c>
      <c r="D2725" s="3" t="s">
        <v>557</v>
      </c>
      <c r="E2725" s="3" t="s">
        <v>79</v>
      </c>
      <c r="F2725" s="3" t="s">
        <v>2463</v>
      </c>
      <c r="G2725" s="3" t="s">
        <v>2447</v>
      </c>
      <c r="H2725" s="4"/>
      <c r="I2725" s="4">
        <f t="shared" si="260"/>
        <v>0</v>
      </c>
      <c r="J2725" s="4"/>
      <c r="K2725" s="4">
        <f t="shared" si="259"/>
        <v>0</v>
      </c>
      <c r="L2725" s="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 spans="1:26" ht="15.75" customHeight="1" x14ac:dyDescent="0.2">
      <c r="A2726" s="1"/>
      <c r="B2726" s="2" t="s">
        <v>126</v>
      </c>
      <c r="C2726" s="3" t="s">
        <v>1347</v>
      </c>
      <c r="D2726" s="3" t="s">
        <v>557</v>
      </c>
      <c r="E2726" s="3" t="s">
        <v>79</v>
      </c>
      <c r="F2726" s="3" t="s">
        <v>2463</v>
      </c>
      <c r="G2726" s="3" t="s">
        <v>2447</v>
      </c>
      <c r="H2726" s="4"/>
      <c r="I2726" s="4">
        <f t="shared" si="260"/>
        <v>0</v>
      </c>
      <c r="J2726" s="4"/>
      <c r="K2726" s="4">
        <f t="shared" si="259"/>
        <v>0</v>
      </c>
      <c r="L2726" s="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 spans="1:26" ht="15.75" customHeight="1" x14ac:dyDescent="0.2">
      <c r="A2727" s="1">
        <v>535</v>
      </c>
      <c r="B2727" s="13" t="s">
        <v>678</v>
      </c>
      <c r="C2727" s="14" t="s">
        <v>2035</v>
      </c>
      <c r="D2727" s="14" t="s">
        <v>295</v>
      </c>
      <c r="E2727" s="14" t="s">
        <v>255</v>
      </c>
      <c r="F2727" s="14" t="s">
        <v>2463</v>
      </c>
      <c r="G2727" s="14" t="s">
        <v>2447</v>
      </c>
      <c r="H2727" s="4"/>
      <c r="I2727" s="4">
        <f t="shared" si="260"/>
        <v>0</v>
      </c>
      <c r="J2727" s="4"/>
      <c r="K2727" s="4">
        <f t="shared" si="259"/>
        <v>0</v>
      </c>
      <c r="L2727" s="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 spans="1:26" ht="15.75" customHeight="1" x14ac:dyDescent="0.2">
      <c r="A2728" s="1">
        <v>1153</v>
      </c>
      <c r="B2728" s="13" t="s">
        <v>433</v>
      </c>
      <c r="C2728" s="14" t="s">
        <v>2035</v>
      </c>
      <c r="D2728" s="14" t="s">
        <v>295</v>
      </c>
      <c r="E2728" s="14" t="s">
        <v>255</v>
      </c>
      <c r="F2728" s="14" t="s">
        <v>2463</v>
      </c>
      <c r="G2728" s="14" t="s">
        <v>2447</v>
      </c>
      <c r="H2728" s="4"/>
      <c r="I2728" s="4">
        <f t="shared" si="260"/>
        <v>0</v>
      </c>
      <c r="J2728" s="4"/>
      <c r="K2728" s="4">
        <f t="shared" si="259"/>
        <v>0</v>
      </c>
      <c r="L2728" s="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 spans="1:26" ht="15.75" customHeight="1" x14ac:dyDescent="0.2">
      <c r="A2729" s="1">
        <v>1829</v>
      </c>
      <c r="B2729" s="13" t="s">
        <v>439</v>
      </c>
      <c r="C2729" s="14" t="s">
        <v>2035</v>
      </c>
      <c r="D2729" s="14" t="s">
        <v>295</v>
      </c>
      <c r="E2729" s="14" t="s">
        <v>255</v>
      </c>
      <c r="F2729" s="14" t="s">
        <v>2463</v>
      </c>
      <c r="G2729" s="14" t="s">
        <v>2447</v>
      </c>
      <c r="H2729" s="4"/>
      <c r="I2729" s="4">
        <f t="shared" ref="I2729:I2746" si="261">H2729*1800</f>
        <v>0</v>
      </c>
      <c r="J2729" s="4"/>
      <c r="K2729" s="4">
        <f t="shared" si="259"/>
        <v>0</v>
      </c>
      <c r="L2729" s="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 spans="1:26" ht="15.75" customHeight="1" x14ac:dyDescent="0.2">
      <c r="A2730" s="1"/>
      <c r="B2730" s="2" t="s">
        <v>94</v>
      </c>
      <c r="C2730" s="3" t="s">
        <v>2467</v>
      </c>
      <c r="D2730" s="3" t="s">
        <v>468</v>
      </c>
      <c r="E2730" s="3" t="s">
        <v>259</v>
      </c>
      <c r="F2730" s="3" t="s">
        <v>2463</v>
      </c>
      <c r="G2730" s="3" t="s">
        <v>2447</v>
      </c>
      <c r="H2730" s="4"/>
      <c r="I2730" s="4">
        <f t="shared" si="261"/>
        <v>0</v>
      </c>
      <c r="J2730" s="4"/>
      <c r="K2730" s="4">
        <f t="shared" si="259"/>
        <v>0</v>
      </c>
      <c r="L2730" s="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 spans="1:26" ht="15.75" customHeight="1" x14ac:dyDescent="0.2">
      <c r="A2731" s="1"/>
      <c r="B2731" s="2" t="s">
        <v>108</v>
      </c>
      <c r="C2731" s="3" t="s">
        <v>74</v>
      </c>
      <c r="D2731" s="3" t="s">
        <v>1385</v>
      </c>
      <c r="E2731" s="3" t="s">
        <v>32</v>
      </c>
      <c r="F2731" s="3" t="s">
        <v>2463</v>
      </c>
      <c r="G2731" s="3" t="s">
        <v>2447</v>
      </c>
      <c r="H2731" s="4"/>
      <c r="I2731" s="4">
        <f t="shared" si="261"/>
        <v>0</v>
      </c>
      <c r="J2731" s="4"/>
      <c r="K2731" s="4">
        <f t="shared" si="259"/>
        <v>0</v>
      </c>
      <c r="L2731" s="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 spans="1:26" ht="15.75" customHeight="1" x14ac:dyDescent="0.2">
      <c r="A2732" s="1"/>
      <c r="B2732" s="2" t="s">
        <v>303</v>
      </c>
      <c r="C2732" s="3" t="s">
        <v>74</v>
      </c>
      <c r="D2732" s="3" t="s">
        <v>1385</v>
      </c>
      <c r="E2732" s="3" t="s">
        <v>32</v>
      </c>
      <c r="F2732" s="3" t="s">
        <v>2463</v>
      </c>
      <c r="G2732" s="3" t="s">
        <v>2447</v>
      </c>
      <c r="H2732" s="4"/>
      <c r="I2732" s="4">
        <f t="shared" si="261"/>
        <v>0</v>
      </c>
      <c r="J2732" s="4"/>
      <c r="K2732" s="4">
        <f t="shared" si="259"/>
        <v>0</v>
      </c>
      <c r="L2732" s="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 spans="1:26" ht="15.75" customHeight="1" x14ac:dyDescent="0.2">
      <c r="A2733" s="1">
        <v>325</v>
      </c>
      <c r="B2733" s="13" t="s">
        <v>365</v>
      </c>
      <c r="C2733" s="14" t="s">
        <v>2468</v>
      </c>
      <c r="D2733" s="14" t="s">
        <v>2469</v>
      </c>
      <c r="E2733" s="14" t="s">
        <v>571</v>
      </c>
      <c r="F2733" s="14" t="s">
        <v>2463</v>
      </c>
      <c r="G2733" s="14" t="s">
        <v>2447</v>
      </c>
      <c r="H2733" s="4"/>
      <c r="I2733" s="4">
        <f t="shared" si="261"/>
        <v>0</v>
      </c>
      <c r="J2733" s="4"/>
      <c r="K2733" s="4">
        <f t="shared" si="259"/>
        <v>0</v>
      </c>
      <c r="L2733" s="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 spans="1:26" ht="15.75" customHeight="1" x14ac:dyDescent="0.2">
      <c r="A2734" s="1">
        <v>1603</v>
      </c>
      <c r="B2734" s="13" t="s">
        <v>264</v>
      </c>
      <c r="C2734" s="14" t="s">
        <v>2468</v>
      </c>
      <c r="D2734" s="14" t="s">
        <v>2469</v>
      </c>
      <c r="E2734" s="14" t="s">
        <v>571</v>
      </c>
      <c r="F2734" s="14" t="s">
        <v>2463</v>
      </c>
      <c r="G2734" s="14" t="s">
        <v>2447</v>
      </c>
      <c r="H2734" s="4"/>
      <c r="I2734" s="4">
        <f t="shared" si="261"/>
        <v>0</v>
      </c>
      <c r="J2734" s="4"/>
      <c r="K2734" s="4">
        <f t="shared" si="259"/>
        <v>0</v>
      </c>
      <c r="L2734" s="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 spans="1:26" ht="15.75" customHeight="1" x14ac:dyDescent="0.2">
      <c r="A2735" s="1">
        <v>2791</v>
      </c>
      <c r="B2735" s="13" t="s">
        <v>288</v>
      </c>
      <c r="C2735" s="14" t="s">
        <v>2468</v>
      </c>
      <c r="D2735" s="14" t="s">
        <v>2469</v>
      </c>
      <c r="E2735" s="14" t="s">
        <v>571</v>
      </c>
      <c r="F2735" s="14" t="s">
        <v>2463</v>
      </c>
      <c r="G2735" s="14" t="s">
        <v>2447</v>
      </c>
      <c r="H2735" s="4"/>
      <c r="I2735" s="4">
        <f t="shared" si="261"/>
        <v>0</v>
      </c>
      <c r="J2735" s="4"/>
      <c r="K2735" s="4">
        <f t="shared" si="259"/>
        <v>0</v>
      </c>
      <c r="L2735" s="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 spans="1:26" ht="15.75" customHeight="1" x14ac:dyDescent="0.2">
      <c r="A2736" s="1"/>
      <c r="B2736" s="2" t="s">
        <v>296</v>
      </c>
      <c r="C2736" s="3" t="s">
        <v>483</v>
      </c>
      <c r="D2736" s="3" t="s">
        <v>529</v>
      </c>
      <c r="E2736" s="3" t="s">
        <v>259</v>
      </c>
      <c r="F2736" s="3" t="s">
        <v>2105</v>
      </c>
      <c r="G2736" s="3" t="s">
        <v>2447</v>
      </c>
      <c r="H2736" s="4">
        <v>29</v>
      </c>
      <c r="I2736" s="4">
        <f t="shared" si="261"/>
        <v>52200</v>
      </c>
      <c r="J2736" s="4"/>
      <c r="K2736" s="4">
        <f t="shared" si="259"/>
        <v>0</v>
      </c>
      <c r="L2736" s="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 spans="1:26" ht="15.75" customHeight="1" x14ac:dyDescent="0.2">
      <c r="A2737" s="1"/>
      <c r="B2737" s="2" t="s">
        <v>108</v>
      </c>
      <c r="C2737" s="3" t="s">
        <v>483</v>
      </c>
      <c r="D2737" s="3" t="s">
        <v>529</v>
      </c>
      <c r="E2737" s="3" t="s">
        <v>259</v>
      </c>
      <c r="F2737" s="3" t="s">
        <v>2105</v>
      </c>
      <c r="G2737" s="3" t="s">
        <v>2447</v>
      </c>
      <c r="H2737" s="4"/>
      <c r="I2737" s="4">
        <f t="shared" si="261"/>
        <v>0</v>
      </c>
      <c r="J2737" s="4"/>
      <c r="K2737" s="4">
        <f t="shared" si="259"/>
        <v>0</v>
      </c>
      <c r="L2737" s="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 spans="1:26" ht="15.75" customHeight="1" x14ac:dyDescent="0.2">
      <c r="A2738" s="1"/>
      <c r="B2738" s="2" t="s">
        <v>548</v>
      </c>
      <c r="C2738" s="3" t="s">
        <v>483</v>
      </c>
      <c r="D2738" s="3" t="s">
        <v>529</v>
      </c>
      <c r="E2738" s="3" t="s">
        <v>259</v>
      </c>
      <c r="F2738" s="3" t="s">
        <v>2105</v>
      </c>
      <c r="G2738" s="3" t="s">
        <v>2447</v>
      </c>
      <c r="H2738" s="4"/>
      <c r="I2738" s="4">
        <f t="shared" si="261"/>
        <v>0</v>
      </c>
      <c r="J2738" s="4"/>
      <c r="K2738" s="4">
        <f t="shared" si="259"/>
        <v>0</v>
      </c>
      <c r="L2738" s="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 spans="1:26" ht="15.75" customHeight="1" x14ac:dyDescent="0.2">
      <c r="A2739" s="1"/>
      <c r="B2739" s="2" t="s">
        <v>121</v>
      </c>
      <c r="C2739" s="3" t="s">
        <v>1939</v>
      </c>
      <c r="D2739" s="3" t="s">
        <v>292</v>
      </c>
      <c r="E2739" s="3" t="s">
        <v>2470</v>
      </c>
      <c r="F2739" s="3" t="s">
        <v>2105</v>
      </c>
      <c r="G2739" s="3" t="s">
        <v>2447</v>
      </c>
      <c r="H2739" s="4"/>
      <c r="I2739" s="4">
        <f t="shared" si="261"/>
        <v>0</v>
      </c>
      <c r="J2739" s="4"/>
      <c r="K2739" s="4">
        <f t="shared" si="259"/>
        <v>0</v>
      </c>
      <c r="L2739" s="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 spans="1:26" ht="15.75" customHeight="1" x14ac:dyDescent="0.2">
      <c r="A2740" s="1"/>
      <c r="B2740" s="2" t="s">
        <v>315</v>
      </c>
      <c r="C2740" s="3" t="s">
        <v>1939</v>
      </c>
      <c r="D2740" s="3" t="s">
        <v>292</v>
      </c>
      <c r="E2740" s="3" t="s">
        <v>2470</v>
      </c>
      <c r="F2740" s="3" t="s">
        <v>2105</v>
      </c>
      <c r="G2740" s="3" t="s">
        <v>2447</v>
      </c>
      <c r="H2740" s="4"/>
      <c r="I2740" s="4">
        <f t="shared" si="261"/>
        <v>0</v>
      </c>
      <c r="J2740" s="4"/>
      <c r="K2740" s="4">
        <f t="shared" si="259"/>
        <v>0</v>
      </c>
      <c r="L2740" s="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 spans="1:26" ht="15.75" customHeight="1" x14ac:dyDescent="0.2">
      <c r="A2741" s="1"/>
      <c r="B2741" s="2" t="s">
        <v>421</v>
      </c>
      <c r="C2741" s="3" t="s">
        <v>2471</v>
      </c>
      <c r="D2741" s="3" t="s">
        <v>58</v>
      </c>
      <c r="E2741" s="3" t="s">
        <v>630</v>
      </c>
      <c r="F2741" s="3" t="s">
        <v>2105</v>
      </c>
      <c r="G2741" s="3" t="s">
        <v>2447</v>
      </c>
      <c r="H2741" s="4"/>
      <c r="I2741" s="4">
        <f t="shared" si="261"/>
        <v>0</v>
      </c>
      <c r="J2741" s="4"/>
      <c r="K2741" s="4">
        <f t="shared" si="259"/>
        <v>0</v>
      </c>
      <c r="L2741" s="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 spans="1:26" ht="15.75" customHeight="1" x14ac:dyDescent="0.2">
      <c r="A2742" s="1"/>
      <c r="B2742" s="2" t="s">
        <v>307</v>
      </c>
      <c r="C2742" s="3" t="s">
        <v>2471</v>
      </c>
      <c r="D2742" s="3" t="s">
        <v>58</v>
      </c>
      <c r="E2742" s="3" t="s">
        <v>630</v>
      </c>
      <c r="F2742" s="3" t="s">
        <v>2105</v>
      </c>
      <c r="G2742" s="3" t="s">
        <v>2447</v>
      </c>
      <c r="H2742" s="4"/>
      <c r="I2742" s="4">
        <f t="shared" si="261"/>
        <v>0</v>
      </c>
      <c r="J2742" s="4"/>
      <c r="K2742" s="4">
        <f t="shared" si="259"/>
        <v>0</v>
      </c>
      <c r="L2742" s="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 spans="1:26" ht="15.75" customHeight="1" x14ac:dyDescent="0.2">
      <c r="A2743" s="1"/>
      <c r="B2743" s="2" t="s">
        <v>316</v>
      </c>
      <c r="C2743" s="3" t="s">
        <v>657</v>
      </c>
      <c r="D2743" s="3" t="s">
        <v>680</v>
      </c>
      <c r="E2743" s="3" t="s">
        <v>1619</v>
      </c>
      <c r="F2743" s="3" t="s">
        <v>2105</v>
      </c>
      <c r="G2743" s="3" t="s">
        <v>2447</v>
      </c>
      <c r="H2743" s="4"/>
      <c r="I2743" s="4">
        <f t="shared" si="261"/>
        <v>0</v>
      </c>
      <c r="J2743" s="4"/>
      <c r="K2743" s="4">
        <f t="shared" si="259"/>
        <v>0</v>
      </c>
      <c r="L2743" s="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 spans="1:26" ht="15.75" customHeight="1" x14ac:dyDescent="0.2">
      <c r="A2744" s="1"/>
      <c r="B2744" s="2" t="s">
        <v>548</v>
      </c>
      <c r="C2744" s="3" t="s">
        <v>657</v>
      </c>
      <c r="D2744" s="3" t="s">
        <v>680</v>
      </c>
      <c r="E2744" s="3" t="s">
        <v>1619</v>
      </c>
      <c r="F2744" s="3" t="s">
        <v>2105</v>
      </c>
      <c r="G2744" s="3" t="s">
        <v>2447</v>
      </c>
      <c r="H2744" s="4"/>
      <c r="I2744" s="4">
        <f t="shared" si="261"/>
        <v>0</v>
      </c>
      <c r="J2744" s="4"/>
      <c r="K2744" s="4">
        <f t="shared" si="259"/>
        <v>0</v>
      </c>
      <c r="L2744" s="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 spans="1:26" ht="15.75" customHeight="1" x14ac:dyDescent="0.2">
      <c r="A2745" s="1"/>
      <c r="B2745" s="2" t="s">
        <v>548</v>
      </c>
      <c r="C2745" s="3" t="s">
        <v>2455</v>
      </c>
      <c r="D2745" s="3" t="s">
        <v>388</v>
      </c>
      <c r="E2745" s="3" t="s">
        <v>348</v>
      </c>
      <c r="F2745" s="3" t="s">
        <v>2105</v>
      </c>
      <c r="G2745" s="3" t="s">
        <v>2447</v>
      </c>
      <c r="H2745" s="4"/>
      <c r="I2745" s="4">
        <f t="shared" si="261"/>
        <v>0</v>
      </c>
      <c r="J2745" s="4"/>
      <c r="K2745" s="4">
        <f t="shared" si="259"/>
        <v>0</v>
      </c>
      <c r="L2745" s="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 spans="1:26" ht="15.75" customHeight="1" x14ac:dyDescent="0.2">
      <c r="A2746" s="1"/>
      <c r="B2746" s="2" t="s">
        <v>94</v>
      </c>
      <c r="C2746" s="3" t="s">
        <v>2455</v>
      </c>
      <c r="D2746" s="3" t="s">
        <v>388</v>
      </c>
      <c r="E2746" s="3" t="s">
        <v>348</v>
      </c>
      <c r="F2746" s="3" t="s">
        <v>2105</v>
      </c>
      <c r="G2746" s="3" t="s">
        <v>2447</v>
      </c>
      <c r="H2746" s="4"/>
      <c r="I2746" s="4">
        <f t="shared" si="261"/>
        <v>0</v>
      </c>
      <c r="J2746" s="4"/>
      <c r="K2746" s="4">
        <f t="shared" si="259"/>
        <v>0</v>
      </c>
      <c r="L2746" s="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 spans="1:26" ht="15.75" customHeight="1" x14ac:dyDescent="0.2">
      <c r="A2747" s="1">
        <v>391</v>
      </c>
      <c r="B2747" s="13" t="s">
        <v>246</v>
      </c>
      <c r="C2747" s="14" t="s">
        <v>885</v>
      </c>
      <c r="D2747" s="14" t="s">
        <v>2222</v>
      </c>
      <c r="E2747" s="14" t="s">
        <v>32</v>
      </c>
      <c r="F2747" s="14" t="s">
        <v>2105</v>
      </c>
      <c r="G2747" s="14" t="s">
        <v>2447</v>
      </c>
      <c r="H2747" s="4"/>
      <c r="I2747" s="4">
        <f t="shared" ref="I2747:I2748" si="262">H2747*2300</f>
        <v>0</v>
      </c>
      <c r="J2747" s="4"/>
      <c r="K2747" s="4">
        <f t="shared" si="259"/>
        <v>0</v>
      </c>
      <c r="L2747" s="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 spans="1:26" ht="15.75" customHeight="1" x14ac:dyDescent="0.2">
      <c r="A2748" s="1">
        <v>1425</v>
      </c>
      <c r="B2748" s="13" t="s">
        <v>386</v>
      </c>
      <c r="C2748" s="14" t="s">
        <v>885</v>
      </c>
      <c r="D2748" s="14" t="s">
        <v>2222</v>
      </c>
      <c r="E2748" s="14" t="s">
        <v>32</v>
      </c>
      <c r="F2748" s="14" t="s">
        <v>2105</v>
      </c>
      <c r="G2748" s="14" t="s">
        <v>2447</v>
      </c>
      <c r="H2748" s="4"/>
      <c r="I2748" s="4">
        <f t="shared" si="262"/>
        <v>0</v>
      </c>
      <c r="J2748" s="4"/>
      <c r="K2748" s="4">
        <f t="shared" si="259"/>
        <v>0</v>
      </c>
      <c r="L2748" s="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 spans="1:26" ht="15.75" customHeight="1" x14ac:dyDescent="0.2">
      <c r="A2749" s="1"/>
      <c r="B2749" s="2" t="s">
        <v>421</v>
      </c>
      <c r="C2749" s="3" t="s">
        <v>2472</v>
      </c>
      <c r="D2749" s="3" t="s">
        <v>1598</v>
      </c>
      <c r="E2749" s="3" t="s">
        <v>306</v>
      </c>
      <c r="F2749" s="3" t="s">
        <v>2105</v>
      </c>
      <c r="G2749" s="3" t="s">
        <v>2447</v>
      </c>
      <c r="H2749" s="4"/>
      <c r="I2749" s="4">
        <f t="shared" ref="I2749:I2752" si="263">H2749*1800</f>
        <v>0</v>
      </c>
      <c r="J2749" s="4"/>
      <c r="K2749" s="4">
        <f t="shared" si="259"/>
        <v>0</v>
      </c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 spans="1:26" ht="15.75" customHeight="1" x14ac:dyDescent="0.2">
      <c r="A2750" s="1"/>
      <c r="B2750" s="2" t="s">
        <v>307</v>
      </c>
      <c r="C2750" s="3" t="s">
        <v>2472</v>
      </c>
      <c r="D2750" s="3" t="s">
        <v>1598</v>
      </c>
      <c r="E2750" s="3" t="s">
        <v>306</v>
      </c>
      <c r="F2750" s="3" t="s">
        <v>2105</v>
      </c>
      <c r="G2750" s="3" t="s">
        <v>2447</v>
      </c>
      <c r="H2750" s="4"/>
      <c r="I2750" s="4">
        <f t="shared" si="263"/>
        <v>0</v>
      </c>
      <c r="J2750" s="4"/>
      <c r="K2750" s="4">
        <f t="shared" si="259"/>
        <v>0</v>
      </c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 spans="1:26" ht="15.75" customHeight="1" x14ac:dyDescent="0.2">
      <c r="A2751" s="1"/>
      <c r="B2751" s="2" t="s">
        <v>94</v>
      </c>
      <c r="C2751" s="3" t="s">
        <v>2472</v>
      </c>
      <c r="D2751" s="3" t="s">
        <v>1598</v>
      </c>
      <c r="E2751" s="3" t="s">
        <v>306</v>
      </c>
      <c r="F2751" s="3" t="s">
        <v>2105</v>
      </c>
      <c r="G2751" s="3" t="s">
        <v>2447</v>
      </c>
      <c r="H2751" s="4"/>
      <c r="I2751" s="4">
        <f t="shared" si="263"/>
        <v>0</v>
      </c>
      <c r="J2751" s="4"/>
      <c r="K2751" s="4">
        <f t="shared" si="259"/>
        <v>0</v>
      </c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 spans="1:26" ht="15.75" customHeight="1" x14ac:dyDescent="0.2">
      <c r="A2752" s="1"/>
      <c r="B2752" s="2" t="s">
        <v>94</v>
      </c>
      <c r="C2752" s="3" t="s">
        <v>2473</v>
      </c>
      <c r="D2752" s="3" t="s">
        <v>554</v>
      </c>
      <c r="E2752" s="3" t="s">
        <v>571</v>
      </c>
      <c r="F2752" s="3" t="s">
        <v>2105</v>
      </c>
      <c r="G2752" s="3" t="s">
        <v>2447</v>
      </c>
      <c r="H2752" s="4"/>
      <c r="I2752" s="4">
        <f t="shared" si="263"/>
        <v>0</v>
      </c>
      <c r="J2752" s="4"/>
      <c r="K2752" s="4">
        <f t="shared" si="259"/>
        <v>0</v>
      </c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 spans="1:26" ht="15.75" customHeight="1" x14ac:dyDescent="0.2">
      <c r="A2753" s="1">
        <v>1617</v>
      </c>
      <c r="B2753" s="13" t="s">
        <v>264</v>
      </c>
      <c r="C2753" s="14" t="s">
        <v>2474</v>
      </c>
      <c r="D2753" s="14" t="s">
        <v>989</v>
      </c>
      <c r="E2753" s="14" t="s">
        <v>2475</v>
      </c>
      <c r="F2753" s="14" t="s">
        <v>2105</v>
      </c>
      <c r="G2753" s="14" t="s">
        <v>2447</v>
      </c>
      <c r="H2753" s="4"/>
      <c r="I2753" s="4">
        <f t="shared" ref="I2753:I2761" si="264">H2753*2300</f>
        <v>0</v>
      </c>
      <c r="J2753" s="4"/>
      <c r="K2753" s="4">
        <f t="shared" si="259"/>
        <v>0</v>
      </c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 spans="1:26" ht="15.75" customHeight="1" x14ac:dyDescent="0.2">
      <c r="A2754" s="1">
        <v>2777</v>
      </c>
      <c r="B2754" s="13" t="s">
        <v>623</v>
      </c>
      <c r="C2754" s="14" t="s">
        <v>2474</v>
      </c>
      <c r="D2754" s="14" t="s">
        <v>989</v>
      </c>
      <c r="E2754" s="14" t="s">
        <v>2475</v>
      </c>
      <c r="F2754" s="14" t="s">
        <v>2105</v>
      </c>
      <c r="G2754" s="14" t="s">
        <v>2447</v>
      </c>
      <c r="H2754" s="4"/>
      <c r="I2754" s="4">
        <f t="shared" si="264"/>
        <v>0</v>
      </c>
      <c r="J2754" s="4"/>
      <c r="K2754" s="4">
        <f t="shared" si="259"/>
        <v>0</v>
      </c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 spans="1:26" ht="15.75" customHeight="1" x14ac:dyDescent="0.2">
      <c r="A2755" s="1">
        <v>683</v>
      </c>
      <c r="B2755" s="13" t="s">
        <v>252</v>
      </c>
      <c r="C2755" s="14" t="s">
        <v>1271</v>
      </c>
      <c r="D2755" s="14" t="s">
        <v>526</v>
      </c>
      <c r="E2755" s="14" t="s">
        <v>319</v>
      </c>
      <c r="F2755" s="14" t="s">
        <v>2105</v>
      </c>
      <c r="G2755" s="14" t="s">
        <v>2447</v>
      </c>
      <c r="H2755" s="4"/>
      <c r="I2755" s="4">
        <f t="shared" si="264"/>
        <v>0</v>
      </c>
      <c r="J2755" s="4"/>
      <c r="K2755" s="4">
        <f t="shared" si="259"/>
        <v>0</v>
      </c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 spans="1:26" ht="15.75" customHeight="1" x14ac:dyDescent="0.2">
      <c r="A2756" s="1">
        <v>1537</v>
      </c>
      <c r="B2756" s="13" t="s">
        <v>263</v>
      </c>
      <c r="C2756" s="14" t="s">
        <v>1271</v>
      </c>
      <c r="D2756" s="14" t="s">
        <v>526</v>
      </c>
      <c r="E2756" s="14" t="s">
        <v>319</v>
      </c>
      <c r="F2756" s="14" t="s">
        <v>2105</v>
      </c>
      <c r="G2756" s="14" t="s">
        <v>2447</v>
      </c>
      <c r="H2756" s="4"/>
      <c r="I2756" s="4">
        <f t="shared" si="264"/>
        <v>0</v>
      </c>
      <c r="J2756" s="4"/>
      <c r="K2756" s="4">
        <f t="shared" si="259"/>
        <v>0</v>
      </c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 spans="1:26" ht="15.75" customHeight="1" x14ac:dyDescent="0.2">
      <c r="A2757" s="1">
        <v>543</v>
      </c>
      <c r="B2757" s="13" t="s">
        <v>678</v>
      </c>
      <c r="C2757" s="14" t="s">
        <v>2476</v>
      </c>
      <c r="D2757" s="14" t="s">
        <v>534</v>
      </c>
      <c r="E2757" s="14" t="s">
        <v>1083</v>
      </c>
      <c r="F2757" s="14" t="s">
        <v>2105</v>
      </c>
      <c r="G2757" s="14" t="s">
        <v>2447</v>
      </c>
      <c r="H2757" s="4"/>
      <c r="I2757" s="4">
        <f t="shared" si="264"/>
        <v>0</v>
      </c>
      <c r="J2757" s="4"/>
      <c r="K2757" s="4">
        <f t="shared" si="259"/>
        <v>0</v>
      </c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 spans="1:26" ht="15.75" customHeight="1" x14ac:dyDescent="0.2">
      <c r="A2758" s="1">
        <v>1187</v>
      </c>
      <c r="B2758" s="13" t="s">
        <v>256</v>
      </c>
      <c r="C2758" s="14" t="s">
        <v>2476</v>
      </c>
      <c r="D2758" s="14" t="s">
        <v>534</v>
      </c>
      <c r="E2758" s="14" t="s">
        <v>1083</v>
      </c>
      <c r="F2758" s="14" t="s">
        <v>2105</v>
      </c>
      <c r="G2758" s="14" t="s">
        <v>2447</v>
      </c>
      <c r="H2758" s="4"/>
      <c r="I2758" s="4">
        <f t="shared" si="264"/>
        <v>0</v>
      </c>
      <c r="J2758" s="4"/>
      <c r="K2758" s="4">
        <f t="shared" si="259"/>
        <v>0</v>
      </c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 spans="1:26" ht="15.75" customHeight="1" x14ac:dyDescent="0.2">
      <c r="A2759" s="1">
        <v>1539</v>
      </c>
      <c r="B2759" s="13" t="s">
        <v>263</v>
      </c>
      <c r="C2759" s="14" t="s">
        <v>2477</v>
      </c>
      <c r="D2759" s="14" t="s">
        <v>2478</v>
      </c>
      <c r="E2759" s="14" t="s">
        <v>18</v>
      </c>
      <c r="F2759" s="14" t="s">
        <v>2105</v>
      </c>
      <c r="G2759" s="14" t="s">
        <v>2447</v>
      </c>
      <c r="H2759" s="4"/>
      <c r="I2759" s="4">
        <f t="shared" si="264"/>
        <v>0</v>
      </c>
      <c r="J2759" s="4"/>
      <c r="K2759" s="4">
        <f t="shared" si="259"/>
        <v>0</v>
      </c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 spans="1:26" ht="15.75" customHeight="1" x14ac:dyDescent="0.2">
      <c r="A2760" s="1">
        <v>2599</v>
      </c>
      <c r="B2760" s="13" t="s">
        <v>287</v>
      </c>
      <c r="C2760" s="14" t="s">
        <v>2477</v>
      </c>
      <c r="D2760" s="14" t="s">
        <v>2478</v>
      </c>
      <c r="E2760" s="14" t="s">
        <v>18</v>
      </c>
      <c r="F2760" s="14" t="s">
        <v>2105</v>
      </c>
      <c r="G2760" s="14" t="s">
        <v>2447</v>
      </c>
      <c r="H2760" s="4"/>
      <c r="I2760" s="4">
        <f t="shared" si="264"/>
        <v>0</v>
      </c>
      <c r="J2760" s="4"/>
      <c r="K2760" s="4">
        <f t="shared" si="259"/>
        <v>0</v>
      </c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 spans="1:26" ht="15.75" customHeight="1" x14ac:dyDescent="0.2">
      <c r="A2761" s="1">
        <v>411</v>
      </c>
      <c r="B2761" s="13" t="s">
        <v>1299</v>
      </c>
      <c r="C2761" s="14" t="s">
        <v>2479</v>
      </c>
      <c r="D2761" s="14" t="s">
        <v>124</v>
      </c>
      <c r="E2761" s="14" t="s">
        <v>129</v>
      </c>
      <c r="F2761" s="14" t="s">
        <v>2105</v>
      </c>
      <c r="G2761" s="14" t="s">
        <v>2447</v>
      </c>
      <c r="H2761" s="4"/>
      <c r="I2761" s="4">
        <f t="shared" si="264"/>
        <v>0</v>
      </c>
      <c r="J2761" s="4"/>
      <c r="K2761" s="4">
        <f t="shared" si="259"/>
        <v>0</v>
      </c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 spans="1:26" ht="15.75" customHeight="1" x14ac:dyDescent="0.2">
      <c r="A2762" s="1"/>
      <c r="B2762" s="2" t="s">
        <v>118</v>
      </c>
      <c r="C2762" s="3" t="s">
        <v>2480</v>
      </c>
      <c r="D2762" s="3" t="s">
        <v>64</v>
      </c>
      <c r="E2762" s="3" t="s">
        <v>273</v>
      </c>
      <c r="F2762" s="3" t="s">
        <v>2105</v>
      </c>
      <c r="G2762" s="3" t="s">
        <v>2447</v>
      </c>
      <c r="H2762" s="4"/>
      <c r="I2762" s="4">
        <f t="shared" ref="I2762:I2764" si="265">H2762*1800</f>
        <v>0</v>
      </c>
      <c r="J2762" s="4"/>
      <c r="K2762" s="4">
        <f t="shared" si="259"/>
        <v>0</v>
      </c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 spans="1:26" ht="15.75" customHeight="1" x14ac:dyDescent="0.2">
      <c r="A2763" s="1"/>
      <c r="B2763" s="2" t="s">
        <v>548</v>
      </c>
      <c r="C2763" s="3" t="s">
        <v>2480</v>
      </c>
      <c r="D2763" s="3" t="s">
        <v>64</v>
      </c>
      <c r="E2763" s="3" t="s">
        <v>273</v>
      </c>
      <c r="F2763" s="3" t="s">
        <v>2105</v>
      </c>
      <c r="G2763" s="3" t="s">
        <v>2447</v>
      </c>
      <c r="H2763" s="4"/>
      <c r="I2763" s="4">
        <f t="shared" si="265"/>
        <v>0</v>
      </c>
      <c r="J2763" s="4"/>
      <c r="K2763" s="4">
        <f t="shared" si="259"/>
        <v>0</v>
      </c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 spans="1:26" ht="15.75" customHeight="1" x14ac:dyDescent="0.2">
      <c r="A2764" s="1"/>
      <c r="B2764" s="2" t="s">
        <v>94</v>
      </c>
      <c r="C2764" s="3" t="s">
        <v>2480</v>
      </c>
      <c r="D2764" s="3" t="s">
        <v>64</v>
      </c>
      <c r="E2764" s="3" t="s">
        <v>273</v>
      </c>
      <c r="F2764" s="3" t="s">
        <v>2105</v>
      </c>
      <c r="G2764" s="3" t="s">
        <v>2447</v>
      </c>
      <c r="H2764" s="4"/>
      <c r="I2764" s="4">
        <f t="shared" si="265"/>
        <v>0</v>
      </c>
      <c r="J2764" s="4"/>
      <c r="K2764" s="4">
        <f t="shared" si="259"/>
        <v>0</v>
      </c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 spans="1:26" ht="15.75" customHeight="1" x14ac:dyDescent="0.2">
      <c r="A2765" s="1">
        <v>2873</v>
      </c>
      <c r="B2765" s="13" t="s">
        <v>519</v>
      </c>
      <c r="C2765" s="14" t="s">
        <v>2481</v>
      </c>
      <c r="D2765" s="14" t="s">
        <v>2482</v>
      </c>
      <c r="E2765" s="14" t="s">
        <v>259</v>
      </c>
      <c r="F2765" s="14" t="s">
        <v>2105</v>
      </c>
      <c r="G2765" s="14" t="s">
        <v>2447</v>
      </c>
      <c r="H2765" s="4"/>
      <c r="I2765" s="4">
        <f>H2765*2300</f>
        <v>0</v>
      </c>
      <c r="J2765" s="4"/>
      <c r="K2765" s="4">
        <f t="shared" si="259"/>
        <v>0</v>
      </c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 spans="1:26" ht="15.75" customHeight="1" x14ac:dyDescent="0.2">
      <c r="A2766" s="1"/>
      <c r="B2766" s="2" t="s">
        <v>232</v>
      </c>
      <c r="C2766" s="3" t="s">
        <v>2483</v>
      </c>
      <c r="D2766" s="3" t="s">
        <v>116</v>
      </c>
      <c r="E2766" s="3" t="s">
        <v>87</v>
      </c>
      <c r="F2766" s="3" t="s">
        <v>2105</v>
      </c>
      <c r="G2766" s="3" t="s">
        <v>2447</v>
      </c>
      <c r="H2766" s="4"/>
      <c r="I2766" s="4">
        <f t="shared" ref="I2766:I2768" si="266">H2766*1800</f>
        <v>0</v>
      </c>
      <c r="J2766" s="4"/>
      <c r="K2766" s="4">
        <f t="shared" si="259"/>
        <v>0</v>
      </c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 spans="1:26" ht="15.75" customHeight="1" x14ac:dyDescent="0.2">
      <c r="A2767" s="1"/>
      <c r="B2767" s="2" t="s">
        <v>108</v>
      </c>
      <c r="C2767" s="3" t="s">
        <v>2483</v>
      </c>
      <c r="D2767" s="3" t="s">
        <v>116</v>
      </c>
      <c r="E2767" s="3" t="s">
        <v>87</v>
      </c>
      <c r="F2767" s="3" t="s">
        <v>2105</v>
      </c>
      <c r="G2767" s="3" t="s">
        <v>2447</v>
      </c>
      <c r="H2767" s="4"/>
      <c r="I2767" s="4">
        <f t="shared" si="266"/>
        <v>0</v>
      </c>
      <c r="J2767" s="4"/>
      <c r="K2767" s="4">
        <f t="shared" si="259"/>
        <v>0</v>
      </c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 spans="1:26" ht="15.75" customHeight="1" x14ac:dyDescent="0.2">
      <c r="A2768" s="1"/>
      <c r="B2768" s="2" t="s">
        <v>421</v>
      </c>
      <c r="C2768" s="3" t="s">
        <v>2483</v>
      </c>
      <c r="D2768" s="3" t="s">
        <v>139</v>
      </c>
      <c r="E2768" s="3" t="s">
        <v>87</v>
      </c>
      <c r="F2768" s="3" t="s">
        <v>2105</v>
      </c>
      <c r="G2768" s="3" t="s">
        <v>2447</v>
      </c>
      <c r="H2768" s="4"/>
      <c r="I2768" s="4">
        <f t="shared" si="266"/>
        <v>0</v>
      </c>
      <c r="J2768" s="4"/>
      <c r="K2768" s="4">
        <f t="shared" si="259"/>
        <v>0</v>
      </c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 spans="1:26" ht="15.75" customHeight="1" x14ac:dyDescent="0.2">
      <c r="A2769" s="1">
        <v>413</v>
      </c>
      <c r="B2769" s="13" t="s">
        <v>1299</v>
      </c>
      <c r="C2769" s="14" t="s">
        <v>1315</v>
      </c>
      <c r="D2769" s="14" t="s">
        <v>78</v>
      </c>
      <c r="E2769" s="14" t="s">
        <v>337</v>
      </c>
      <c r="F2769" s="14" t="s">
        <v>2105</v>
      </c>
      <c r="G2769" s="14" t="s">
        <v>2447</v>
      </c>
      <c r="H2769" s="4"/>
      <c r="I2769" s="4">
        <f t="shared" ref="I2769:I2770" si="267">H2769*2300</f>
        <v>0</v>
      </c>
      <c r="J2769" s="4"/>
      <c r="K2769" s="4">
        <f t="shared" si="259"/>
        <v>0</v>
      </c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 spans="1:26" ht="15.75" customHeight="1" x14ac:dyDescent="0.2">
      <c r="A2770" s="1">
        <v>1647</v>
      </c>
      <c r="B2770" s="13" t="s">
        <v>267</v>
      </c>
      <c r="C2770" s="14" t="s">
        <v>1315</v>
      </c>
      <c r="D2770" s="14" t="s">
        <v>78</v>
      </c>
      <c r="E2770" s="14" t="s">
        <v>337</v>
      </c>
      <c r="F2770" s="14" t="s">
        <v>2105</v>
      </c>
      <c r="G2770" s="14" t="s">
        <v>2447</v>
      </c>
      <c r="H2770" s="4"/>
      <c r="I2770" s="4">
        <f t="shared" si="267"/>
        <v>0</v>
      </c>
      <c r="J2770" s="4"/>
      <c r="K2770" s="4">
        <f t="shared" si="259"/>
        <v>0</v>
      </c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 spans="1:26" ht="15.75" customHeight="1" x14ac:dyDescent="0.2">
      <c r="A2771" s="1"/>
      <c r="B2771" s="2" t="s">
        <v>548</v>
      </c>
      <c r="C2771" s="3" t="s">
        <v>440</v>
      </c>
      <c r="D2771" s="3" t="s">
        <v>183</v>
      </c>
      <c r="E2771" s="3" t="s">
        <v>87</v>
      </c>
      <c r="F2771" s="3" t="s">
        <v>2105</v>
      </c>
      <c r="G2771" s="3" t="s">
        <v>2447</v>
      </c>
      <c r="H2771" s="4"/>
      <c r="I2771" s="4">
        <f t="shared" ref="I2771:I2772" si="268">H2771*1800</f>
        <v>0</v>
      </c>
      <c r="J2771" s="4"/>
      <c r="K2771" s="4">
        <f t="shared" si="259"/>
        <v>0</v>
      </c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 spans="1:26" ht="15.75" customHeight="1" x14ac:dyDescent="0.2">
      <c r="A2772" s="1"/>
      <c r="B2772" s="2" t="s">
        <v>94</v>
      </c>
      <c r="C2772" s="3" t="s">
        <v>440</v>
      </c>
      <c r="D2772" s="3" t="s">
        <v>183</v>
      </c>
      <c r="E2772" s="3" t="s">
        <v>87</v>
      </c>
      <c r="F2772" s="3" t="s">
        <v>2105</v>
      </c>
      <c r="G2772" s="3" t="s">
        <v>2447</v>
      </c>
      <c r="H2772" s="4"/>
      <c r="I2772" s="4">
        <f t="shared" si="268"/>
        <v>0</v>
      </c>
      <c r="J2772" s="4"/>
      <c r="K2772" s="4">
        <f t="shared" si="259"/>
        <v>0</v>
      </c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 spans="1:26" ht="15.75" customHeight="1" x14ac:dyDescent="0.2">
      <c r="A2773" s="1">
        <v>545</v>
      </c>
      <c r="B2773" s="13" t="s">
        <v>678</v>
      </c>
      <c r="C2773" s="14" t="s">
        <v>2484</v>
      </c>
      <c r="D2773" s="14" t="s">
        <v>353</v>
      </c>
      <c r="E2773" s="14" t="s">
        <v>18</v>
      </c>
      <c r="F2773" s="14" t="s">
        <v>2105</v>
      </c>
      <c r="G2773" s="14" t="s">
        <v>2447</v>
      </c>
      <c r="H2773" s="4"/>
      <c r="I2773" s="4">
        <f t="shared" ref="I2773:I2774" si="269">H2773*2300</f>
        <v>0</v>
      </c>
      <c r="J2773" s="4"/>
      <c r="K2773" s="4">
        <f t="shared" si="259"/>
        <v>0</v>
      </c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 spans="1:26" ht="15.75" customHeight="1" x14ac:dyDescent="0.2">
      <c r="A2774" s="1">
        <v>1165</v>
      </c>
      <c r="B2774" s="13" t="s">
        <v>433</v>
      </c>
      <c r="C2774" s="14" t="s">
        <v>2484</v>
      </c>
      <c r="D2774" s="14" t="s">
        <v>353</v>
      </c>
      <c r="E2774" s="14" t="s">
        <v>18</v>
      </c>
      <c r="F2774" s="14" t="s">
        <v>2105</v>
      </c>
      <c r="G2774" s="14" t="s">
        <v>2447</v>
      </c>
      <c r="H2774" s="4"/>
      <c r="I2774" s="4">
        <f t="shared" si="269"/>
        <v>0</v>
      </c>
      <c r="J2774" s="4"/>
      <c r="K2774" s="4">
        <f t="shared" si="259"/>
        <v>0</v>
      </c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 spans="1:26" ht="15.75" customHeight="1" x14ac:dyDescent="0.2">
      <c r="A2775" s="1"/>
      <c r="B2775" s="2" t="s">
        <v>296</v>
      </c>
      <c r="C2775" s="3" t="s">
        <v>2485</v>
      </c>
      <c r="D2775" s="3" t="s">
        <v>593</v>
      </c>
      <c r="E2775" s="3" t="s">
        <v>596</v>
      </c>
      <c r="F2775" s="3" t="s">
        <v>2105</v>
      </c>
      <c r="G2775" s="3" t="s">
        <v>2447</v>
      </c>
      <c r="H2775" s="4"/>
      <c r="I2775" s="4">
        <f t="shared" ref="I2775:I2778" si="270">H2775*1800</f>
        <v>0</v>
      </c>
      <c r="J2775" s="4"/>
      <c r="K2775" s="4">
        <f t="shared" si="259"/>
        <v>0</v>
      </c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 spans="1:26" ht="15.75" customHeight="1" x14ac:dyDescent="0.2">
      <c r="A2776" s="1"/>
      <c r="B2776" s="2" t="s">
        <v>108</v>
      </c>
      <c r="C2776" s="3" t="s">
        <v>2485</v>
      </c>
      <c r="D2776" s="3" t="s">
        <v>593</v>
      </c>
      <c r="E2776" s="3" t="s">
        <v>596</v>
      </c>
      <c r="F2776" s="3" t="s">
        <v>2105</v>
      </c>
      <c r="G2776" s="3" t="s">
        <v>2447</v>
      </c>
      <c r="H2776" s="4"/>
      <c r="I2776" s="4">
        <f t="shared" si="270"/>
        <v>0</v>
      </c>
      <c r="J2776" s="4"/>
      <c r="K2776" s="4">
        <f t="shared" si="259"/>
        <v>0</v>
      </c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 spans="1:26" ht="15.75" customHeight="1" x14ac:dyDescent="0.2">
      <c r="A2777" s="1"/>
      <c r="B2777" s="2" t="s">
        <v>548</v>
      </c>
      <c r="C2777" s="3" t="s">
        <v>2485</v>
      </c>
      <c r="D2777" s="3" t="s">
        <v>593</v>
      </c>
      <c r="E2777" s="3" t="s">
        <v>596</v>
      </c>
      <c r="F2777" s="3" t="s">
        <v>2105</v>
      </c>
      <c r="G2777" s="3" t="s">
        <v>2447</v>
      </c>
      <c r="H2777" s="4"/>
      <c r="I2777" s="4">
        <f t="shared" si="270"/>
        <v>0</v>
      </c>
      <c r="J2777" s="4"/>
      <c r="K2777" s="4">
        <f t="shared" si="259"/>
        <v>0</v>
      </c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 spans="1:26" ht="15.75" customHeight="1" x14ac:dyDescent="0.2">
      <c r="A2778" s="1"/>
      <c r="B2778" s="2" t="s">
        <v>94</v>
      </c>
      <c r="C2778" s="3" t="s">
        <v>2485</v>
      </c>
      <c r="D2778" s="3" t="s">
        <v>593</v>
      </c>
      <c r="E2778" s="3" t="s">
        <v>596</v>
      </c>
      <c r="F2778" s="3" t="s">
        <v>2105</v>
      </c>
      <c r="G2778" s="3" t="s">
        <v>2447</v>
      </c>
      <c r="H2778" s="4"/>
      <c r="I2778" s="4">
        <f t="shared" si="270"/>
        <v>0</v>
      </c>
      <c r="J2778" s="4"/>
      <c r="K2778" s="4">
        <f t="shared" si="259"/>
        <v>0</v>
      </c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 spans="1:26" ht="15.75" customHeight="1" x14ac:dyDescent="0.2">
      <c r="A2779" s="1">
        <v>415</v>
      </c>
      <c r="B2779" s="13" t="s">
        <v>1299</v>
      </c>
      <c r="C2779" s="14" t="s">
        <v>2486</v>
      </c>
      <c r="D2779" s="14" t="s">
        <v>124</v>
      </c>
      <c r="E2779" s="14" t="s">
        <v>273</v>
      </c>
      <c r="F2779" s="14" t="s">
        <v>2105</v>
      </c>
      <c r="G2779" s="14" t="s">
        <v>2447</v>
      </c>
      <c r="H2779" s="4"/>
      <c r="I2779" s="4">
        <f t="shared" ref="I2779:I2785" si="271">H2779*2300</f>
        <v>0</v>
      </c>
      <c r="J2779" s="4"/>
      <c r="K2779" s="4">
        <f t="shared" si="259"/>
        <v>0</v>
      </c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 spans="1:26" ht="15.75" customHeight="1" x14ac:dyDescent="0.2">
      <c r="A2780" s="1">
        <v>2905</v>
      </c>
      <c r="B2780" s="13" t="s">
        <v>1133</v>
      </c>
      <c r="C2780" s="14" t="s">
        <v>2486</v>
      </c>
      <c r="D2780" s="14" t="s">
        <v>124</v>
      </c>
      <c r="E2780" s="14" t="s">
        <v>273</v>
      </c>
      <c r="F2780" s="14" t="s">
        <v>2105</v>
      </c>
      <c r="G2780" s="14" t="s">
        <v>2447</v>
      </c>
      <c r="H2780" s="4"/>
      <c r="I2780" s="4">
        <f t="shared" si="271"/>
        <v>0</v>
      </c>
      <c r="J2780" s="4"/>
      <c r="K2780" s="4">
        <f t="shared" si="259"/>
        <v>0</v>
      </c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 spans="1:26" ht="15.75" customHeight="1" x14ac:dyDescent="0.2">
      <c r="A2781" s="1">
        <v>547</v>
      </c>
      <c r="B2781" s="13" t="s">
        <v>678</v>
      </c>
      <c r="C2781" s="14" t="s">
        <v>2487</v>
      </c>
      <c r="D2781" s="14" t="s">
        <v>593</v>
      </c>
      <c r="E2781" s="14" t="s">
        <v>1065</v>
      </c>
      <c r="F2781" s="14" t="s">
        <v>2105</v>
      </c>
      <c r="G2781" s="14" t="s">
        <v>2447</v>
      </c>
      <c r="H2781" s="4"/>
      <c r="I2781" s="4">
        <f t="shared" si="271"/>
        <v>0</v>
      </c>
      <c r="J2781" s="4"/>
      <c r="K2781" s="4">
        <f t="shared" si="259"/>
        <v>0</v>
      </c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 spans="1:26" ht="15.75" customHeight="1" x14ac:dyDescent="0.2">
      <c r="A2782" s="1">
        <v>1119</v>
      </c>
      <c r="B2782" s="13" t="s">
        <v>1344</v>
      </c>
      <c r="C2782" s="14" t="s">
        <v>2487</v>
      </c>
      <c r="D2782" s="14" t="s">
        <v>593</v>
      </c>
      <c r="E2782" s="14" t="s">
        <v>1065</v>
      </c>
      <c r="F2782" s="14" t="s">
        <v>2105</v>
      </c>
      <c r="G2782" s="14" t="s">
        <v>2447</v>
      </c>
      <c r="H2782" s="4"/>
      <c r="I2782" s="4">
        <f t="shared" si="271"/>
        <v>0</v>
      </c>
      <c r="J2782" s="4"/>
      <c r="K2782" s="4">
        <f t="shared" si="259"/>
        <v>0</v>
      </c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 spans="1:26" ht="15.75" customHeight="1" x14ac:dyDescent="0.2">
      <c r="A2783" s="1">
        <v>77</v>
      </c>
      <c r="B2783" s="13" t="s">
        <v>1301</v>
      </c>
      <c r="C2783" s="14" t="s">
        <v>2488</v>
      </c>
      <c r="D2783" s="14" t="s">
        <v>871</v>
      </c>
      <c r="E2783" s="14" t="s">
        <v>129</v>
      </c>
      <c r="F2783" s="14" t="s">
        <v>2105</v>
      </c>
      <c r="G2783" s="14" t="s">
        <v>2447</v>
      </c>
      <c r="H2783" s="4">
        <v>30</v>
      </c>
      <c r="I2783" s="4">
        <f t="shared" si="271"/>
        <v>69000</v>
      </c>
      <c r="J2783" s="4"/>
      <c r="K2783" s="4">
        <f t="shared" si="259"/>
        <v>0</v>
      </c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 spans="1:26" ht="15.75" customHeight="1" x14ac:dyDescent="0.2">
      <c r="A2784" s="1">
        <v>945</v>
      </c>
      <c r="B2784" s="13" t="s">
        <v>709</v>
      </c>
      <c r="C2784" s="14" t="s">
        <v>2488</v>
      </c>
      <c r="D2784" s="14" t="s">
        <v>871</v>
      </c>
      <c r="E2784" s="14" t="s">
        <v>129</v>
      </c>
      <c r="F2784" s="14" t="s">
        <v>2105</v>
      </c>
      <c r="G2784" s="14" t="s">
        <v>2447</v>
      </c>
      <c r="H2784" s="4"/>
      <c r="I2784" s="4">
        <f t="shared" si="271"/>
        <v>0</v>
      </c>
      <c r="J2784" s="4"/>
      <c r="K2784" s="4">
        <f t="shared" si="259"/>
        <v>0</v>
      </c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 spans="1:26" ht="15.75" customHeight="1" x14ac:dyDescent="0.2">
      <c r="A2785" s="1">
        <v>2047</v>
      </c>
      <c r="B2785" s="13" t="s">
        <v>701</v>
      </c>
      <c r="C2785" s="14" t="s">
        <v>2488</v>
      </c>
      <c r="D2785" s="14" t="s">
        <v>871</v>
      </c>
      <c r="E2785" s="14" t="s">
        <v>129</v>
      </c>
      <c r="F2785" s="14" t="s">
        <v>2105</v>
      </c>
      <c r="G2785" s="14" t="s">
        <v>2447</v>
      </c>
      <c r="H2785" s="4"/>
      <c r="I2785" s="4">
        <f t="shared" si="271"/>
        <v>0</v>
      </c>
      <c r="J2785" s="4"/>
      <c r="K2785" s="4">
        <f t="shared" si="259"/>
        <v>0</v>
      </c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 spans="1:26" ht="15.75" customHeight="1" x14ac:dyDescent="0.2">
      <c r="A2786" s="1"/>
      <c r="B2786" s="2" t="s">
        <v>94</v>
      </c>
      <c r="C2786" s="3" t="s">
        <v>2488</v>
      </c>
      <c r="D2786" s="3" t="s">
        <v>236</v>
      </c>
      <c r="E2786" s="3" t="s">
        <v>129</v>
      </c>
      <c r="F2786" s="3" t="s">
        <v>2105</v>
      </c>
      <c r="G2786" s="3" t="s">
        <v>2447</v>
      </c>
      <c r="H2786" s="4"/>
      <c r="I2786" s="4">
        <f t="shared" ref="I2786:I2791" si="272">H2786*1800</f>
        <v>0</v>
      </c>
      <c r="J2786" s="4"/>
      <c r="K2786" s="4">
        <f t="shared" si="259"/>
        <v>0</v>
      </c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 spans="1:26" ht="15.75" customHeight="1" x14ac:dyDescent="0.2">
      <c r="A2787" s="1"/>
      <c r="B2787" s="2" t="s">
        <v>303</v>
      </c>
      <c r="C2787" s="3" t="s">
        <v>1478</v>
      </c>
      <c r="D2787" s="3" t="s">
        <v>697</v>
      </c>
      <c r="E2787" s="3" t="s">
        <v>40</v>
      </c>
      <c r="F2787" s="3" t="s">
        <v>2105</v>
      </c>
      <c r="G2787" s="3" t="s">
        <v>2447</v>
      </c>
      <c r="H2787" s="4"/>
      <c r="I2787" s="4">
        <f t="shared" si="272"/>
        <v>0</v>
      </c>
      <c r="J2787" s="4"/>
      <c r="K2787" s="4">
        <f t="shared" si="259"/>
        <v>0</v>
      </c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 spans="1:26" ht="15.75" customHeight="1" x14ac:dyDescent="0.2">
      <c r="A2788" s="1"/>
      <c r="B2788" s="2" t="s">
        <v>94</v>
      </c>
      <c r="C2788" s="3" t="s">
        <v>1478</v>
      </c>
      <c r="D2788" s="3" t="s">
        <v>697</v>
      </c>
      <c r="E2788" s="3" t="s">
        <v>40</v>
      </c>
      <c r="F2788" s="3" t="s">
        <v>2105</v>
      </c>
      <c r="G2788" s="3" t="s">
        <v>2447</v>
      </c>
      <c r="H2788" s="4"/>
      <c r="I2788" s="4">
        <f t="shared" si="272"/>
        <v>0</v>
      </c>
      <c r="J2788" s="4"/>
      <c r="K2788" s="4">
        <f t="shared" si="259"/>
        <v>0</v>
      </c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 spans="1:26" ht="15.75" customHeight="1" x14ac:dyDescent="0.2">
      <c r="A2789" s="1"/>
      <c r="B2789" s="2" t="s">
        <v>316</v>
      </c>
      <c r="C2789" s="3" t="s">
        <v>1181</v>
      </c>
      <c r="D2789" s="3" t="s">
        <v>353</v>
      </c>
      <c r="E2789" s="3" t="s">
        <v>259</v>
      </c>
      <c r="F2789" s="3" t="s">
        <v>2105</v>
      </c>
      <c r="G2789" s="3" t="s">
        <v>2447</v>
      </c>
      <c r="H2789" s="4"/>
      <c r="I2789" s="4">
        <f t="shared" si="272"/>
        <v>0</v>
      </c>
      <c r="J2789" s="4"/>
      <c r="K2789" s="4">
        <f t="shared" si="259"/>
        <v>0</v>
      </c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 spans="1:26" ht="15.75" customHeight="1" x14ac:dyDescent="0.2">
      <c r="A2790" s="1"/>
      <c r="B2790" s="2" t="s">
        <v>303</v>
      </c>
      <c r="C2790" s="3" t="s">
        <v>1181</v>
      </c>
      <c r="D2790" s="3" t="s">
        <v>353</v>
      </c>
      <c r="E2790" s="3" t="s">
        <v>259</v>
      </c>
      <c r="F2790" s="3" t="s">
        <v>2105</v>
      </c>
      <c r="G2790" s="3" t="s">
        <v>2447</v>
      </c>
      <c r="H2790" s="4"/>
      <c r="I2790" s="4">
        <f t="shared" si="272"/>
        <v>0</v>
      </c>
      <c r="J2790" s="4"/>
      <c r="K2790" s="4">
        <f t="shared" si="259"/>
        <v>0</v>
      </c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 spans="1:26" ht="15.75" customHeight="1" x14ac:dyDescent="0.2">
      <c r="A2791" s="1"/>
      <c r="B2791" s="2" t="s">
        <v>94</v>
      </c>
      <c r="C2791" s="3" t="s">
        <v>1181</v>
      </c>
      <c r="D2791" s="3" t="s">
        <v>353</v>
      </c>
      <c r="E2791" s="3" t="s">
        <v>259</v>
      </c>
      <c r="F2791" s="3" t="s">
        <v>2105</v>
      </c>
      <c r="G2791" s="3" t="s">
        <v>2447</v>
      </c>
      <c r="H2791" s="4"/>
      <c r="I2791" s="4">
        <f t="shared" si="272"/>
        <v>0</v>
      </c>
      <c r="J2791" s="4"/>
      <c r="K2791" s="4">
        <f t="shared" si="259"/>
        <v>0</v>
      </c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 spans="1:26" ht="15.75" customHeight="1" x14ac:dyDescent="0.2">
      <c r="A2792" s="1"/>
      <c r="B2792" s="4" t="s">
        <v>2489</v>
      </c>
      <c r="C2792" s="2" t="s">
        <v>2490</v>
      </c>
      <c r="D2792" s="3" t="s">
        <v>526</v>
      </c>
      <c r="E2792" s="3"/>
      <c r="F2792" s="3" t="s">
        <v>2105</v>
      </c>
      <c r="G2792" s="3" t="s">
        <v>2447</v>
      </c>
      <c r="H2792" s="4">
        <v>1</v>
      </c>
      <c r="I2792" s="4"/>
      <c r="J2792" s="4"/>
      <c r="K2792" s="4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 spans="1:26" ht="15.75" customHeight="1" x14ac:dyDescent="0.2">
      <c r="A2793" s="1"/>
      <c r="B2793" s="2" t="s">
        <v>102</v>
      </c>
      <c r="C2793" s="3" t="s">
        <v>2127</v>
      </c>
      <c r="D2793" s="3" t="s">
        <v>73</v>
      </c>
      <c r="E2793" s="3" t="s">
        <v>2491</v>
      </c>
      <c r="F2793" s="3" t="s">
        <v>2492</v>
      </c>
      <c r="G2793" s="3" t="s">
        <v>2447</v>
      </c>
      <c r="H2793" s="4"/>
      <c r="I2793" s="4">
        <f t="shared" ref="I2793:I2796" si="273">H2793*1800</f>
        <v>0</v>
      </c>
      <c r="J2793" s="4"/>
      <c r="K2793" s="4">
        <f t="shared" ref="K2793:K2950" si="274">J2793*4000</f>
        <v>0</v>
      </c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 spans="1:26" ht="15.75" customHeight="1" x14ac:dyDescent="0.2">
      <c r="A2794" s="1"/>
      <c r="B2794" s="2" t="s">
        <v>108</v>
      </c>
      <c r="C2794" s="3" t="s">
        <v>2127</v>
      </c>
      <c r="D2794" s="3" t="s">
        <v>73</v>
      </c>
      <c r="E2794" s="3" t="s">
        <v>2491</v>
      </c>
      <c r="F2794" s="3" t="s">
        <v>2492</v>
      </c>
      <c r="G2794" s="3" t="s">
        <v>2447</v>
      </c>
      <c r="H2794" s="4"/>
      <c r="I2794" s="4">
        <f t="shared" si="273"/>
        <v>0</v>
      </c>
      <c r="J2794" s="4"/>
      <c r="K2794" s="4">
        <f t="shared" si="274"/>
        <v>0</v>
      </c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 spans="1:26" ht="15.75" customHeight="1" x14ac:dyDescent="0.2">
      <c r="A2795" s="1"/>
      <c r="B2795" s="2" t="s">
        <v>307</v>
      </c>
      <c r="C2795" s="3" t="s">
        <v>2493</v>
      </c>
      <c r="D2795" s="3" t="s">
        <v>554</v>
      </c>
      <c r="E2795" s="3" t="s">
        <v>306</v>
      </c>
      <c r="F2795" s="3" t="s">
        <v>2492</v>
      </c>
      <c r="G2795" s="3" t="s">
        <v>2447</v>
      </c>
      <c r="H2795" s="4"/>
      <c r="I2795" s="4">
        <f t="shared" si="273"/>
        <v>0</v>
      </c>
      <c r="J2795" s="4"/>
      <c r="K2795" s="4">
        <f t="shared" si="274"/>
        <v>0</v>
      </c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 spans="1:26" ht="15.75" customHeight="1" x14ac:dyDescent="0.2">
      <c r="A2796" s="1"/>
      <c r="B2796" s="2" t="s">
        <v>311</v>
      </c>
      <c r="C2796" s="3" t="s">
        <v>2493</v>
      </c>
      <c r="D2796" s="3" t="s">
        <v>554</v>
      </c>
      <c r="E2796" s="3" t="s">
        <v>306</v>
      </c>
      <c r="F2796" s="3" t="s">
        <v>2492</v>
      </c>
      <c r="G2796" s="3" t="s">
        <v>2447</v>
      </c>
      <c r="H2796" s="4"/>
      <c r="I2796" s="4">
        <f t="shared" si="273"/>
        <v>0</v>
      </c>
      <c r="J2796" s="4"/>
      <c r="K2796" s="4">
        <f t="shared" si="274"/>
        <v>0</v>
      </c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 spans="1:26" ht="15.75" customHeight="1" x14ac:dyDescent="0.2">
      <c r="A2797" s="1">
        <v>651</v>
      </c>
      <c r="B2797" s="13" t="s">
        <v>248</v>
      </c>
      <c r="C2797" s="14" t="s">
        <v>1564</v>
      </c>
      <c r="D2797" s="14" t="s">
        <v>1171</v>
      </c>
      <c r="E2797" s="14" t="s">
        <v>251</v>
      </c>
      <c r="F2797" s="14" t="s">
        <v>2492</v>
      </c>
      <c r="G2797" s="14" t="s">
        <v>2447</v>
      </c>
      <c r="H2797" s="4"/>
      <c r="I2797" s="4">
        <f>H2797*2300</f>
        <v>0</v>
      </c>
      <c r="J2797" s="4"/>
      <c r="K2797" s="4">
        <f t="shared" si="274"/>
        <v>0</v>
      </c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 spans="1:26" ht="15.75" customHeight="1" x14ac:dyDescent="0.2">
      <c r="A2798" s="1"/>
      <c r="B2798" s="2" t="s">
        <v>126</v>
      </c>
      <c r="C2798" s="3" t="s">
        <v>1564</v>
      </c>
      <c r="D2798" s="3" t="s">
        <v>680</v>
      </c>
      <c r="E2798" s="3" t="s">
        <v>251</v>
      </c>
      <c r="F2798" s="3" t="s">
        <v>2492</v>
      </c>
      <c r="G2798" s="3" t="s">
        <v>2447</v>
      </c>
      <c r="H2798" s="4"/>
      <c r="I2798" s="4">
        <f t="shared" ref="I2798:I2803" si="275">H2798*1800</f>
        <v>0</v>
      </c>
      <c r="J2798" s="4"/>
      <c r="K2798" s="4">
        <f t="shared" si="274"/>
        <v>0</v>
      </c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 spans="1:26" ht="15.75" customHeight="1" x14ac:dyDescent="0.2">
      <c r="A2799" s="1"/>
      <c r="B2799" s="2" t="s">
        <v>94</v>
      </c>
      <c r="C2799" s="3" t="s">
        <v>1564</v>
      </c>
      <c r="D2799" s="3" t="s">
        <v>680</v>
      </c>
      <c r="E2799" s="3" t="s">
        <v>251</v>
      </c>
      <c r="F2799" s="3" t="s">
        <v>2492</v>
      </c>
      <c r="G2799" s="3" t="s">
        <v>2447</v>
      </c>
      <c r="H2799" s="4"/>
      <c r="I2799" s="4">
        <f t="shared" si="275"/>
        <v>0</v>
      </c>
      <c r="J2799" s="4"/>
      <c r="K2799" s="4">
        <f t="shared" si="274"/>
        <v>0</v>
      </c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 spans="1:26" ht="15.75" customHeight="1" x14ac:dyDescent="0.2">
      <c r="A2800" s="1"/>
      <c r="B2800" s="2" t="s">
        <v>297</v>
      </c>
      <c r="C2800" s="3" t="s">
        <v>2494</v>
      </c>
      <c r="D2800" s="3" t="s">
        <v>506</v>
      </c>
      <c r="E2800" s="3" t="s">
        <v>306</v>
      </c>
      <c r="F2800" s="3" t="s">
        <v>2492</v>
      </c>
      <c r="G2800" s="3" t="s">
        <v>2447</v>
      </c>
      <c r="H2800" s="4"/>
      <c r="I2800" s="4">
        <f t="shared" si="275"/>
        <v>0</v>
      </c>
      <c r="J2800" s="4"/>
      <c r="K2800" s="4">
        <f t="shared" si="274"/>
        <v>0</v>
      </c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 spans="1:26" ht="15.75" customHeight="1" x14ac:dyDescent="0.2">
      <c r="A2801" s="1"/>
      <c r="B2801" s="2" t="s">
        <v>300</v>
      </c>
      <c r="C2801" s="3" t="s">
        <v>2494</v>
      </c>
      <c r="D2801" s="3" t="s">
        <v>506</v>
      </c>
      <c r="E2801" s="3" t="s">
        <v>306</v>
      </c>
      <c r="F2801" s="3" t="s">
        <v>2492</v>
      </c>
      <c r="G2801" s="3" t="s">
        <v>2447</v>
      </c>
      <c r="H2801" s="4"/>
      <c r="I2801" s="4">
        <f t="shared" si="275"/>
        <v>0</v>
      </c>
      <c r="J2801" s="4"/>
      <c r="K2801" s="4">
        <f t="shared" si="274"/>
        <v>0</v>
      </c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 spans="1:26" ht="15.75" customHeight="1" x14ac:dyDescent="0.2">
      <c r="A2802" s="1"/>
      <c r="B2802" s="2" t="s">
        <v>297</v>
      </c>
      <c r="C2802" s="3" t="s">
        <v>2495</v>
      </c>
      <c r="D2802" s="3" t="s">
        <v>1037</v>
      </c>
      <c r="E2802" s="3" t="s">
        <v>348</v>
      </c>
      <c r="F2802" s="3" t="s">
        <v>2492</v>
      </c>
      <c r="G2802" s="3" t="s">
        <v>2447</v>
      </c>
      <c r="H2802" s="4"/>
      <c r="I2802" s="4">
        <f t="shared" si="275"/>
        <v>0</v>
      </c>
      <c r="J2802" s="4"/>
      <c r="K2802" s="4">
        <f t="shared" si="274"/>
        <v>0</v>
      </c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 spans="1:26" ht="15.75" customHeight="1" x14ac:dyDescent="0.2">
      <c r="A2803" s="1"/>
      <c r="B2803" s="2" t="s">
        <v>316</v>
      </c>
      <c r="C2803" s="3" t="s">
        <v>2495</v>
      </c>
      <c r="D2803" s="3" t="s">
        <v>1037</v>
      </c>
      <c r="E2803" s="3" t="s">
        <v>348</v>
      </c>
      <c r="F2803" s="3" t="s">
        <v>2492</v>
      </c>
      <c r="G2803" s="3" t="s">
        <v>2447</v>
      </c>
      <c r="H2803" s="4"/>
      <c r="I2803" s="4">
        <f t="shared" si="275"/>
        <v>0</v>
      </c>
      <c r="J2803" s="4"/>
      <c r="K2803" s="4">
        <f t="shared" si="274"/>
        <v>0</v>
      </c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 spans="1:26" ht="15.75" customHeight="1" x14ac:dyDescent="0.2">
      <c r="A2804" s="1">
        <v>281</v>
      </c>
      <c r="B2804" s="13" t="s">
        <v>628</v>
      </c>
      <c r="C2804" s="14" t="s">
        <v>2496</v>
      </c>
      <c r="D2804" s="14" t="s">
        <v>124</v>
      </c>
      <c r="E2804" s="14" t="s">
        <v>306</v>
      </c>
      <c r="F2804" s="14" t="s">
        <v>2497</v>
      </c>
      <c r="G2804" s="14" t="s">
        <v>2447</v>
      </c>
      <c r="H2804" s="4"/>
      <c r="I2804" s="4">
        <f t="shared" ref="I2804:I2817" si="276">H2804*2300</f>
        <v>0</v>
      </c>
      <c r="J2804" s="4"/>
      <c r="K2804" s="4">
        <f t="shared" si="274"/>
        <v>0</v>
      </c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 spans="1:26" ht="15.75" customHeight="1" x14ac:dyDescent="0.2">
      <c r="A2805" s="1">
        <v>451</v>
      </c>
      <c r="B2805" s="13" t="s">
        <v>674</v>
      </c>
      <c r="C2805" s="14" t="s">
        <v>2498</v>
      </c>
      <c r="D2805" s="14" t="s">
        <v>399</v>
      </c>
      <c r="E2805" s="14" t="s">
        <v>348</v>
      </c>
      <c r="F2805" s="14" t="s">
        <v>2497</v>
      </c>
      <c r="G2805" s="14" t="s">
        <v>2447</v>
      </c>
      <c r="H2805" s="4"/>
      <c r="I2805" s="4">
        <f t="shared" si="276"/>
        <v>0</v>
      </c>
      <c r="J2805" s="4"/>
      <c r="K2805" s="4">
        <f t="shared" si="274"/>
        <v>0</v>
      </c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 spans="1:26" ht="15.75" customHeight="1" x14ac:dyDescent="0.2">
      <c r="A2806" s="1">
        <v>487</v>
      </c>
      <c r="B2806" s="13" t="s">
        <v>445</v>
      </c>
      <c r="C2806" s="14" t="s">
        <v>2498</v>
      </c>
      <c r="D2806" s="14" t="s">
        <v>399</v>
      </c>
      <c r="E2806" s="14" t="s">
        <v>348</v>
      </c>
      <c r="F2806" s="14" t="s">
        <v>2497</v>
      </c>
      <c r="G2806" s="14" t="s">
        <v>2447</v>
      </c>
      <c r="H2806" s="4"/>
      <c r="I2806" s="4">
        <f t="shared" si="276"/>
        <v>0</v>
      </c>
      <c r="J2806" s="4"/>
      <c r="K2806" s="4">
        <f t="shared" si="274"/>
        <v>0</v>
      </c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 spans="1:26" ht="15.75" customHeight="1" x14ac:dyDescent="0.2">
      <c r="A2807" s="1">
        <v>529</v>
      </c>
      <c r="B2807" s="13" t="s">
        <v>678</v>
      </c>
      <c r="C2807" s="14" t="s">
        <v>2499</v>
      </c>
      <c r="D2807" s="14" t="s">
        <v>656</v>
      </c>
      <c r="E2807" s="14" t="s">
        <v>374</v>
      </c>
      <c r="F2807" s="14" t="s">
        <v>2497</v>
      </c>
      <c r="G2807" s="14" t="s">
        <v>2447</v>
      </c>
      <c r="H2807" s="4"/>
      <c r="I2807" s="4">
        <f t="shared" si="276"/>
        <v>0</v>
      </c>
      <c r="J2807" s="4"/>
      <c r="K2807" s="4">
        <f t="shared" si="274"/>
        <v>0</v>
      </c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 spans="1:26" ht="15.75" customHeight="1" x14ac:dyDescent="0.2">
      <c r="A2808" s="1">
        <v>653</v>
      </c>
      <c r="B2808" s="13" t="s">
        <v>248</v>
      </c>
      <c r="C2808" s="14" t="s">
        <v>2500</v>
      </c>
      <c r="D2808" s="14" t="s">
        <v>399</v>
      </c>
      <c r="E2808" s="14" t="s">
        <v>357</v>
      </c>
      <c r="F2808" s="14" t="s">
        <v>2497</v>
      </c>
      <c r="G2808" s="14" t="s">
        <v>2447</v>
      </c>
      <c r="H2808" s="4"/>
      <c r="I2808" s="4">
        <f t="shared" si="276"/>
        <v>0</v>
      </c>
      <c r="J2808" s="4"/>
      <c r="K2808" s="4">
        <f t="shared" si="274"/>
        <v>0</v>
      </c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 spans="1:26" ht="15.75" customHeight="1" x14ac:dyDescent="0.2">
      <c r="A2809" s="1">
        <v>655</v>
      </c>
      <c r="B2809" s="13" t="s">
        <v>248</v>
      </c>
      <c r="C2809" s="14" t="s">
        <v>2501</v>
      </c>
      <c r="D2809" s="14" t="s">
        <v>1937</v>
      </c>
      <c r="E2809" s="14" t="s">
        <v>357</v>
      </c>
      <c r="F2809" s="14" t="s">
        <v>2497</v>
      </c>
      <c r="G2809" s="14" t="s">
        <v>2447</v>
      </c>
      <c r="H2809" s="4"/>
      <c r="I2809" s="4">
        <f t="shared" si="276"/>
        <v>0</v>
      </c>
      <c r="J2809" s="4"/>
      <c r="K2809" s="4">
        <f t="shared" si="274"/>
        <v>0</v>
      </c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 spans="1:26" ht="15.75" customHeight="1" x14ac:dyDescent="0.2">
      <c r="A2810" s="1">
        <v>1147</v>
      </c>
      <c r="B2810" s="13" t="s">
        <v>433</v>
      </c>
      <c r="C2810" s="14" t="s">
        <v>2499</v>
      </c>
      <c r="D2810" s="14" t="s">
        <v>656</v>
      </c>
      <c r="E2810" s="14" t="s">
        <v>374</v>
      </c>
      <c r="F2810" s="14" t="s">
        <v>2497</v>
      </c>
      <c r="G2810" s="14" t="s">
        <v>2447</v>
      </c>
      <c r="H2810" s="4"/>
      <c r="I2810" s="4">
        <f t="shared" si="276"/>
        <v>0</v>
      </c>
      <c r="J2810" s="4"/>
      <c r="K2810" s="4">
        <f t="shared" si="274"/>
        <v>0</v>
      </c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 spans="1:26" ht="15.75" customHeight="1" x14ac:dyDescent="0.2">
      <c r="A2811" s="1">
        <v>1259</v>
      </c>
      <c r="B2811" s="13" t="s">
        <v>699</v>
      </c>
      <c r="C2811" s="14" t="s">
        <v>2502</v>
      </c>
      <c r="D2811" s="14" t="s">
        <v>124</v>
      </c>
      <c r="E2811" s="14" t="s">
        <v>306</v>
      </c>
      <c r="F2811" s="14" t="s">
        <v>2497</v>
      </c>
      <c r="G2811" s="14" t="s">
        <v>2447</v>
      </c>
      <c r="H2811" s="4"/>
      <c r="I2811" s="4">
        <f t="shared" si="276"/>
        <v>0</v>
      </c>
      <c r="J2811" s="4"/>
      <c r="K2811" s="4">
        <f t="shared" si="274"/>
        <v>0</v>
      </c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 spans="1:26" ht="15.75" customHeight="1" x14ac:dyDescent="0.2">
      <c r="A2812" s="1">
        <v>1319</v>
      </c>
      <c r="B2812" s="13" t="s">
        <v>936</v>
      </c>
      <c r="C2812" s="14" t="s">
        <v>2496</v>
      </c>
      <c r="D2812" s="14" t="s">
        <v>124</v>
      </c>
      <c r="E2812" s="14" t="s">
        <v>306</v>
      </c>
      <c r="F2812" s="14" t="s">
        <v>2497</v>
      </c>
      <c r="G2812" s="14" t="s">
        <v>2447</v>
      </c>
      <c r="H2812" s="4"/>
      <c r="I2812" s="4">
        <f t="shared" si="276"/>
        <v>0</v>
      </c>
      <c r="J2812" s="4"/>
      <c r="K2812" s="4">
        <f t="shared" si="274"/>
        <v>0</v>
      </c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 spans="1:26" ht="15.75" customHeight="1" x14ac:dyDescent="0.2">
      <c r="A2813" s="1">
        <v>1431</v>
      </c>
      <c r="B2813" s="13" t="s">
        <v>386</v>
      </c>
      <c r="C2813" s="14" t="s">
        <v>2502</v>
      </c>
      <c r="D2813" s="14" t="s">
        <v>58</v>
      </c>
      <c r="E2813" s="14" t="s">
        <v>306</v>
      </c>
      <c r="F2813" s="14" t="s">
        <v>2497</v>
      </c>
      <c r="G2813" s="14" t="s">
        <v>2447</v>
      </c>
      <c r="H2813" s="4"/>
      <c r="I2813" s="4">
        <f t="shared" si="276"/>
        <v>0</v>
      </c>
      <c r="J2813" s="4"/>
      <c r="K2813" s="4">
        <f t="shared" si="274"/>
        <v>0</v>
      </c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 spans="1:26" ht="15.75" customHeight="1" x14ac:dyDescent="0.2">
      <c r="A2814" s="1">
        <v>1913</v>
      </c>
      <c r="B2814" s="13" t="s">
        <v>277</v>
      </c>
      <c r="C2814" s="14" t="s">
        <v>2502</v>
      </c>
      <c r="D2814" s="14" t="s">
        <v>58</v>
      </c>
      <c r="E2814" s="14" t="s">
        <v>306</v>
      </c>
      <c r="F2814" s="14" t="s">
        <v>2497</v>
      </c>
      <c r="G2814" s="14" t="s">
        <v>2447</v>
      </c>
      <c r="H2814" s="4"/>
      <c r="I2814" s="4">
        <f t="shared" si="276"/>
        <v>0</v>
      </c>
      <c r="J2814" s="4"/>
      <c r="K2814" s="4">
        <f t="shared" si="274"/>
        <v>0</v>
      </c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 spans="1:26" ht="15.75" customHeight="1" x14ac:dyDescent="0.2">
      <c r="A2815" s="1">
        <v>2639</v>
      </c>
      <c r="B2815" s="13" t="s">
        <v>702</v>
      </c>
      <c r="C2815" s="14" t="s">
        <v>2503</v>
      </c>
      <c r="D2815" s="14" t="s">
        <v>124</v>
      </c>
      <c r="E2815" s="14" t="s">
        <v>310</v>
      </c>
      <c r="F2815" s="14" t="s">
        <v>2497</v>
      </c>
      <c r="G2815" s="14" t="s">
        <v>2447</v>
      </c>
      <c r="H2815" s="4"/>
      <c r="I2815" s="4">
        <f t="shared" si="276"/>
        <v>0</v>
      </c>
      <c r="J2815" s="4"/>
      <c r="K2815" s="4">
        <f t="shared" si="274"/>
        <v>0</v>
      </c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 spans="1:26" ht="15.75" customHeight="1" x14ac:dyDescent="0.2">
      <c r="A2816" s="1">
        <v>2757</v>
      </c>
      <c r="B2816" s="13" t="s">
        <v>944</v>
      </c>
      <c r="C2816" s="14" t="s">
        <v>2503</v>
      </c>
      <c r="D2816" s="14" t="s">
        <v>124</v>
      </c>
      <c r="E2816" s="14" t="s">
        <v>310</v>
      </c>
      <c r="F2816" s="14" t="s">
        <v>2497</v>
      </c>
      <c r="G2816" s="14" t="s">
        <v>2447</v>
      </c>
      <c r="H2816" s="4"/>
      <c r="I2816" s="4">
        <f t="shared" si="276"/>
        <v>0</v>
      </c>
      <c r="J2816" s="4"/>
      <c r="K2816" s="4">
        <f t="shared" si="274"/>
        <v>0</v>
      </c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 spans="1:26" ht="15.75" customHeight="1" x14ac:dyDescent="0.2">
      <c r="A2817" s="1">
        <v>2935</v>
      </c>
      <c r="B2817" s="13" t="s">
        <v>722</v>
      </c>
      <c r="C2817" s="14" t="s">
        <v>2502</v>
      </c>
      <c r="D2817" s="14" t="s">
        <v>124</v>
      </c>
      <c r="E2817" s="14" t="s">
        <v>306</v>
      </c>
      <c r="F2817" s="14" t="s">
        <v>2497</v>
      </c>
      <c r="G2817" s="14" t="s">
        <v>2447</v>
      </c>
      <c r="H2817" s="4"/>
      <c r="I2817" s="4">
        <f t="shared" si="276"/>
        <v>0</v>
      </c>
      <c r="J2817" s="4"/>
      <c r="K2817" s="4">
        <f t="shared" si="274"/>
        <v>0</v>
      </c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 spans="1:26" ht="15.75" customHeight="1" x14ac:dyDescent="0.2">
      <c r="A2818" s="1"/>
      <c r="B2818" s="2" t="s">
        <v>315</v>
      </c>
      <c r="C2818" s="3" t="s">
        <v>2504</v>
      </c>
      <c r="D2818" s="3" t="s">
        <v>1041</v>
      </c>
      <c r="E2818" s="3" t="s">
        <v>40</v>
      </c>
      <c r="F2818" s="3" t="s">
        <v>2505</v>
      </c>
      <c r="G2818" s="3" t="s">
        <v>2447</v>
      </c>
      <c r="H2818" s="4"/>
      <c r="I2818" s="4">
        <f t="shared" ref="I2818:I2820" si="277">H2818*1800</f>
        <v>0</v>
      </c>
      <c r="J2818" s="4"/>
      <c r="K2818" s="4">
        <f t="shared" si="274"/>
        <v>0</v>
      </c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 spans="1:26" ht="15.75" customHeight="1" x14ac:dyDescent="0.2">
      <c r="A2819" s="1"/>
      <c r="B2819" s="2" t="s">
        <v>323</v>
      </c>
      <c r="C2819" s="3" t="s">
        <v>2504</v>
      </c>
      <c r="D2819" s="3" t="s">
        <v>1041</v>
      </c>
      <c r="E2819" s="3" t="s">
        <v>40</v>
      </c>
      <c r="F2819" s="3" t="s">
        <v>2505</v>
      </c>
      <c r="G2819" s="3" t="s">
        <v>2447</v>
      </c>
      <c r="H2819" s="4"/>
      <c r="I2819" s="4">
        <f t="shared" si="277"/>
        <v>0</v>
      </c>
      <c r="J2819" s="4"/>
      <c r="K2819" s="4">
        <f t="shared" si="274"/>
        <v>0</v>
      </c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 spans="1:26" ht="15.75" customHeight="1" x14ac:dyDescent="0.2">
      <c r="A2820" s="1"/>
      <c r="B2820" s="2" t="s">
        <v>94</v>
      </c>
      <c r="C2820" s="3" t="s">
        <v>2506</v>
      </c>
      <c r="D2820" s="3" t="s">
        <v>86</v>
      </c>
      <c r="E2820" s="3" t="s">
        <v>129</v>
      </c>
      <c r="F2820" s="3" t="s">
        <v>2505</v>
      </c>
      <c r="G2820" s="3" t="s">
        <v>2447</v>
      </c>
      <c r="H2820" s="4"/>
      <c r="I2820" s="4">
        <f t="shared" si="277"/>
        <v>0</v>
      </c>
      <c r="J2820" s="4"/>
      <c r="K2820" s="4">
        <f t="shared" si="274"/>
        <v>0</v>
      </c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 spans="1:26" ht="15.75" customHeight="1" x14ac:dyDescent="0.2">
      <c r="A2821" s="1">
        <v>135</v>
      </c>
      <c r="B2821" s="13" t="s">
        <v>2507</v>
      </c>
      <c r="C2821" s="14" t="s">
        <v>2508</v>
      </c>
      <c r="D2821" s="14" t="s">
        <v>1031</v>
      </c>
      <c r="E2821" s="14" t="s">
        <v>720</v>
      </c>
      <c r="F2821" s="14" t="s">
        <v>2509</v>
      </c>
      <c r="G2821" s="14" t="s">
        <v>2447</v>
      </c>
      <c r="H2821" s="4"/>
      <c r="I2821" s="4">
        <f t="shared" ref="I2821:I2822" si="278">H2821*2300</f>
        <v>0</v>
      </c>
      <c r="J2821" s="4"/>
      <c r="K2821" s="4">
        <f t="shared" si="274"/>
        <v>0</v>
      </c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 spans="1:26" ht="15.75" customHeight="1" x14ac:dyDescent="0.2">
      <c r="A2822" s="1">
        <v>359</v>
      </c>
      <c r="B2822" s="13" t="s">
        <v>100</v>
      </c>
      <c r="C2822" s="14" t="s">
        <v>2508</v>
      </c>
      <c r="D2822" s="14" t="s">
        <v>1031</v>
      </c>
      <c r="E2822" s="14" t="s">
        <v>720</v>
      </c>
      <c r="F2822" s="14" t="s">
        <v>2509</v>
      </c>
      <c r="G2822" s="14" t="s">
        <v>2447</v>
      </c>
      <c r="H2822" s="4"/>
      <c r="I2822" s="4">
        <f t="shared" si="278"/>
        <v>0</v>
      </c>
      <c r="J2822" s="4"/>
      <c r="K2822" s="4">
        <f t="shared" si="274"/>
        <v>0</v>
      </c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 spans="1:26" ht="15.75" customHeight="1" x14ac:dyDescent="0.2">
      <c r="A2823" s="1"/>
      <c r="B2823" s="2" t="s">
        <v>94</v>
      </c>
      <c r="C2823" s="3" t="s">
        <v>2510</v>
      </c>
      <c r="D2823" s="3" t="s">
        <v>574</v>
      </c>
      <c r="E2823" s="3" t="s">
        <v>314</v>
      </c>
      <c r="F2823" s="3" t="s">
        <v>2509</v>
      </c>
      <c r="G2823" s="3" t="s">
        <v>2447</v>
      </c>
      <c r="H2823" s="4"/>
      <c r="I2823" s="4">
        <f t="shared" ref="I2823:I2829" si="279">H2823*1800</f>
        <v>0</v>
      </c>
      <c r="J2823" s="4"/>
      <c r="K2823" s="4">
        <f t="shared" si="274"/>
        <v>0</v>
      </c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 spans="1:26" ht="15.75" customHeight="1" x14ac:dyDescent="0.2">
      <c r="A2824" s="1"/>
      <c r="B2824" s="2" t="s">
        <v>297</v>
      </c>
      <c r="C2824" s="3" t="s">
        <v>2128</v>
      </c>
      <c r="D2824" s="3" t="s">
        <v>75</v>
      </c>
      <c r="E2824" s="3" t="s">
        <v>1169</v>
      </c>
      <c r="F2824" s="3" t="s">
        <v>2509</v>
      </c>
      <c r="G2824" s="3" t="s">
        <v>2447</v>
      </c>
      <c r="H2824" s="4"/>
      <c r="I2824" s="4">
        <f t="shared" si="279"/>
        <v>0</v>
      </c>
      <c r="J2824" s="4"/>
      <c r="K2824" s="4">
        <f t="shared" si="274"/>
        <v>0</v>
      </c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 spans="1:26" ht="15.75" customHeight="1" x14ac:dyDescent="0.2">
      <c r="A2825" s="1"/>
      <c r="B2825" s="2" t="s">
        <v>94</v>
      </c>
      <c r="C2825" s="3" t="s">
        <v>2128</v>
      </c>
      <c r="D2825" s="3" t="s">
        <v>75</v>
      </c>
      <c r="E2825" s="3" t="s">
        <v>1169</v>
      </c>
      <c r="F2825" s="3" t="s">
        <v>2509</v>
      </c>
      <c r="G2825" s="3" t="s">
        <v>2447</v>
      </c>
      <c r="H2825" s="4"/>
      <c r="I2825" s="4">
        <f t="shared" si="279"/>
        <v>0</v>
      </c>
      <c r="J2825" s="4"/>
      <c r="K2825" s="4">
        <f t="shared" si="274"/>
        <v>0</v>
      </c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 spans="1:26" ht="15.75" customHeight="1" x14ac:dyDescent="0.2">
      <c r="A2826" s="1"/>
      <c r="B2826" s="2" t="s">
        <v>94</v>
      </c>
      <c r="C2826" s="3" t="s">
        <v>2511</v>
      </c>
      <c r="D2826" s="3" t="s">
        <v>39</v>
      </c>
      <c r="E2826" s="3" t="s">
        <v>87</v>
      </c>
      <c r="F2826" s="3" t="s">
        <v>2509</v>
      </c>
      <c r="G2826" s="3" t="s">
        <v>2447</v>
      </c>
      <c r="H2826" s="4"/>
      <c r="I2826" s="4">
        <f t="shared" si="279"/>
        <v>0</v>
      </c>
      <c r="J2826" s="4"/>
      <c r="K2826" s="4">
        <f t="shared" si="274"/>
        <v>0</v>
      </c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 spans="1:26" ht="15.75" customHeight="1" x14ac:dyDescent="0.2">
      <c r="A2827" s="1"/>
      <c r="B2827" s="2" t="s">
        <v>108</v>
      </c>
      <c r="C2827" s="3" t="s">
        <v>2512</v>
      </c>
      <c r="D2827" s="3" t="s">
        <v>124</v>
      </c>
      <c r="E2827" s="3" t="s">
        <v>1097</v>
      </c>
      <c r="F2827" s="3" t="s">
        <v>2509</v>
      </c>
      <c r="G2827" s="3" t="s">
        <v>2447</v>
      </c>
      <c r="H2827" s="4"/>
      <c r="I2827" s="4">
        <f t="shared" si="279"/>
        <v>0</v>
      </c>
      <c r="J2827" s="4"/>
      <c r="K2827" s="4">
        <f t="shared" si="274"/>
        <v>0</v>
      </c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 spans="1:26" ht="15.75" customHeight="1" x14ac:dyDescent="0.2">
      <c r="A2828" s="1"/>
      <c r="B2828" s="2" t="s">
        <v>94</v>
      </c>
      <c r="C2828" s="3" t="s">
        <v>2512</v>
      </c>
      <c r="D2828" s="3" t="s">
        <v>124</v>
      </c>
      <c r="E2828" s="3" t="s">
        <v>1097</v>
      </c>
      <c r="F2828" s="3" t="s">
        <v>2509</v>
      </c>
      <c r="G2828" s="3" t="s">
        <v>2447</v>
      </c>
      <c r="H2828" s="4"/>
      <c r="I2828" s="4">
        <f t="shared" si="279"/>
        <v>0</v>
      </c>
      <c r="J2828" s="4"/>
      <c r="K2828" s="4">
        <f t="shared" si="274"/>
        <v>0</v>
      </c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 spans="1:26" ht="15.75" customHeight="1" x14ac:dyDescent="0.2">
      <c r="A2829" s="1"/>
      <c r="B2829" s="2" t="s">
        <v>94</v>
      </c>
      <c r="C2829" s="3" t="s">
        <v>729</v>
      </c>
      <c r="D2829" s="3" t="s">
        <v>120</v>
      </c>
      <c r="E2829" s="3" t="s">
        <v>87</v>
      </c>
      <c r="F2829" s="3" t="s">
        <v>2509</v>
      </c>
      <c r="G2829" s="3" t="s">
        <v>2447</v>
      </c>
      <c r="H2829" s="4"/>
      <c r="I2829" s="4">
        <f t="shared" si="279"/>
        <v>0</v>
      </c>
      <c r="J2829" s="4"/>
      <c r="K2829" s="4">
        <f t="shared" si="274"/>
        <v>0</v>
      </c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 spans="1:26" ht="15.75" customHeight="1" x14ac:dyDescent="0.2">
      <c r="A2830" s="1">
        <v>2347</v>
      </c>
      <c r="B2830" s="13" t="s">
        <v>1700</v>
      </c>
      <c r="C2830" s="14" t="s">
        <v>1347</v>
      </c>
      <c r="D2830" s="14" t="s">
        <v>333</v>
      </c>
      <c r="E2830" s="14" t="s">
        <v>1169</v>
      </c>
      <c r="F2830" s="14" t="s">
        <v>2513</v>
      </c>
      <c r="G2830" s="14" t="s">
        <v>2447</v>
      </c>
      <c r="H2830" s="4"/>
      <c r="I2830" s="4">
        <f t="shared" ref="I2830:I2857" si="280">H2830*2300</f>
        <v>0</v>
      </c>
      <c r="J2830" s="4"/>
      <c r="K2830" s="4">
        <f t="shared" si="274"/>
        <v>0</v>
      </c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 spans="1:26" ht="15.75" customHeight="1" x14ac:dyDescent="0.2">
      <c r="A2831" s="1">
        <v>49</v>
      </c>
      <c r="B2831" s="13" t="s">
        <v>226</v>
      </c>
      <c r="C2831" s="14" t="s">
        <v>2514</v>
      </c>
      <c r="D2831" s="14" t="s">
        <v>2515</v>
      </c>
      <c r="E2831" s="14" t="s">
        <v>2516</v>
      </c>
      <c r="F2831" s="14" t="s">
        <v>2517</v>
      </c>
      <c r="G2831" s="14" t="s">
        <v>2518</v>
      </c>
      <c r="H2831" s="4"/>
      <c r="I2831" s="4">
        <f t="shared" si="280"/>
        <v>0</v>
      </c>
      <c r="J2831" s="4"/>
      <c r="K2831" s="4">
        <f t="shared" si="274"/>
        <v>0</v>
      </c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 spans="1:26" ht="15.75" customHeight="1" x14ac:dyDescent="0.2">
      <c r="A2832" s="1">
        <v>97</v>
      </c>
      <c r="B2832" s="13" t="s">
        <v>415</v>
      </c>
      <c r="C2832" s="14" t="s">
        <v>2514</v>
      </c>
      <c r="D2832" s="14" t="s">
        <v>2515</v>
      </c>
      <c r="E2832" s="14" t="s">
        <v>2516</v>
      </c>
      <c r="F2832" s="14" t="s">
        <v>2517</v>
      </c>
      <c r="G2832" s="14" t="s">
        <v>2518</v>
      </c>
      <c r="H2832" s="4"/>
      <c r="I2832" s="4">
        <f t="shared" si="280"/>
        <v>0</v>
      </c>
      <c r="J2832" s="4"/>
      <c r="K2832" s="4">
        <f t="shared" si="274"/>
        <v>0</v>
      </c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 spans="1:26" ht="15.75" customHeight="1" x14ac:dyDescent="0.2">
      <c r="A2833" s="1">
        <v>173</v>
      </c>
      <c r="B2833" s="13" t="s">
        <v>1125</v>
      </c>
      <c r="C2833" s="14" t="s">
        <v>2514</v>
      </c>
      <c r="D2833" s="14" t="s">
        <v>2515</v>
      </c>
      <c r="E2833" s="14" t="s">
        <v>2516</v>
      </c>
      <c r="F2833" s="14" t="s">
        <v>2517</v>
      </c>
      <c r="G2833" s="14" t="s">
        <v>2518</v>
      </c>
      <c r="H2833" s="4"/>
      <c r="I2833" s="4">
        <f t="shared" si="280"/>
        <v>0</v>
      </c>
      <c r="J2833" s="4"/>
      <c r="K2833" s="4">
        <f t="shared" si="274"/>
        <v>0</v>
      </c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 spans="1:26" ht="15.75" customHeight="1" x14ac:dyDescent="0.2">
      <c r="A2834" s="1">
        <v>197</v>
      </c>
      <c r="B2834" s="13" t="s">
        <v>1631</v>
      </c>
      <c r="C2834" s="14" t="s">
        <v>2514</v>
      </c>
      <c r="D2834" s="14" t="s">
        <v>2515</v>
      </c>
      <c r="E2834" s="14" t="s">
        <v>2516</v>
      </c>
      <c r="F2834" s="14" t="s">
        <v>2517</v>
      </c>
      <c r="G2834" s="14" t="s">
        <v>2518</v>
      </c>
      <c r="H2834" s="4"/>
      <c r="I2834" s="4">
        <f t="shared" si="280"/>
        <v>0</v>
      </c>
      <c r="J2834" s="4"/>
      <c r="K2834" s="4">
        <f t="shared" si="274"/>
        <v>0</v>
      </c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 spans="1:26" ht="15.75" customHeight="1" x14ac:dyDescent="0.2">
      <c r="A2835" s="1">
        <v>771</v>
      </c>
      <c r="B2835" s="13" t="s">
        <v>1112</v>
      </c>
      <c r="C2835" s="14" t="s">
        <v>2519</v>
      </c>
      <c r="D2835" s="14" t="s">
        <v>2520</v>
      </c>
      <c r="E2835" s="14"/>
      <c r="F2835" s="14" t="s">
        <v>2521</v>
      </c>
      <c r="G2835" s="14" t="s">
        <v>2518</v>
      </c>
      <c r="H2835" s="4"/>
      <c r="I2835" s="4">
        <f t="shared" si="280"/>
        <v>0</v>
      </c>
      <c r="J2835" s="4"/>
      <c r="K2835" s="4">
        <f t="shared" si="274"/>
        <v>0</v>
      </c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 spans="1:26" ht="15.75" customHeight="1" x14ac:dyDescent="0.2">
      <c r="A2836" s="1">
        <v>285</v>
      </c>
      <c r="B2836" s="13" t="s">
        <v>896</v>
      </c>
      <c r="C2836" s="14" t="s">
        <v>2519</v>
      </c>
      <c r="D2836" s="14" t="s">
        <v>2520</v>
      </c>
      <c r="E2836" s="14"/>
      <c r="F2836" s="14" t="s">
        <v>2521</v>
      </c>
      <c r="G2836" s="14" t="s">
        <v>2518</v>
      </c>
      <c r="H2836" s="4"/>
      <c r="I2836" s="4">
        <f t="shared" si="280"/>
        <v>0</v>
      </c>
      <c r="J2836" s="4"/>
      <c r="K2836" s="4">
        <f t="shared" si="274"/>
        <v>0</v>
      </c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 spans="1:26" ht="15.75" customHeight="1" x14ac:dyDescent="0.2">
      <c r="A2837" s="1">
        <v>15</v>
      </c>
      <c r="B2837" s="13" t="s">
        <v>411</v>
      </c>
      <c r="C2837" s="14" t="s">
        <v>2522</v>
      </c>
      <c r="D2837" s="14" t="s">
        <v>2523</v>
      </c>
      <c r="E2837" s="14"/>
      <c r="F2837" s="14" t="s">
        <v>2524</v>
      </c>
      <c r="G2837" s="14" t="s">
        <v>2525</v>
      </c>
      <c r="H2837" s="4"/>
      <c r="I2837" s="4">
        <f t="shared" si="280"/>
        <v>0</v>
      </c>
      <c r="J2837" s="4"/>
      <c r="K2837" s="4">
        <f t="shared" si="274"/>
        <v>0</v>
      </c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 spans="1:26" ht="15.75" customHeight="1" x14ac:dyDescent="0.2">
      <c r="A2838" s="1">
        <v>37</v>
      </c>
      <c r="B2838" s="13" t="s">
        <v>2156</v>
      </c>
      <c r="C2838" s="14" t="s">
        <v>2522</v>
      </c>
      <c r="D2838" s="14" t="s">
        <v>2523</v>
      </c>
      <c r="E2838" s="14"/>
      <c r="F2838" s="14" t="s">
        <v>2524</v>
      </c>
      <c r="G2838" s="14" t="s">
        <v>2525</v>
      </c>
      <c r="H2838" s="4"/>
      <c r="I2838" s="4">
        <f t="shared" si="280"/>
        <v>0</v>
      </c>
      <c r="J2838" s="4"/>
      <c r="K2838" s="4">
        <f t="shared" si="274"/>
        <v>0</v>
      </c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 spans="1:26" ht="15.75" customHeight="1" x14ac:dyDescent="0.2">
      <c r="A2839" s="1">
        <v>67</v>
      </c>
      <c r="B2839" s="13" t="s">
        <v>226</v>
      </c>
      <c r="C2839" s="14" t="s">
        <v>2522</v>
      </c>
      <c r="D2839" s="14" t="s">
        <v>2523</v>
      </c>
      <c r="E2839" s="14"/>
      <c r="F2839" s="14" t="s">
        <v>2524</v>
      </c>
      <c r="G2839" s="14" t="s">
        <v>2525</v>
      </c>
      <c r="H2839" s="4"/>
      <c r="I2839" s="4">
        <f t="shared" si="280"/>
        <v>0</v>
      </c>
      <c r="J2839" s="4"/>
      <c r="K2839" s="4">
        <f t="shared" si="274"/>
        <v>0</v>
      </c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 spans="1:26" ht="15.75" customHeight="1" x14ac:dyDescent="0.2">
      <c r="A2840" s="1">
        <v>115</v>
      </c>
      <c r="B2840" s="13" t="s">
        <v>360</v>
      </c>
      <c r="C2840" s="14" t="s">
        <v>2526</v>
      </c>
      <c r="D2840" s="14" t="s">
        <v>2527</v>
      </c>
      <c r="E2840" s="14"/>
      <c r="F2840" s="14" t="s">
        <v>2528</v>
      </c>
      <c r="G2840" s="14" t="s">
        <v>2529</v>
      </c>
      <c r="H2840" s="4"/>
      <c r="I2840" s="4">
        <f t="shared" si="280"/>
        <v>0</v>
      </c>
      <c r="J2840" s="4"/>
      <c r="K2840" s="4">
        <f t="shared" si="274"/>
        <v>0</v>
      </c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 spans="1:26" ht="15.75" customHeight="1" x14ac:dyDescent="0.2">
      <c r="A2841" s="1">
        <v>117</v>
      </c>
      <c r="B2841" s="13" t="s">
        <v>360</v>
      </c>
      <c r="C2841" s="14" t="s">
        <v>2530</v>
      </c>
      <c r="D2841" s="14" t="s">
        <v>2531</v>
      </c>
      <c r="E2841" s="14"/>
      <c r="F2841" s="14" t="s">
        <v>2528</v>
      </c>
      <c r="G2841" s="14" t="s">
        <v>2529</v>
      </c>
      <c r="H2841" s="4"/>
      <c r="I2841" s="4">
        <f t="shared" si="280"/>
        <v>0</v>
      </c>
      <c r="J2841" s="4"/>
      <c r="K2841" s="4">
        <f t="shared" si="274"/>
        <v>0</v>
      </c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 spans="1:26" ht="15.75" customHeight="1" x14ac:dyDescent="0.2">
      <c r="A2842" s="1">
        <v>143</v>
      </c>
      <c r="B2842" s="13" t="s">
        <v>2101</v>
      </c>
      <c r="C2842" s="14" t="s">
        <v>2532</v>
      </c>
      <c r="D2842" s="14" t="s">
        <v>2158</v>
      </c>
      <c r="E2842" s="14"/>
      <c r="F2842" s="14" t="s">
        <v>2528</v>
      </c>
      <c r="G2842" s="14" t="s">
        <v>2529</v>
      </c>
      <c r="H2842" s="4"/>
      <c r="I2842" s="4">
        <f t="shared" si="280"/>
        <v>0</v>
      </c>
      <c r="J2842" s="4"/>
      <c r="K2842" s="4">
        <f t="shared" si="274"/>
        <v>0</v>
      </c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 spans="1:26" ht="15.75" customHeight="1" x14ac:dyDescent="0.2">
      <c r="A2843" s="1">
        <v>227</v>
      </c>
      <c r="B2843" s="13" t="s">
        <v>2533</v>
      </c>
      <c r="C2843" s="14" t="s">
        <v>2532</v>
      </c>
      <c r="D2843" s="14" t="s">
        <v>2158</v>
      </c>
      <c r="E2843" s="14"/>
      <c r="F2843" s="14" t="s">
        <v>2528</v>
      </c>
      <c r="G2843" s="14" t="s">
        <v>2529</v>
      </c>
      <c r="H2843" s="4"/>
      <c r="I2843" s="4">
        <f t="shared" si="280"/>
        <v>0</v>
      </c>
      <c r="J2843" s="4"/>
      <c r="K2843" s="4">
        <f t="shared" si="274"/>
        <v>0</v>
      </c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 spans="1:26" ht="15.75" customHeight="1" x14ac:dyDescent="0.2">
      <c r="A2844" s="1">
        <v>343</v>
      </c>
      <c r="B2844" s="13" t="s">
        <v>100</v>
      </c>
      <c r="C2844" s="14" t="s">
        <v>2526</v>
      </c>
      <c r="D2844" s="14" t="s">
        <v>2527</v>
      </c>
      <c r="E2844" s="14"/>
      <c r="F2844" s="14" t="s">
        <v>2528</v>
      </c>
      <c r="G2844" s="14" t="s">
        <v>2529</v>
      </c>
      <c r="H2844" s="4"/>
      <c r="I2844" s="4">
        <f t="shared" si="280"/>
        <v>0</v>
      </c>
      <c r="J2844" s="4"/>
      <c r="K2844" s="4">
        <f t="shared" si="274"/>
        <v>0</v>
      </c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 spans="1:26" ht="15.75" customHeight="1" x14ac:dyDescent="0.2">
      <c r="A2845" s="1">
        <v>365</v>
      </c>
      <c r="B2845" s="13" t="s">
        <v>2534</v>
      </c>
      <c r="C2845" s="14" t="s">
        <v>2526</v>
      </c>
      <c r="D2845" s="14" t="s">
        <v>2527</v>
      </c>
      <c r="E2845" s="14"/>
      <c r="F2845" s="14" t="s">
        <v>2528</v>
      </c>
      <c r="G2845" s="14" t="s">
        <v>2529</v>
      </c>
      <c r="H2845" s="4"/>
      <c r="I2845" s="4">
        <f t="shared" si="280"/>
        <v>0</v>
      </c>
      <c r="J2845" s="4"/>
      <c r="K2845" s="4">
        <f t="shared" si="274"/>
        <v>0</v>
      </c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 spans="1:26" ht="15.75" customHeight="1" x14ac:dyDescent="0.2">
      <c r="A2846" s="1">
        <v>369</v>
      </c>
      <c r="B2846" s="13" t="s">
        <v>2534</v>
      </c>
      <c r="C2846" s="14" t="s">
        <v>2530</v>
      </c>
      <c r="D2846" s="14" t="s">
        <v>2531</v>
      </c>
      <c r="E2846" s="14"/>
      <c r="F2846" s="14" t="s">
        <v>2528</v>
      </c>
      <c r="G2846" s="14" t="s">
        <v>2529</v>
      </c>
      <c r="H2846" s="4"/>
      <c r="I2846" s="4">
        <f t="shared" si="280"/>
        <v>0</v>
      </c>
      <c r="J2846" s="4"/>
      <c r="K2846" s="4">
        <f t="shared" si="274"/>
        <v>0</v>
      </c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 spans="1:26" ht="15.75" customHeight="1" x14ac:dyDescent="0.2">
      <c r="A2847" s="1">
        <v>65</v>
      </c>
      <c r="B2847" s="13" t="s">
        <v>226</v>
      </c>
      <c r="C2847" s="14" t="s">
        <v>2535</v>
      </c>
      <c r="D2847" s="14" t="s">
        <v>2536</v>
      </c>
      <c r="E2847" s="14" t="s">
        <v>2537</v>
      </c>
      <c r="F2847" s="14" t="s">
        <v>2538</v>
      </c>
      <c r="G2847" s="14" t="s">
        <v>2539</v>
      </c>
      <c r="H2847" s="4"/>
      <c r="I2847" s="4">
        <f t="shared" si="280"/>
        <v>0</v>
      </c>
      <c r="J2847" s="4"/>
      <c r="K2847" s="4">
        <f t="shared" si="274"/>
        <v>0</v>
      </c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 spans="1:26" ht="15.75" customHeight="1" x14ac:dyDescent="0.2">
      <c r="A2848" s="1">
        <v>223</v>
      </c>
      <c r="B2848" s="13" t="s">
        <v>1744</v>
      </c>
      <c r="C2848" s="14" t="s">
        <v>2540</v>
      </c>
      <c r="D2848" s="14" t="s">
        <v>2541</v>
      </c>
      <c r="E2848" s="14" t="s">
        <v>2542</v>
      </c>
      <c r="F2848" s="14" t="s">
        <v>2543</v>
      </c>
      <c r="G2848" s="14" t="s">
        <v>2544</v>
      </c>
      <c r="H2848" s="4"/>
      <c r="I2848" s="4">
        <f t="shared" si="280"/>
        <v>0</v>
      </c>
      <c r="J2848" s="4"/>
      <c r="K2848" s="4">
        <f t="shared" si="274"/>
        <v>0</v>
      </c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 spans="1:26" ht="15.75" customHeight="1" x14ac:dyDescent="0.2">
      <c r="A2849" s="1">
        <v>165</v>
      </c>
      <c r="B2849" s="13" t="s">
        <v>1121</v>
      </c>
      <c r="C2849" s="14" t="s">
        <v>2545</v>
      </c>
      <c r="D2849" s="14" t="s">
        <v>2546</v>
      </c>
      <c r="E2849" s="14"/>
      <c r="F2849" s="14" t="s">
        <v>2547</v>
      </c>
      <c r="G2849" s="14" t="s">
        <v>2548</v>
      </c>
      <c r="H2849" s="4"/>
      <c r="I2849" s="4">
        <f t="shared" si="280"/>
        <v>0</v>
      </c>
      <c r="J2849" s="4"/>
      <c r="K2849" s="4">
        <f t="shared" si="274"/>
        <v>0</v>
      </c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 spans="1:26" ht="15.75" customHeight="1" x14ac:dyDescent="0.2">
      <c r="A2850" s="1">
        <v>187</v>
      </c>
      <c r="B2850" s="13" t="s">
        <v>1125</v>
      </c>
      <c r="C2850" s="14" t="s">
        <v>2545</v>
      </c>
      <c r="D2850" s="14" t="s">
        <v>2546</v>
      </c>
      <c r="E2850" s="14"/>
      <c r="F2850" s="14" t="s">
        <v>2547</v>
      </c>
      <c r="G2850" s="14" t="s">
        <v>2548</v>
      </c>
      <c r="H2850" s="4"/>
      <c r="I2850" s="4">
        <f t="shared" si="280"/>
        <v>0</v>
      </c>
      <c r="J2850" s="4"/>
      <c r="K2850" s="4">
        <f t="shared" si="274"/>
        <v>0</v>
      </c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 spans="1:26" ht="15.75" customHeight="1" x14ac:dyDescent="0.2">
      <c r="A2851" s="1">
        <v>7</v>
      </c>
      <c r="B2851" s="13" t="s">
        <v>411</v>
      </c>
      <c r="C2851" s="14" t="s">
        <v>2549</v>
      </c>
      <c r="D2851" s="14" t="s">
        <v>2550</v>
      </c>
      <c r="E2851" s="14"/>
      <c r="F2851" s="14" t="s">
        <v>2551</v>
      </c>
      <c r="G2851" s="14" t="s">
        <v>2548</v>
      </c>
      <c r="H2851" s="4"/>
      <c r="I2851" s="4">
        <f t="shared" si="280"/>
        <v>0</v>
      </c>
      <c r="J2851" s="4"/>
      <c r="K2851" s="4">
        <f t="shared" si="274"/>
        <v>0</v>
      </c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 spans="1:26" ht="15.75" customHeight="1" x14ac:dyDescent="0.2">
      <c r="A2852" s="1">
        <v>27</v>
      </c>
      <c r="B2852" s="13" t="s">
        <v>2156</v>
      </c>
      <c r="C2852" s="14" t="s">
        <v>2549</v>
      </c>
      <c r="D2852" s="14" t="s">
        <v>2550</v>
      </c>
      <c r="E2852" s="14"/>
      <c r="F2852" s="14" t="s">
        <v>2551</v>
      </c>
      <c r="G2852" s="14" t="s">
        <v>2548</v>
      </c>
      <c r="H2852" s="4"/>
      <c r="I2852" s="4">
        <f t="shared" si="280"/>
        <v>0</v>
      </c>
      <c r="J2852" s="4"/>
      <c r="K2852" s="4">
        <f t="shared" si="274"/>
        <v>0</v>
      </c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 spans="1:26" ht="15.75" customHeight="1" x14ac:dyDescent="0.2">
      <c r="A2853" s="1">
        <v>57</v>
      </c>
      <c r="B2853" s="13" t="s">
        <v>226</v>
      </c>
      <c r="C2853" s="14" t="s">
        <v>2549</v>
      </c>
      <c r="D2853" s="14" t="s">
        <v>2550</v>
      </c>
      <c r="E2853" s="14"/>
      <c r="F2853" s="14" t="s">
        <v>2551</v>
      </c>
      <c r="G2853" s="14" t="s">
        <v>2548</v>
      </c>
      <c r="H2853" s="4"/>
      <c r="I2853" s="4">
        <f t="shared" si="280"/>
        <v>0</v>
      </c>
      <c r="J2853" s="4"/>
      <c r="K2853" s="4">
        <f t="shared" si="274"/>
        <v>0</v>
      </c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 spans="1:26" ht="15.75" customHeight="1" x14ac:dyDescent="0.2">
      <c r="A2854" s="1">
        <v>103</v>
      </c>
      <c r="B2854" s="13" t="s">
        <v>415</v>
      </c>
      <c r="C2854" s="14" t="s">
        <v>2549</v>
      </c>
      <c r="D2854" s="14" t="s">
        <v>2550</v>
      </c>
      <c r="E2854" s="14"/>
      <c r="F2854" s="14" t="s">
        <v>2551</v>
      </c>
      <c r="G2854" s="14" t="s">
        <v>2548</v>
      </c>
      <c r="H2854" s="4"/>
      <c r="I2854" s="4">
        <f t="shared" si="280"/>
        <v>0</v>
      </c>
      <c r="J2854" s="4"/>
      <c r="K2854" s="4">
        <f t="shared" si="274"/>
        <v>0</v>
      </c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 spans="1:26" ht="15.75" customHeight="1" x14ac:dyDescent="0.2">
      <c r="A2855" s="1">
        <v>235</v>
      </c>
      <c r="B2855" s="13" t="s">
        <v>19</v>
      </c>
      <c r="C2855" s="14" t="s">
        <v>2552</v>
      </c>
      <c r="D2855" s="14" t="s">
        <v>2553</v>
      </c>
      <c r="E2855" s="14"/>
      <c r="F2855" s="14" t="s">
        <v>2554</v>
      </c>
      <c r="G2855" s="14" t="s">
        <v>2555</v>
      </c>
      <c r="H2855" s="4"/>
      <c r="I2855" s="4">
        <f t="shared" si="280"/>
        <v>0</v>
      </c>
      <c r="J2855" s="4"/>
      <c r="K2855" s="4">
        <f t="shared" si="274"/>
        <v>0</v>
      </c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 spans="1:26" ht="15.75" customHeight="1" x14ac:dyDescent="0.2">
      <c r="A2856" s="1">
        <v>387</v>
      </c>
      <c r="B2856" s="13" t="s">
        <v>2556</v>
      </c>
      <c r="C2856" s="14" t="s">
        <v>2557</v>
      </c>
      <c r="D2856" s="14" t="s">
        <v>2558</v>
      </c>
      <c r="E2856" s="14" t="s">
        <v>2559</v>
      </c>
      <c r="F2856" s="14" t="s">
        <v>14</v>
      </c>
      <c r="G2856" s="14" t="s">
        <v>2560</v>
      </c>
      <c r="H2856" s="4"/>
      <c r="I2856" s="4">
        <f t="shared" si="280"/>
        <v>0</v>
      </c>
      <c r="J2856" s="4"/>
      <c r="K2856" s="4">
        <f t="shared" si="274"/>
        <v>0</v>
      </c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 spans="1:26" ht="15.75" customHeight="1" x14ac:dyDescent="0.2">
      <c r="A2857" s="1">
        <v>389</v>
      </c>
      <c r="B2857" s="13" t="s">
        <v>2556</v>
      </c>
      <c r="C2857" s="14" t="s">
        <v>2557</v>
      </c>
      <c r="D2857" s="14" t="s">
        <v>2561</v>
      </c>
      <c r="E2857" s="14" t="s">
        <v>2562</v>
      </c>
      <c r="F2857" s="14" t="s">
        <v>14</v>
      </c>
      <c r="G2857" s="14" t="s">
        <v>2560</v>
      </c>
      <c r="H2857" s="4"/>
      <c r="I2857" s="4">
        <f t="shared" si="280"/>
        <v>0</v>
      </c>
      <c r="J2857" s="4"/>
      <c r="K2857" s="4">
        <f t="shared" si="274"/>
        <v>0</v>
      </c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 spans="1:26" ht="15.75" customHeight="1" x14ac:dyDescent="0.2">
      <c r="A2858" s="1">
        <v>55</v>
      </c>
      <c r="B2858" s="13" t="s">
        <v>226</v>
      </c>
      <c r="C2858" s="14" t="s">
        <v>2563</v>
      </c>
      <c r="D2858" s="14" t="s">
        <v>2297</v>
      </c>
      <c r="E2858" s="14" t="s">
        <v>403</v>
      </c>
      <c r="F2858" s="14" t="s">
        <v>2260</v>
      </c>
      <c r="G2858" s="14" t="s">
        <v>2560</v>
      </c>
      <c r="H2858" s="4"/>
      <c r="I2858" s="4">
        <f t="shared" ref="I2858:I2859" si="281">H2858*1800</f>
        <v>0</v>
      </c>
      <c r="J2858" s="4"/>
      <c r="K2858" s="4">
        <f t="shared" si="274"/>
        <v>0</v>
      </c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 spans="1:26" ht="15.75" customHeight="1" x14ac:dyDescent="0.2">
      <c r="A2859" s="1">
        <v>91</v>
      </c>
      <c r="B2859" s="13" t="s">
        <v>226</v>
      </c>
      <c r="C2859" s="14" t="s">
        <v>2563</v>
      </c>
      <c r="D2859" s="14" t="s">
        <v>2564</v>
      </c>
      <c r="E2859" s="14" t="s">
        <v>403</v>
      </c>
      <c r="F2859" s="14" t="s">
        <v>2260</v>
      </c>
      <c r="G2859" s="14" t="s">
        <v>2560</v>
      </c>
      <c r="H2859" s="4"/>
      <c r="I2859" s="4">
        <f t="shared" si="281"/>
        <v>0</v>
      </c>
      <c r="J2859" s="4"/>
      <c r="K2859" s="4">
        <f t="shared" si="274"/>
        <v>0</v>
      </c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 spans="1:26" ht="15.75" customHeight="1" x14ac:dyDescent="0.2">
      <c r="A2860" s="1">
        <v>291</v>
      </c>
      <c r="B2860" s="13" t="s">
        <v>726</v>
      </c>
      <c r="C2860" s="14" t="s">
        <v>2565</v>
      </c>
      <c r="D2860" s="14" t="s">
        <v>2301</v>
      </c>
      <c r="E2860" s="14" t="s">
        <v>2566</v>
      </c>
      <c r="F2860" s="14" t="s">
        <v>2567</v>
      </c>
      <c r="G2860" s="14" t="s">
        <v>2560</v>
      </c>
      <c r="H2860" s="4"/>
      <c r="I2860" s="4">
        <f t="shared" ref="I2860:I2950" si="282">H2860*2300</f>
        <v>0</v>
      </c>
      <c r="J2860" s="4"/>
      <c r="K2860" s="4">
        <f t="shared" si="274"/>
        <v>0</v>
      </c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 spans="1:26" ht="15.75" customHeight="1" x14ac:dyDescent="0.2">
      <c r="A2861" s="1">
        <v>323</v>
      </c>
      <c r="B2861" s="13" t="s">
        <v>2568</v>
      </c>
      <c r="C2861" s="14" t="s">
        <v>2569</v>
      </c>
      <c r="D2861" s="14" t="s">
        <v>2570</v>
      </c>
      <c r="E2861" s="14" t="s">
        <v>2571</v>
      </c>
      <c r="F2861" s="14" t="s">
        <v>2572</v>
      </c>
      <c r="G2861" s="14" t="s">
        <v>2560</v>
      </c>
      <c r="H2861" s="4"/>
      <c r="I2861" s="4">
        <f t="shared" si="282"/>
        <v>0</v>
      </c>
      <c r="J2861" s="4"/>
      <c r="K2861" s="4">
        <f t="shared" si="274"/>
        <v>0</v>
      </c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 spans="1:26" ht="15.75" customHeight="1" x14ac:dyDescent="0.2">
      <c r="A2862" s="20">
        <v>405</v>
      </c>
      <c r="B2862" s="21" t="s">
        <v>1126</v>
      </c>
      <c r="C2862" s="22" t="s">
        <v>2569</v>
      </c>
      <c r="D2862" s="22" t="s">
        <v>2570</v>
      </c>
      <c r="E2862" s="22" t="s">
        <v>2571</v>
      </c>
      <c r="F2862" s="14" t="s">
        <v>2572</v>
      </c>
      <c r="G2862" s="14" t="s">
        <v>2560</v>
      </c>
      <c r="H2862" s="4"/>
      <c r="I2862" s="4">
        <f t="shared" si="282"/>
        <v>0</v>
      </c>
      <c r="J2862" s="4"/>
      <c r="K2862" s="4">
        <f t="shared" si="274"/>
        <v>0</v>
      </c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 spans="1:26" ht="15.75" customHeight="1" x14ac:dyDescent="0.2">
      <c r="A2863" s="1">
        <v>123</v>
      </c>
      <c r="B2863" s="13" t="s">
        <v>360</v>
      </c>
      <c r="C2863" s="14" t="s">
        <v>2573</v>
      </c>
      <c r="D2863" s="14" t="s">
        <v>2574</v>
      </c>
      <c r="E2863" s="14" t="s">
        <v>2575</v>
      </c>
      <c r="F2863" s="14" t="s">
        <v>2576</v>
      </c>
      <c r="G2863" s="14" t="s">
        <v>2560</v>
      </c>
      <c r="H2863" s="4"/>
      <c r="I2863" s="4">
        <f t="shared" si="282"/>
        <v>0</v>
      </c>
      <c r="J2863" s="4"/>
      <c r="K2863" s="4">
        <f t="shared" si="274"/>
        <v>0</v>
      </c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 spans="1:26" ht="15.75" customHeight="1" x14ac:dyDescent="0.2">
      <c r="A2864" s="1">
        <v>125</v>
      </c>
      <c r="B2864" s="13" t="s">
        <v>360</v>
      </c>
      <c r="C2864" s="14" t="s">
        <v>2577</v>
      </c>
      <c r="D2864" s="14" t="s">
        <v>2578</v>
      </c>
      <c r="E2864" s="14" t="s">
        <v>2579</v>
      </c>
      <c r="F2864" s="14" t="s">
        <v>2576</v>
      </c>
      <c r="G2864" s="14" t="s">
        <v>2560</v>
      </c>
      <c r="H2864" s="4"/>
      <c r="I2864" s="4">
        <f t="shared" si="282"/>
        <v>0</v>
      </c>
      <c r="J2864" s="4"/>
      <c r="K2864" s="4">
        <f t="shared" si="274"/>
        <v>0</v>
      </c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 spans="1:26" ht="15.75" customHeight="1" x14ac:dyDescent="0.2">
      <c r="A2865" s="1">
        <v>133</v>
      </c>
      <c r="B2865" s="13" t="s">
        <v>2507</v>
      </c>
      <c r="C2865" s="14" t="s">
        <v>2577</v>
      </c>
      <c r="D2865" s="14" t="s">
        <v>2578</v>
      </c>
      <c r="E2865" s="14" t="s">
        <v>2579</v>
      </c>
      <c r="F2865" s="14" t="s">
        <v>2576</v>
      </c>
      <c r="G2865" s="14" t="s">
        <v>2560</v>
      </c>
      <c r="H2865" s="4"/>
      <c r="I2865" s="4">
        <f t="shared" si="282"/>
        <v>0</v>
      </c>
      <c r="J2865" s="4"/>
      <c r="K2865" s="4">
        <f t="shared" si="274"/>
        <v>0</v>
      </c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 spans="1:26" ht="15.75" customHeight="1" x14ac:dyDescent="0.2">
      <c r="A2866" s="1">
        <v>371</v>
      </c>
      <c r="B2866" s="13" t="s">
        <v>2534</v>
      </c>
      <c r="C2866" s="14" t="s">
        <v>2573</v>
      </c>
      <c r="D2866" s="14" t="s">
        <v>2574</v>
      </c>
      <c r="E2866" s="14" t="s">
        <v>2575</v>
      </c>
      <c r="F2866" s="14" t="s">
        <v>2576</v>
      </c>
      <c r="G2866" s="14" t="s">
        <v>2560</v>
      </c>
      <c r="H2866" s="4"/>
      <c r="I2866" s="4">
        <f t="shared" si="282"/>
        <v>0</v>
      </c>
      <c r="J2866" s="4"/>
      <c r="K2866" s="4">
        <f t="shared" si="274"/>
        <v>0</v>
      </c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 spans="1:26" ht="15.75" customHeight="1" x14ac:dyDescent="0.2">
      <c r="A2867" s="1">
        <v>383</v>
      </c>
      <c r="B2867" s="13" t="s">
        <v>2556</v>
      </c>
      <c r="C2867" s="14" t="s">
        <v>2580</v>
      </c>
      <c r="D2867" s="14" t="s">
        <v>2581</v>
      </c>
      <c r="E2867" s="14" t="s">
        <v>363</v>
      </c>
      <c r="F2867" s="14" t="s">
        <v>2582</v>
      </c>
      <c r="G2867" s="14" t="s">
        <v>2560</v>
      </c>
      <c r="H2867" s="4"/>
      <c r="I2867" s="4">
        <f t="shared" si="282"/>
        <v>0</v>
      </c>
      <c r="J2867" s="4"/>
      <c r="K2867" s="4">
        <f t="shared" si="274"/>
        <v>0</v>
      </c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 spans="1:26" ht="15.75" customHeight="1" x14ac:dyDescent="0.2">
      <c r="A2868" s="1">
        <v>245</v>
      </c>
      <c r="B2868" s="13" t="s">
        <v>178</v>
      </c>
      <c r="C2868" s="14" t="s">
        <v>2583</v>
      </c>
      <c r="D2868" s="14" t="s">
        <v>2584</v>
      </c>
      <c r="E2868" s="14" t="s">
        <v>2585</v>
      </c>
      <c r="F2868" s="14" t="s">
        <v>2586</v>
      </c>
      <c r="G2868" s="14" t="s">
        <v>2560</v>
      </c>
      <c r="H2868" s="4"/>
      <c r="I2868" s="4">
        <f t="shared" si="282"/>
        <v>0</v>
      </c>
      <c r="J2868" s="4"/>
      <c r="K2868" s="4">
        <f t="shared" si="274"/>
        <v>0</v>
      </c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 spans="1:26" ht="15.75" customHeight="1" x14ac:dyDescent="0.2">
      <c r="A2869" s="1">
        <v>271</v>
      </c>
      <c r="B2869" s="13" t="s">
        <v>896</v>
      </c>
      <c r="C2869" s="14" t="s">
        <v>2583</v>
      </c>
      <c r="D2869" s="14" t="s">
        <v>2584</v>
      </c>
      <c r="E2869" s="14" t="s">
        <v>2585</v>
      </c>
      <c r="F2869" s="14" t="s">
        <v>2586</v>
      </c>
      <c r="G2869" s="14" t="s">
        <v>2560</v>
      </c>
      <c r="H2869" s="4"/>
      <c r="I2869" s="4">
        <f t="shared" si="282"/>
        <v>0</v>
      </c>
      <c r="J2869" s="4"/>
      <c r="K2869" s="4">
        <f t="shared" si="274"/>
        <v>0</v>
      </c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 spans="1:26" ht="15.75" customHeight="1" x14ac:dyDescent="0.2">
      <c r="A2870" s="1">
        <v>13</v>
      </c>
      <c r="B2870" s="13" t="s">
        <v>411</v>
      </c>
      <c r="C2870" s="14" t="s">
        <v>2587</v>
      </c>
      <c r="D2870" s="14" t="s">
        <v>2588</v>
      </c>
      <c r="E2870" s="14" t="s">
        <v>2589</v>
      </c>
      <c r="F2870" s="14" t="s">
        <v>2590</v>
      </c>
      <c r="G2870" s="14" t="s">
        <v>2560</v>
      </c>
      <c r="H2870" s="4"/>
      <c r="I2870" s="4">
        <f t="shared" si="282"/>
        <v>0</v>
      </c>
      <c r="J2870" s="4"/>
      <c r="K2870" s="4">
        <f t="shared" si="274"/>
        <v>0</v>
      </c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 spans="1:26" ht="15.75" customHeight="1" x14ac:dyDescent="0.2">
      <c r="A2871" s="1">
        <v>35</v>
      </c>
      <c r="B2871" s="13" t="s">
        <v>2156</v>
      </c>
      <c r="C2871" s="14" t="s">
        <v>2587</v>
      </c>
      <c r="D2871" s="14" t="s">
        <v>2588</v>
      </c>
      <c r="E2871" s="14" t="s">
        <v>2589</v>
      </c>
      <c r="F2871" s="14" t="s">
        <v>2590</v>
      </c>
      <c r="G2871" s="14" t="s">
        <v>2560</v>
      </c>
      <c r="H2871" s="4"/>
      <c r="I2871" s="4">
        <f t="shared" si="282"/>
        <v>0</v>
      </c>
      <c r="J2871" s="4"/>
      <c r="K2871" s="4">
        <f t="shared" si="274"/>
        <v>0</v>
      </c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 spans="1:26" ht="15.75" customHeight="1" x14ac:dyDescent="0.2">
      <c r="A2872" s="1">
        <v>293</v>
      </c>
      <c r="B2872" s="13" t="s">
        <v>726</v>
      </c>
      <c r="C2872" s="14" t="s">
        <v>2587</v>
      </c>
      <c r="D2872" s="14" t="s">
        <v>2588</v>
      </c>
      <c r="E2872" s="14" t="s">
        <v>2589</v>
      </c>
      <c r="F2872" s="14" t="s">
        <v>2590</v>
      </c>
      <c r="G2872" s="14" t="s">
        <v>2560</v>
      </c>
      <c r="H2872" s="4"/>
      <c r="I2872" s="4">
        <f t="shared" si="282"/>
        <v>0</v>
      </c>
      <c r="J2872" s="4"/>
      <c r="K2872" s="4">
        <f t="shared" si="274"/>
        <v>0</v>
      </c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 spans="1:26" ht="15.75" customHeight="1" x14ac:dyDescent="0.2">
      <c r="A2873" s="1">
        <v>5</v>
      </c>
      <c r="B2873" s="13" t="s">
        <v>411</v>
      </c>
      <c r="C2873" s="14" t="s">
        <v>2591</v>
      </c>
      <c r="D2873" s="14" t="s">
        <v>2523</v>
      </c>
      <c r="E2873" s="14" t="s">
        <v>996</v>
      </c>
      <c r="F2873" s="14" t="s">
        <v>2592</v>
      </c>
      <c r="G2873" s="14" t="s">
        <v>2560</v>
      </c>
      <c r="H2873" s="4"/>
      <c r="I2873" s="4">
        <f t="shared" si="282"/>
        <v>0</v>
      </c>
      <c r="J2873" s="4"/>
      <c r="K2873" s="4">
        <f t="shared" si="274"/>
        <v>0</v>
      </c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 spans="1:26" ht="15.75" customHeight="1" x14ac:dyDescent="0.2">
      <c r="A2874" s="1">
        <v>93</v>
      </c>
      <c r="B2874" s="13" t="s">
        <v>226</v>
      </c>
      <c r="C2874" s="14" t="s">
        <v>2593</v>
      </c>
      <c r="D2874" s="14" t="s">
        <v>2588</v>
      </c>
      <c r="E2874" s="14" t="s">
        <v>2594</v>
      </c>
      <c r="F2874" s="14" t="s">
        <v>2592</v>
      </c>
      <c r="G2874" s="14" t="s">
        <v>2560</v>
      </c>
      <c r="H2874" s="4"/>
      <c r="I2874" s="4">
        <f t="shared" si="282"/>
        <v>0</v>
      </c>
      <c r="J2874" s="4"/>
      <c r="K2874" s="4">
        <f t="shared" si="274"/>
        <v>0</v>
      </c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 spans="1:26" ht="15.75" customHeight="1" x14ac:dyDescent="0.2">
      <c r="A2875" s="1">
        <v>191</v>
      </c>
      <c r="B2875" s="13" t="s">
        <v>1125</v>
      </c>
      <c r="C2875" s="14" t="s">
        <v>2595</v>
      </c>
      <c r="D2875" s="14" t="s">
        <v>2564</v>
      </c>
      <c r="E2875" s="14" t="s">
        <v>229</v>
      </c>
      <c r="F2875" s="14" t="s">
        <v>2592</v>
      </c>
      <c r="G2875" s="14" t="s">
        <v>2560</v>
      </c>
      <c r="H2875" s="4"/>
      <c r="I2875" s="4">
        <f t="shared" si="282"/>
        <v>0</v>
      </c>
      <c r="J2875" s="4"/>
      <c r="K2875" s="4">
        <f t="shared" si="274"/>
        <v>0</v>
      </c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 spans="1:26" ht="15.75" customHeight="1" x14ac:dyDescent="0.2">
      <c r="A2876" s="1">
        <v>203</v>
      </c>
      <c r="B2876" s="13" t="s">
        <v>1631</v>
      </c>
      <c r="C2876" s="14" t="s">
        <v>2595</v>
      </c>
      <c r="D2876" s="14" t="s">
        <v>2564</v>
      </c>
      <c r="E2876" s="14" t="s">
        <v>229</v>
      </c>
      <c r="F2876" s="14" t="s">
        <v>2592</v>
      </c>
      <c r="G2876" s="14" t="s">
        <v>2560</v>
      </c>
      <c r="H2876" s="4"/>
      <c r="I2876" s="4">
        <f t="shared" si="282"/>
        <v>0</v>
      </c>
      <c r="J2876" s="4"/>
      <c r="K2876" s="4">
        <f t="shared" si="274"/>
        <v>0</v>
      </c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 spans="1:26" ht="15.75" customHeight="1" x14ac:dyDescent="0.2">
      <c r="A2877" s="1">
        <v>327</v>
      </c>
      <c r="B2877" s="13" t="s">
        <v>2568</v>
      </c>
      <c r="C2877" s="14" t="s">
        <v>2596</v>
      </c>
      <c r="D2877" s="14" t="s">
        <v>1128</v>
      </c>
      <c r="E2877" s="14" t="s">
        <v>2597</v>
      </c>
      <c r="F2877" s="14" t="s">
        <v>2592</v>
      </c>
      <c r="G2877" s="14" t="s">
        <v>2560</v>
      </c>
      <c r="H2877" s="4"/>
      <c r="I2877" s="4">
        <f t="shared" si="282"/>
        <v>0</v>
      </c>
      <c r="J2877" s="4"/>
      <c r="K2877" s="4">
        <f t="shared" si="274"/>
        <v>0</v>
      </c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 spans="1:26" ht="15.75" customHeight="1" x14ac:dyDescent="0.2">
      <c r="A2878" s="1">
        <v>351</v>
      </c>
      <c r="B2878" s="13" t="s">
        <v>100</v>
      </c>
      <c r="C2878" s="14" t="s">
        <v>2598</v>
      </c>
      <c r="D2878" s="14" t="s">
        <v>1128</v>
      </c>
      <c r="E2878" s="14" t="s">
        <v>363</v>
      </c>
      <c r="F2878" s="14" t="s">
        <v>2592</v>
      </c>
      <c r="G2878" s="14" t="s">
        <v>2560</v>
      </c>
      <c r="H2878" s="4"/>
      <c r="I2878" s="4">
        <f t="shared" si="282"/>
        <v>0</v>
      </c>
      <c r="J2878" s="4"/>
      <c r="K2878" s="4">
        <f t="shared" si="274"/>
        <v>0</v>
      </c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 spans="1:26" ht="15.75" customHeight="1" x14ac:dyDescent="0.2">
      <c r="A2879" s="1">
        <v>9</v>
      </c>
      <c r="B2879" s="13" t="s">
        <v>411</v>
      </c>
      <c r="C2879" s="14" t="s">
        <v>2599</v>
      </c>
      <c r="D2879" s="14" t="s">
        <v>2600</v>
      </c>
      <c r="E2879" s="14" t="s">
        <v>2601</v>
      </c>
      <c r="F2879" s="14" t="s">
        <v>1542</v>
      </c>
      <c r="G2879" s="14" t="s">
        <v>2560</v>
      </c>
      <c r="H2879" s="4"/>
      <c r="I2879" s="4">
        <f t="shared" si="282"/>
        <v>0</v>
      </c>
      <c r="J2879" s="4"/>
      <c r="K2879" s="4">
        <f t="shared" si="274"/>
        <v>0</v>
      </c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 spans="1:26" ht="15.75" customHeight="1" x14ac:dyDescent="0.2">
      <c r="A2880" s="1">
        <v>29</v>
      </c>
      <c r="B2880" s="13" t="s">
        <v>2156</v>
      </c>
      <c r="C2880" s="14" t="s">
        <v>2599</v>
      </c>
      <c r="D2880" s="14" t="s">
        <v>2600</v>
      </c>
      <c r="E2880" s="14" t="s">
        <v>2601</v>
      </c>
      <c r="F2880" s="14" t="s">
        <v>1542</v>
      </c>
      <c r="G2880" s="14" t="s">
        <v>2560</v>
      </c>
      <c r="H2880" s="4"/>
      <c r="I2880" s="4">
        <f t="shared" si="282"/>
        <v>0</v>
      </c>
      <c r="J2880" s="4"/>
      <c r="K2880" s="4">
        <f t="shared" si="274"/>
        <v>0</v>
      </c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 spans="1:26" ht="15.75" customHeight="1" x14ac:dyDescent="0.2">
      <c r="A2881" s="1">
        <v>39</v>
      </c>
      <c r="B2881" s="13" t="s">
        <v>2156</v>
      </c>
      <c r="C2881" s="14" t="s">
        <v>2602</v>
      </c>
      <c r="D2881" s="14" t="s">
        <v>2603</v>
      </c>
      <c r="E2881" s="14" t="s">
        <v>2566</v>
      </c>
      <c r="F2881" s="14" t="s">
        <v>1542</v>
      </c>
      <c r="G2881" s="14" t="s">
        <v>2560</v>
      </c>
      <c r="H2881" s="4"/>
      <c r="I2881" s="4">
        <f t="shared" si="282"/>
        <v>0</v>
      </c>
      <c r="J2881" s="4"/>
      <c r="K2881" s="4">
        <f t="shared" si="274"/>
        <v>0</v>
      </c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 spans="1:26" ht="15.75" customHeight="1" x14ac:dyDescent="0.2">
      <c r="A2882" s="1">
        <v>105</v>
      </c>
      <c r="B2882" s="13" t="s">
        <v>415</v>
      </c>
      <c r="C2882" s="14" t="s">
        <v>2604</v>
      </c>
      <c r="D2882" s="14" t="s">
        <v>2603</v>
      </c>
      <c r="E2882" s="14" t="s">
        <v>2605</v>
      </c>
      <c r="F2882" s="14" t="s">
        <v>1542</v>
      </c>
      <c r="G2882" s="14" t="s">
        <v>2560</v>
      </c>
      <c r="H2882" s="4"/>
      <c r="I2882" s="4">
        <f t="shared" si="282"/>
        <v>0</v>
      </c>
      <c r="J2882" s="4"/>
      <c r="K2882" s="4">
        <f t="shared" si="274"/>
        <v>0</v>
      </c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 spans="1:26" ht="15.75" customHeight="1" x14ac:dyDescent="0.2">
      <c r="A2883" s="1">
        <v>147</v>
      </c>
      <c r="B2883" s="13" t="s">
        <v>2101</v>
      </c>
      <c r="C2883" s="14" t="s">
        <v>2606</v>
      </c>
      <c r="D2883" s="14" t="s">
        <v>2607</v>
      </c>
      <c r="E2883" s="14" t="s">
        <v>2608</v>
      </c>
      <c r="F2883" s="14" t="s">
        <v>1542</v>
      </c>
      <c r="G2883" s="14" t="s">
        <v>2560</v>
      </c>
      <c r="H2883" s="4"/>
      <c r="I2883" s="4">
        <f t="shared" si="282"/>
        <v>0</v>
      </c>
      <c r="J2883" s="4"/>
      <c r="K2883" s="4">
        <f t="shared" si="274"/>
        <v>0</v>
      </c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 spans="1:26" ht="15.75" customHeight="1" x14ac:dyDescent="0.2">
      <c r="A2884" s="1">
        <v>149</v>
      </c>
      <c r="B2884" s="13" t="s">
        <v>2101</v>
      </c>
      <c r="C2884" s="14" t="s">
        <v>2604</v>
      </c>
      <c r="D2884" s="14" t="s">
        <v>2603</v>
      </c>
      <c r="E2884" s="14" t="s">
        <v>2605</v>
      </c>
      <c r="F2884" s="14" t="s">
        <v>1542</v>
      </c>
      <c r="G2884" s="14" t="s">
        <v>2560</v>
      </c>
      <c r="H2884" s="4"/>
      <c r="I2884" s="4">
        <f t="shared" si="282"/>
        <v>0</v>
      </c>
      <c r="J2884" s="4"/>
      <c r="K2884" s="4">
        <f t="shared" si="274"/>
        <v>0</v>
      </c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 spans="1:26" ht="15.75" customHeight="1" x14ac:dyDescent="0.2">
      <c r="A2885" s="1">
        <v>159</v>
      </c>
      <c r="B2885" s="13" t="s">
        <v>1121</v>
      </c>
      <c r="C2885" s="14" t="s">
        <v>2606</v>
      </c>
      <c r="D2885" s="14" t="s">
        <v>2607</v>
      </c>
      <c r="E2885" s="14" t="s">
        <v>2608</v>
      </c>
      <c r="F2885" s="14" t="s">
        <v>1542</v>
      </c>
      <c r="G2885" s="14" t="s">
        <v>2560</v>
      </c>
      <c r="H2885" s="4"/>
      <c r="I2885" s="4">
        <f t="shared" si="282"/>
        <v>0</v>
      </c>
      <c r="J2885" s="4"/>
      <c r="K2885" s="4">
        <f t="shared" si="274"/>
        <v>0</v>
      </c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 spans="1:26" ht="15.75" customHeight="1" x14ac:dyDescent="0.2">
      <c r="A2886" s="1">
        <v>177</v>
      </c>
      <c r="B2886" s="13" t="s">
        <v>1125</v>
      </c>
      <c r="C2886" s="14" t="s">
        <v>2606</v>
      </c>
      <c r="D2886" s="14" t="s">
        <v>2607</v>
      </c>
      <c r="E2886" s="14" t="s">
        <v>2608</v>
      </c>
      <c r="F2886" s="14" t="s">
        <v>1542</v>
      </c>
      <c r="G2886" s="14" t="s">
        <v>2560</v>
      </c>
      <c r="H2886" s="4"/>
      <c r="I2886" s="4">
        <f t="shared" si="282"/>
        <v>0</v>
      </c>
      <c r="J2886" s="4"/>
      <c r="K2886" s="4">
        <f t="shared" si="274"/>
        <v>0</v>
      </c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 spans="1:26" ht="15.75" customHeight="1" x14ac:dyDescent="0.2">
      <c r="A2887" s="1">
        <v>179</v>
      </c>
      <c r="B2887" s="13" t="s">
        <v>1125</v>
      </c>
      <c r="C2887" s="14" t="s">
        <v>2604</v>
      </c>
      <c r="D2887" s="14" t="s">
        <v>2603</v>
      </c>
      <c r="E2887" s="14" t="s">
        <v>2605</v>
      </c>
      <c r="F2887" s="14" t="s">
        <v>1542</v>
      </c>
      <c r="G2887" s="14" t="s">
        <v>2560</v>
      </c>
      <c r="H2887" s="4"/>
      <c r="I2887" s="4">
        <f t="shared" si="282"/>
        <v>0</v>
      </c>
      <c r="J2887" s="4"/>
      <c r="K2887" s="4">
        <f t="shared" si="274"/>
        <v>0</v>
      </c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 spans="1:26" ht="15.75" customHeight="1" x14ac:dyDescent="0.2">
      <c r="A2888" s="1">
        <v>329</v>
      </c>
      <c r="B2888" s="13" t="s">
        <v>2568</v>
      </c>
      <c r="C2888" s="14" t="s">
        <v>2609</v>
      </c>
      <c r="D2888" s="14" t="s">
        <v>2610</v>
      </c>
      <c r="E2888" s="14" t="s">
        <v>2597</v>
      </c>
      <c r="F2888" s="14" t="s">
        <v>1542</v>
      </c>
      <c r="G2888" s="14" t="s">
        <v>2560</v>
      </c>
      <c r="H2888" s="4"/>
      <c r="I2888" s="4">
        <f t="shared" si="282"/>
        <v>0</v>
      </c>
      <c r="J2888" s="4"/>
      <c r="K2888" s="4">
        <f t="shared" si="274"/>
        <v>0</v>
      </c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 spans="1:26" ht="15.75" customHeight="1" x14ac:dyDescent="0.2">
      <c r="A2889" s="1">
        <v>335</v>
      </c>
      <c r="B2889" s="13" t="s">
        <v>95</v>
      </c>
      <c r="C2889" s="14" t="s">
        <v>2611</v>
      </c>
      <c r="D2889" s="14" t="s">
        <v>2612</v>
      </c>
      <c r="E2889" s="14" t="s">
        <v>2613</v>
      </c>
      <c r="F2889" s="14" t="s">
        <v>1542</v>
      </c>
      <c r="G2889" s="14" t="s">
        <v>2560</v>
      </c>
      <c r="H2889" s="4"/>
      <c r="I2889" s="4">
        <f t="shared" si="282"/>
        <v>0</v>
      </c>
      <c r="J2889" s="4"/>
      <c r="K2889" s="4">
        <f t="shared" si="274"/>
        <v>0</v>
      </c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 spans="1:26" ht="15.75" customHeight="1" x14ac:dyDescent="0.2">
      <c r="A2890" s="1">
        <v>337</v>
      </c>
      <c r="B2890" s="13" t="s">
        <v>95</v>
      </c>
      <c r="C2890" s="14" t="s">
        <v>2609</v>
      </c>
      <c r="D2890" s="14" t="s">
        <v>2610</v>
      </c>
      <c r="E2890" s="14" t="s">
        <v>2597</v>
      </c>
      <c r="F2890" s="14" t="s">
        <v>1542</v>
      </c>
      <c r="G2890" s="14" t="s">
        <v>2560</v>
      </c>
      <c r="H2890" s="4"/>
      <c r="I2890" s="4">
        <f t="shared" si="282"/>
        <v>0</v>
      </c>
      <c r="J2890" s="4"/>
      <c r="K2890" s="4">
        <f t="shared" si="274"/>
        <v>0</v>
      </c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 spans="1:26" ht="15.75" customHeight="1" x14ac:dyDescent="0.2">
      <c r="A2891" s="1">
        <v>207</v>
      </c>
      <c r="B2891" s="13" t="s">
        <v>1008</v>
      </c>
      <c r="C2891" s="14" t="s">
        <v>2614</v>
      </c>
      <c r="D2891" s="14" t="s">
        <v>2600</v>
      </c>
      <c r="E2891" s="14" t="s">
        <v>181</v>
      </c>
      <c r="F2891" s="14" t="s">
        <v>130</v>
      </c>
      <c r="G2891" s="14" t="s">
        <v>2560</v>
      </c>
      <c r="H2891" s="4"/>
      <c r="I2891" s="4">
        <f t="shared" si="282"/>
        <v>0</v>
      </c>
      <c r="J2891" s="4"/>
      <c r="K2891" s="4">
        <f t="shared" si="274"/>
        <v>0</v>
      </c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 spans="1:26" ht="15.75" customHeight="1" x14ac:dyDescent="0.2">
      <c r="A2892" s="1">
        <v>215</v>
      </c>
      <c r="B2892" s="13" t="s">
        <v>1636</v>
      </c>
      <c r="C2892" s="14" t="s">
        <v>2614</v>
      </c>
      <c r="D2892" s="14" t="s">
        <v>2600</v>
      </c>
      <c r="E2892" s="14" t="s">
        <v>181</v>
      </c>
      <c r="F2892" s="14" t="s">
        <v>130</v>
      </c>
      <c r="G2892" s="14" t="s">
        <v>2560</v>
      </c>
      <c r="H2892" s="4"/>
      <c r="I2892" s="4">
        <f t="shared" si="282"/>
        <v>0</v>
      </c>
      <c r="J2892" s="4"/>
      <c r="K2892" s="4">
        <f t="shared" si="274"/>
        <v>0</v>
      </c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 spans="1:26" ht="15.75" customHeight="1" x14ac:dyDescent="0.2">
      <c r="A2893" s="1">
        <v>259</v>
      </c>
      <c r="B2893" s="13" t="s">
        <v>2615</v>
      </c>
      <c r="C2893" s="14" t="s">
        <v>2616</v>
      </c>
      <c r="D2893" s="14" t="s">
        <v>2564</v>
      </c>
      <c r="E2893" s="14" t="s">
        <v>2617</v>
      </c>
      <c r="F2893" s="14" t="s">
        <v>2618</v>
      </c>
      <c r="G2893" s="14" t="s">
        <v>2560</v>
      </c>
      <c r="H2893" s="4"/>
      <c r="I2893" s="4">
        <f t="shared" si="282"/>
        <v>0</v>
      </c>
      <c r="J2893" s="4"/>
      <c r="K2893" s="4">
        <f t="shared" si="274"/>
        <v>0</v>
      </c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 spans="1:26" ht="15.75" customHeight="1" x14ac:dyDescent="0.2">
      <c r="A2894" s="1">
        <v>379</v>
      </c>
      <c r="B2894" s="13" t="s">
        <v>211</v>
      </c>
      <c r="C2894" s="14" t="s">
        <v>2619</v>
      </c>
      <c r="D2894" s="14" t="s">
        <v>2620</v>
      </c>
      <c r="E2894" s="14" t="s">
        <v>2621</v>
      </c>
      <c r="F2894" s="14" t="s">
        <v>2618</v>
      </c>
      <c r="G2894" s="14" t="s">
        <v>2560</v>
      </c>
      <c r="H2894" s="4"/>
      <c r="I2894" s="4">
        <f t="shared" si="282"/>
        <v>0</v>
      </c>
      <c r="J2894" s="4"/>
      <c r="K2894" s="4">
        <f t="shared" si="274"/>
        <v>0</v>
      </c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 spans="1:26" ht="15.75" customHeight="1" x14ac:dyDescent="0.2">
      <c r="A2895" s="1">
        <v>385</v>
      </c>
      <c r="B2895" s="13" t="s">
        <v>2556</v>
      </c>
      <c r="C2895" s="14" t="s">
        <v>2622</v>
      </c>
      <c r="D2895" s="14" t="s">
        <v>2623</v>
      </c>
      <c r="E2895" s="14" t="s">
        <v>2624</v>
      </c>
      <c r="F2895" s="14" t="s">
        <v>2618</v>
      </c>
      <c r="G2895" s="14" t="s">
        <v>2560</v>
      </c>
      <c r="H2895" s="4"/>
      <c r="I2895" s="4">
        <f t="shared" si="282"/>
        <v>0</v>
      </c>
      <c r="J2895" s="4"/>
      <c r="K2895" s="4">
        <f t="shared" si="274"/>
        <v>0</v>
      </c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 spans="1:26" ht="15.75" customHeight="1" x14ac:dyDescent="0.2">
      <c r="A2896" s="1">
        <v>113</v>
      </c>
      <c r="B2896" s="13" t="s">
        <v>415</v>
      </c>
      <c r="C2896" s="14" t="s">
        <v>2625</v>
      </c>
      <c r="D2896" s="14" t="s">
        <v>2626</v>
      </c>
      <c r="E2896" s="14" t="s">
        <v>2601</v>
      </c>
      <c r="F2896" s="14" t="s">
        <v>2627</v>
      </c>
      <c r="G2896" s="14" t="s">
        <v>2560</v>
      </c>
      <c r="H2896" s="4"/>
      <c r="I2896" s="4">
        <f t="shared" si="282"/>
        <v>0</v>
      </c>
      <c r="J2896" s="4"/>
      <c r="K2896" s="4">
        <f t="shared" si="274"/>
        <v>0</v>
      </c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 spans="1:26" ht="15.75" customHeight="1" x14ac:dyDescent="0.2">
      <c r="A2897" s="1">
        <v>131</v>
      </c>
      <c r="B2897" s="13" t="s">
        <v>2507</v>
      </c>
      <c r="C2897" s="14" t="s">
        <v>2628</v>
      </c>
      <c r="D2897" s="14" t="s">
        <v>2629</v>
      </c>
      <c r="E2897" s="14" t="s">
        <v>2630</v>
      </c>
      <c r="F2897" s="14" t="s">
        <v>2627</v>
      </c>
      <c r="G2897" s="14" t="s">
        <v>2560</v>
      </c>
      <c r="H2897" s="4"/>
      <c r="I2897" s="4">
        <f t="shared" si="282"/>
        <v>0</v>
      </c>
      <c r="J2897" s="4"/>
      <c r="K2897" s="4">
        <f t="shared" si="274"/>
        <v>0</v>
      </c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 spans="1:26" ht="15.75" customHeight="1" x14ac:dyDescent="0.2">
      <c r="A2898" s="1">
        <v>137</v>
      </c>
      <c r="B2898" s="13" t="s">
        <v>2631</v>
      </c>
      <c r="C2898" s="14" t="s">
        <v>2632</v>
      </c>
      <c r="D2898" s="14" t="s">
        <v>2633</v>
      </c>
      <c r="E2898" s="14" t="s">
        <v>2634</v>
      </c>
      <c r="F2898" s="14" t="s">
        <v>2627</v>
      </c>
      <c r="G2898" s="14" t="s">
        <v>2560</v>
      </c>
      <c r="H2898" s="4"/>
      <c r="I2898" s="4">
        <f t="shared" si="282"/>
        <v>0</v>
      </c>
      <c r="J2898" s="4"/>
      <c r="K2898" s="4">
        <f t="shared" si="274"/>
        <v>0</v>
      </c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 spans="1:26" ht="15.75" customHeight="1" x14ac:dyDescent="0.2">
      <c r="A2899" s="1">
        <v>139</v>
      </c>
      <c r="B2899" s="13" t="s">
        <v>2631</v>
      </c>
      <c r="C2899" s="14" t="s">
        <v>2635</v>
      </c>
      <c r="D2899" s="14" t="s">
        <v>615</v>
      </c>
      <c r="E2899" s="14" t="s">
        <v>363</v>
      </c>
      <c r="F2899" s="14" t="s">
        <v>2627</v>
      </c>
      <c r="G2899" s="14" t="s">
        <v>2560</v>
      </c>
      <c r="H2899" s="4"/>
      <c r="I2899" s="4">
        <f t="shared" si="282"/>
        <v>0</v>
      </c>
      <c r="J2899" s="4"/>
      <c r="K2899" s="4">
        <f t="shared" si="274"/>
        <v>0</v>
      </c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 spans="1:26" ht="15.75" customHeight="1" x14ac:dyDescent="0.2">
      <c r="A2900" s="1">
        <v>157</v>
      </c>
      <c r="B2900" s="13" t="s">
        <v>2101</v>
      </c>
      <c r="C2900" s="14" t="s">
        <v>2625</v>
      </c>
      <c r="D2900" s="14" t="s">
        <v>2626</v>
      </c>
      <c r="E2900" s="14" t="s">
        <v>2601</v>
      </c>
      <c r="F2900" s="14" t="s">
        <v>2627</v>
      </c>
      <c r="G2900" s="14" t="s">
        <v>2560</v>
      </c>
      <c r="H2900" s="4"/>
      <c r="I2900" s="4">
        <f t="shared" si="282"/>
        <v>0</v>
      </c>
      <c r="J2900" s="4"/>
      <c r="K2900" s="4">
        <f t="shared" si="274"/>
        <v>0</v>
      </c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 spans="1:26" ht="15.75" customHeight="1" x14ac:dyDescent="0.2">
      <c r="A2901" s="1">
        <v>167</v>
      </c>
      <c r="B2901" s="13" t="s">
        <v>1121</v>
      </c>
      <c r="C2901" s="14" t="s">
        <v>2636</v>
      </c>
      <c r="D2901" s="14" t="s">
        <v>2637</v>
      </c>
      <c r="E2901" s="14" t="s">
        <v>2638</v>
      </c>
      <c r="F2901" s="14" t="s">
        <v>2627</v>
      </c>
      <c r="G2901" s="14" t="s">
        <v>2560</v>
      </c>
      <c r="H2901" s="4"/>
      <c r="I2901" s="4">
        <f t="shared" si="282"/>
        <v>0</v>
      </c>
      <c r="J2901" s="4"/>
      <c r="K2901" s="4">
        <f t="shared" si="274"/>
        <v>0</v>
      </c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 spans="1:26" ht="15.75" customHeight="1" x14ac:dyDescent="0.2">
      <c r="A2902" s="1">
        <v>169</v>
      </c>
      <c r="B2902" s="13" t="s">
        <v>1121</v>
      </c>
      <c r="C2902" s="14" t="s">
        <v>2639</v>
      </c>
      <c r="D2902" s="14" t="s">
        <v>2603</v>
      </c>
      <c r="E2902" s="14" t="s">
        <v>329</v>
      </c>
      <c r="F2902" s="14" t="s">
        <v>2627</v>
      </c>
      <c r="G2902" s="14" t="s">
        <v>2560</v>
      </c>
      <c r="H2902" s="4"/>
      <c r="I2902" s="4">
        <f t="shared" si="282"/>
        <v>0</v>
      </c>
      <c r="J2902" s="4"/>
      <c r="K2902" s="4">
        <f t="shared" si="274"/>
        <v>0</v>
      </c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 spans="1:26" ht="15.75" customHeight="1" x14ac:dyDescent="0.2">
      <c r="A2903" s="1">
        <v>171</v>
      </c>
      <c r="B2903" s="13" t="s">
        <v>1121</v>
      </c>
      <c r="C2903" s="14" t="s">
        <v>2640</v>
      </c>
      <c r="D2903" s="14" t="s">
        <v>1119</v>
      </c>
      <c r="E2903" s="14" t="s">
        <v>2641</v>
      </c>
      <c r="F2903" s="14" t="s">
        <v>2627</v>
      </c>
      <c r="G2903" s="14" t="s">
        <v>2560</v>
      </c>
      <c r="H2903" s="4"/>
      <c r="I2903" s="4">
        <f t="shared" si="282"/>
        <v>0</v>
      </c>
      <c r="J2903" s="4"/>
      <c r="K2903" s="4">
        <f t="shared" si="274"/>
        <v>0</v>
      </c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 spans="1:26" ht="15.75" customHeight="1" x14ac:dyDescent="0.2">
      <c r="A2904" s="1">
        <v>189</v>
      </c>
      <c r="B2904" s="13" t="s">
        <v>1125</v>
      </c>
      <c r="C2904" s="14" t="s">
        <v>2625</v>
      </c>
      <c r="D2904" s="14" t="s">
        <v>2626</v>
      </c>
      <c r="E2904" s="14" t="s">
        <v>2601</v>
      </c>
      <c r="F2904" s="14" t="s">
        <v>2627</v>
      </c>
      <c r="G2904" s="14" t="s">
        <v>2560</v>
      </c>
      <c r="H2904" s="4"/>
      <c r="I2904" s="4">
        <f t="shared" si="282"/>
        <v>0</v>
      </c>
      <c r="J2904" s="4"/>
      <c r="K2904" s="4">
        <f t="shared" si="274"/>
        <v>0</v>
      </c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 spans="1:26" ht="15.75" customHeight="1" x14ac:dyDescent="0.2">
      <c r="A2905" s="1">
        <v>193</v>
      </c>
      <c r="B2905" s="13" t="s">
        <v>1125</v>
      </c>
      <c r="C2905" s="14" t="s">
        <v>2639</v>
      </c>
      <c r="D2905" s="14" t="s">
        <v>2603</v>
      </c>
      <c r="E2905" s="14" t="s">
        <v>329</v>
      </c>
      <c r="F2905" s="14" t="s">
        <v>2627</v>
      </c>
      <c r="G2905" s="14" t="s">
        <v>2560</v>
      </c>
      <c r="H2905" s="4"/>
      <c r="I2905" s="4">
        <f t="shared" si="282"/>
        <v>0</v>
      </c>
      <c r="J2905" s="4"/>
      <c r="K2905" s="4">
        <f t="shared" si="274"/>
        <v>0</v>
      </c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 spans="1:26" ht="15.75" customHeight="1" x14ac:dyDescent="0.2">
      <c r="A2906" s="1">
        <v>195</v>
      </c>
      <c r="B2906" s="13" t="s">
        <v>1125</v>
      </c>
      <c r="C2906" s="14" t="s">
        <v>2640</v>
      </c>
      <c r="D2906" s="14" t="s">
        <v>1119</v>
      </c>
      <c r="E2906" s="14" t="s">
        <v>2641</v>
      </c>
      <c r="F2906" s="14" t="s">
        <v>2627</v>
      </c>
      <c r="G2906" s="14" t="s">
        <v>2560</v>
      </c>
      <c r="H2906" s="4"/>
      <c r="I2906" s="4">
        <f t="shared" si="282"/>
        <v>0</v>
      </c>
      <c r="J2906" s="4"/>
      <c r="K2906" s="4">
        <f t="shared" si="274"/>
        <v>0</v>
      </c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 spans="1:26" ht="15.75" customHeight="1" x14ac:dyDescent="0.2">
      <c r="A2907" s="1">
        <v>265</v>
      </c>
      <c r="B2907" s="13" t="s">
        <v>23</v>
      </c>
      <c r="C2907" s="14" t="s">
        <v>2642</v>
      </c>
      <c r="D2907" s="14" t="s">
        <v>1904</v>
      </c>
      <c r="E2907" s="14" t="s">
        <v>2643</v>
      </c>
      <c r="F2907" s="14" t="s">
        <v>2627</v>
      </c>
      <c r="G2907" s="14" t="s">
        <v>2560</v>
      </c>
      <c r="H2907" s="4"/>
      <c r="I2907" s="4">
        <f t="shared" si="282"/>
        <v>0</v>
      </c>
      <c r="J2907" s="4"/>
      <c r="K2907" s="4">
        <f t="shared" si="274"/>
        <v>0</v>
      </c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 spans="1:26" ht="15.75" customHeight="1" x14ac:dyDescent="0.2">
      <c r="A2908" s="1">
        <v>325</v>
      </c>
      <c r="B2908" s="13" t="s">
        <v>2568</v>
      </c>
      <c r="C2908" s="14" t="s">
        <v>2644</v>
      </c>
      <c r="D2908" s="14" t="s">
        <v>2645</v>
      </c>
      <c r="E2908" s="14" t="s">
        <v>2621</v>
      </c>
      <c r="F2908" s="14" t="s">
        <v>2627</v>
      </c>
      <c r="G2908" s="14" t="s">
        <v>2560</v>
      </c>
      <c r="H2908" s="4"/>
      <c r="I2908" s="4">
        <f t="shared" si="282"/>
        <v>0</v>
      </c>
      <c r="J2908" s="4"/>
      <c r="K2908" s="4">
        <f t="shared" si="274"/>
        <v>0</v>
      </c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 spans="1:26" ht="15.75" customHeight="1" x14ac:dyDescent="0.2">
      <c r="A2909" s="1">
        <v>353</v>
      </c>
      <c r="B2909" s="13" t="s">
        <v>100</v>
      </c>
      <c r="C2909" s="14" t="s">
        <v>2646</v>
      </c>
      <c r="D2909" s="14" t="s">
        <v>2647</v>
      </c>
      <c r="E2909" s="14" t="s">
        <v>2648</v>
      </c>
      <c r="F2909" s="14" t="s">
        <v>2627</v>
      </c>
      <c r="G2909" s="14" t="s">
        <v>2560</v>
      </c>
      <c r="H2909" s="4"/>
      <c r="I2909" s="4">
        <f t="shared" si="282"/>
        <v>0</v>
      </c>
      <c r="J2909" s="4"/>
      <c r="K2909" s="4">
        <f t="shared" si="274"/>
        <v>0</v>
      </c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 spans="1:26" ht="15.75" customHeight="1" x14ac:dyDescent="0.2">
      <c r="A2910" s="1">
        <v>355</v>
      </c>
      <c r="B2910" s="13" t="s">
        <v>100</v>
      </c>
      <c r="C2910" s="14" t="s">
        <v>2649</v>
      </c>
      <c r="D2910" s="14" t="s">
        <v>2645</v>
      </c>
      <c r="E2910" s="14" t="s">
        <v>2597</v>
      </c>
      <c r="F2910" s="14" t="s">
        <v>2627</v>
      </c>
      <c r="G2910" s="14" t="s">
        <v>2560</v>
      </c>
      <c r="H2910" s="4"/>
      <c r="I2910" s="4">
        <f t="shared" si="282"/>
        <v>0</v>
      </c>
      <c r="J2910" s="4"/>
      <c r="K2910" s="4">
        <f t="shared" si="274"/>
        <v>0</v>
      </c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 spans="1:26" ht="15.75" customHeight="1" x14ac:dyDescent="0.2">
      <c r="A2911" s="1">
        <v>373</v>
      </c>
      <c r="B2911" s="13" t="s">
        <v>2534</v>
      </c>
      <c r="C2911" s="14" t="s">
        <v>2632</v>
      </c>
      <c r="D2911" s="14" t="s">
        <v>2633</v>
      </c>
      <c r="E2911" s="14" t="s">
        <v>2634</v>
      </c>
      <c r="F2911" s="14" t="s">
        <v>2627</v>
      </c>
      <c r="G2911" s="14" t="s">
        <v>2560</v>
      </c>
      <c r="H2911" s="4"/>
      <c r="I2911" s="4">
        <f t="shared" si="282"/>
        <v>0</v>
      </c>
      <c r="J2911" s="4"/>
      <c r="K2911" s="4">
        <f t="shared" si="274"/>
        <v>0</v>
      </c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 spans="1:26" ht="15.75" customHeight="1" x14ac:dyDescent="0.2">
      <c r="A2912" s="1">
        <v>375</v>
      </c>
      <c r="B2912" s="13" t="s">
        <v>2534</v>
      </c>
      <c r="C2912" s="14" t="s">
        <v>2635</v>
      </c>
      <c r="D2912" s="14" t="s">
        <v>615</v>
      </c>
      <c r="E2912" s="14" t="s">
        <v>363</v>
      </c>
      <c r="F2912" s="14" t="s">
        <v>2627</v>
      </c>
      <c r="G2912" s="14" t="s">
        <v>2560</v>
      </c>
      <c r="H2912" s="4"/>
      <c r="I2912" s="4">
        <f t="shared" si="282"/>
        <v>0</v>
      </c>
      <c r="J2912" s="4"/>
      <c r="K2912" s="4">
        <f t="shared" si="274"/>
        <v>0</v>
      </c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 spans="1:26" ht="15.75" customHeight="1" x14ac:dyDescent="0.2">
      <c r="A2913" s="1">
        <v>395</v>
      </c>
      <c r="B2913" s="13" t="s">
        <v>613</v>
      </c>
      <c r="C2913" s="14" t="s">
        <v>2650</v>
      </c>
      <c r="D2913" s="14" t="s">
        <v>2612</v>
      </c>
      <c r="E2913" s="14" t="s">
        <v>2651</v>
      </c>
      <c r="F2913" s="14" t="s">
        <v>2627</v>
      </c>
      <c r="G2913" s="14" t="s">
        <v>2560</v>
      </c>
      <c r="H2913" s="4"/>
      <c r="I2913" s="4">
        <f t="shared" si="282"/>
        <v>0</v>
      </c>
      <c r="J2913" s="4"/>
      <c r="K2913" s="4">
        <f t="shared" si="274"/>
        <v>0</v>
      </c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 spans="1:26" ht="15.75" customHeight="1" x14ac:dyDescent="0.2">
      <c r="A2914" s="1">
        <v>401</v>
      </c>
      <c r="B2914" s="13" t="s">
        <v>2652</v>
      </c>
      <c r="C2914" s="14" t="s">
        <v>2653</v>
      </c>
      <c r="D2914" s="14" t="s">
        <v>2654</v>
      </c>
      <c r="E2914" s="14" t="s">
        <v>2655</v>
      </c>
      <c r="F2914" s="14" t="s">
        <v>2627</v>
      </c>
      <c r="G2914" s="14" t="s">
        <v>2560</v>
      </c>
      <c r="H2914" s="4"/>
      <c r="I2914" s="4">
        <f t="shared" si="282"/>
        <v>0</v>
      </c>
      <c r="J2914" s="4"/>
      <c r="K2914" s="4">
        <f t="shared" si="274"/>
        <v>0</v>
      </c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 spans="1:26" ht="15.75" customHeight="1" x14ac:dyDescent="0.2">
      <c r="A2915" s="20">
        <v>407</v>
      </c>
      <c r="B2915" s="21" t="s">
        <v>1126</v>
      </c>
      <c r="C2915" s="22" t="s">
        <v>2628</v>
      </c>
      <c r="D2915" s="22" t="s">
        <v>2629</v>
      </c>
      <c r="E2915" s="22" t="s">
        <v>2630</v>
      </c>
      <c r="F2915" s="14" t="s">
        <v>2627</v>
      </c>
      <c r="G2915" s="14" t="s">
        <v>2560</v>
      </c>
      <c r="H2915" s="4"/>
      <c r="I2915" s="4">
        <f t="shared" si="282"/>
        <v>0</v>
      </c>
      <c r="J2915" s="4"/>
      <c r="K2915" s="4">
        <f t="shared" si="274"/>
        <v>0</v>
      </c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 spans="1:26" ht="15.75" customHeight="1" x14ac:dyDescent="0.2">
      <c r="A2916" s="1">
        <v>11</v>
      </c>
      <c r="B2916" s="13" t="s">
        <v>411</v>
      </c>
      <c r="C2916" s="14" t="s">
        <v>2656</v>
      </c>
      <c r="D2916" s="14" t="s">
        <v>2657</v>
      </c>
      <c r="E2916" s="14" t="s">
        <v>2566</v>
      </c>
      <c r="F2916" s="14" t="s">
        <v>2658</v>
      </c>
      <c r="G2916" s="14" t="s">
        <v>2560</v>
      </c>
      <c r="H2916" s="4"/>
      <c r="I2916" s="4">
        <f t="shared" si="282"/>
        <v>0</v>
      </c>
      <c r="J2916" s="4"/>
      <c r="K2916" s="4">
        <f t="shared" si="274"/>
        <v>0</v>
      </c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 spans="1:26" ht="15.75" customHeight="1" x14ac:dyDescent="0.2">
      <c r="A2917" s="1">
        <v>31</v>
      </c>
      <c r="B2917" s="13" t="s">
        <v>2156</v>
      </c>
      <c r="C2917" s="14" t="s">
        <v>2659</v>
      </c>
      <c r="D2917" s="14" t="s">
        <v>2660</v>
      </c>
      <c r="E2917" s="14" t="s">
        <v>2661</v>
      </c>
      <c r="F2917" s="14" t="s">
        <v>2658</v>
      </c>
      <c r="G2917" s="14" t="s">
        <v>2560</v>
      </c>
      <c r="H2917" s="4"/>
      <c r="I2917" s="4">
        <f t="shared" si="282"/>
        <v>0</v>
      </c>
      <c r="J2917" s="4"/>
      <c r="K2917" s="4">
        <f t="shared" si="274"/>
        <v>0</v>
      </c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 spans="1:26" ht="15.75" customHeight="1" x14ac:dyDescent="0.2">
      <c r="A2918" s="1">
        <v>33</v>
      </c>
      <c r="B2918" s="13" t="s">
        <v>2156</v>
      </c>
      <c r="C2918" s="14" t="s">
        <v>2656</v>
      </c>
      <c r="D2918" s="14" t="s">
        <v>2657</v>
      </c>
      <c r="E2918" s="14" t="s">
        <v>2566</v>
      </c>
      <c r="F2918" s="14" t="s">
        <v>2658</v>
      </c>
      <c r="G2918" s="14" t="s">
        <v>2560</v>
      </c>
      <c r="H2918" s="4"/>
      <c r="I2918" s="4">
        <f t="shared" si="282"/>
        <v>0</v>
      </c>
      <c r="J2918" s="4"/>
      <c r="K2918" s="4">
        <f t="shared" si="274"/>
        <v>0</v>
      </c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 spans="1:26" ht="15.75" customHeight="1" x14ac:dyDescent="0.2">
      <c r="A2919" s="1">
        <v>273</v>
      </c>
      <c r="B2919" s="13" t="s">
        <v>896</v>
      </c>
      <c r="C2919" s="14" t="s">
        <v>2662</v>
      </c>
      <c r="D2919" s="14" t="s">
        <v>2657</v>
      </c>
      <c r="E2919" s="14" t="s">
        <v>2566</v>
      </c>
      <c r="F2919" s="14" t="s">
        <v>2236</v>
      </c>
      <c r="G2919" s="14" t="s">
        <v>2560</v>
      </c>
      <c r="H2919" s="4"/>
      <c r="I2919" s="4">
        <f t="shared" si="282"/>
        <v>0</v>
      </c>
      <c r="J2919" s="4"/>
      <c r="K2919" s="4">
        <f t="shared" si="274"/>
        <v>0</v>
      </c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 spans="1:26" ht="15.75" customHeight="1" x14ac:dyDescent="0.2">
      <c r="A2920" s="1">
        <v>145</v>
      </c>
      <c r="B2920" s="13" t="s">
        <v>2101</v>
      </c>
      <c r="C2920" s="14" t="s">
        <v>2663</v>
      </c>
      <c r="D2920" s="14" t="s">
        <v>1119</v>
      </c>
      <c r="E2920" s="14" t="s">
        <v>2664</v>
      </c>
      <c r="F2920" s="14" t="s">
        <v>2665</v>
      </c>
      <c r="G2920" s="14" t="s">
        <v>2560</v>
      </c>
      <c r="H2920" s="4"/>
      <c r="I2920" s="4">
        <f t="shared" si="282"/>
        <v>0</v>
      </c>
      <c r="J2920" s="4"/>
      <c r="K2920" s="4">
        <f t="shared" si="274"/>
        <v>0</v>
      </c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 spans="1:26" ht="15.75" customHeight="1" x14ac:dyDescent="0.2">
      <c r="A2921" s="1">
        <v>361</v>
      </c>
      <c r="B2921" s="13" t="s">
        <v>101</v>
      </c>
      <c r="C2921" s="14" t="s">
        <v>2666</v>
      </c>
      <c r="D2921" s="14" t="s">
        <v>2612</v>
      </c>
      <c r="E2921" s="14" t="s">
        <v>2634</v>
      </c>
      <c r="F2921" s="14" t="s">
        <v>2665</v>
      </c>
      <c r="G2921" s="14" t="s">
        <v>2560</v>
      </c>
      <c r="H2921" s="4"/>
      <c r="I2921" s="4">
        <f t="shared" si="282"/>
        <v>0</v>
      </c>
      <c r="J2921" s="4"/>
      <c r="K2921" s="4">
        <f t="shared" si="274"/>
        <v>0</v>
      </c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 spans="1:26" ht="15.75" customHeight="1" x14ac:dyDescent="0.2">
      <c r="A2922" s="1">
        <v>367</v>
      </c>
      <c r="B2922" s="13" t="s">
        <v>2534</v>
      </c>
      <c r="C2922" s="14" t="s">
        <v>2666</v>
      </c>
      <c r="D2922" s="14" t="s">
        <v>2612</v>
      </c>
      <c r="E2922" s="14" t="s">
        <v>2634</v>
      </c>
      <c r="F2922" s="14" t="s">
        <v>2665</v>
      </c>
      <c r="G2922" s="14" t="s">
        <v>2560</v>
      </c>
      <c r="H2922" s="4"/>
      <c r="I2922" s="4">
        <f t="shared" si="282"/>
        <v>0</v>
      </c>
      <c r="J2922" s="4"/>
      <c r="K2922" s="4">
        <f t="shared" si="274"/>
        <v>0</v>
      </c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 spans="1:26" ht="15.75" customHeight="1" x14ac:dyDescent="0.2">
      <c r="A2923" s="1">
        <v>151</v>
      </c>
      <c r="B2923" s="13" t="s">
        <v>2101</v>
      </c>
      <c r="C2923" s="14" t="s">
        <v>2667</v>
      </c>
      <c r="D2923" s="14" t="s">
        <v>2668</v>
      </c>
      <c r="E2923" s="14" t="s">
        <v>2669</v>
      </c>
      <c r="F2923" s="14" t="s">
        <v>2670</v>
      </c>
      <c r="G2923" s="14" t="s">
        <v>2671</v>
      </c>
      <c r="H2923" s="4"/>
      <c r="I2923" s="4">
        <f t="shared" si="282"/>
        <v>0</v>
      </c>
      <c r="J2923" s="4"/>
      <c r="K2923" s="4">
        <f t="shared" si="274"/>
        <v>0</v>
      </c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 spans="1:26" ht="15.75" customHeight="1" x14ac:dyDescent="0.2">
      <c r="A2924" s="1">
        <v>161</v>
      </c>
      <c r="B2924" s="13" t="s">
        <v>1121</v>
      </c>
      <c r="C2924" s="14" t="s">
        <v>2667</v>
      </c>
      <c r="D2924" s="14" t="s">
        <v>2668</v>
      </c>
      <c r="E2924" s="14" t="s">
        <v>2669</v>
      </c>
      <c r="F2924" s="14" t="s">
        <v>2670</v>
      </c>
      <c r="G2924" s="14" t="s">
        <v>2671</v>
      </c>
      <c r="H2924" s="4"/>
      <c r="I2924" s="4">
        <f t="shared" si="282"/>
        <v>0</v>
      </c>
      <c r="J2924" s="4"/>
      <c r="K2924" s="4">
        <f t="shared" si="274"/>
        <v>0</v>
      </c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 spans="1:26" ht="15.75" customHeight="1" x14ac:dyDescent="0.2">
      <c r="A2925" s="1">
        <v>181</v>
      </c>
      <c r="B2925" s="13" t="s">
        <v>1125</v>
      </c>
      <c r="C2925" s="14" t="s">
        <v>2667</v>
      </c>
      <c r="D2925" s="14" t="s">
        <v>2668</v>
      </c>
      <c r="E2925" s="14" t="s">
        <v>2669</v>
      </c>
      <c r="F2925" s="14" t="s">
        <v>2670</v>
      </c>
      <c r="G2925" s="14" t="s">
        <v>2671</v>
      </c>
      <c r="H2925" s="4"/>
      <c r="I2925" s="4">
        <f t="shared" si="282"/>
        <v>0</v>
      </c>
      <c r="J2925" s="4"/>
      <c r="K2925" s="4">
        <f t="shared" si="274"/>
        <v>0</v>
      </c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 spans="1:26" ht="15.75" customHeight="1" x14ac:dyDescent="0.2">
      <c r="A2926" s="1">
        <v>2349</v>
      </c>
      <c r="B2926" s="13" t="s">
        <v>1700</v>
      </c>
      <c r="C2926" s="14" t="s">
        <v>2672</v>
      </c>
      <c r="D2926" s="14" t="s">
        <v>2673</v>
      </c>
      <c r="E2926" s="14"/>
      <c r="F2926" s="14" t="s">
        <v>2674</v>
      </c>
      <c r="G2926" s="14" t="s">
        <v>2675</v>
      </c>
      <c r="H2926" s="4"/>
      <c r="I2926" s="4">
        <f t="shared" si="282"/>
        <v>0</v>
      </c>
      <c r="J2926" s="4"/>
      <c r="K2926" s="4">
        <f t="shared" si="274"/>
        <v>0</v>
      </c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 spans="1:26" ht="15.75" customHeight="1" x14ac:dyDescent="0.2">
      <c r="A2927" s="1">
        <v>2535</v>
      </c>
      <c r="B2927" s="13" t="s">
        <v>1587</v>
      </c>
      <c r="C2927" s="14" t="s">
        <v>2672</v>
      </c>
      <c r="D2927" s="14" t="s">
        <v>2676</v>
      </c>
      <c r="E2927" s="14"/>
      <c r="F2927" s="14" t="s">
        <v>2674</v>
      </c>
      <c r="G2927" s="14" t="s">
        <v>2675</v>
      </c>
      <c r="H2927" s="4"/>
      <c r="I2927" s="4">
        <f t="shared" si="282"/>
        <v>0</v>
      </c>
      <c r="J2927" s="4"/>
      <c r="K2927" s="4">
        <f t="shared" si="274"/>
        <v>0</v>
      </c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 spans="1:26" ht="15.75" customHeight="1" x14ac:dyDescent="0.2">
      <c r="A2928" s="1">
        <v>2973</v>
      </c>
      <c r="B2928" s="13" t="s">
        <v>1138</v>
      </c>
      <c r="C2928" s="14" t="s">
        <v>2672</v>
      </c>
      <c r="D2928" s="14" t="s">
        <v>2677</v>
      </c>
      <c r="E2928" s="14"/>
      <c r="F2928" s="14" t="s">
        <v>2674</v>
      </c>
      <c r="G2928" s="14" t="s">
        <v>2675</v>
      </c>
      <c r="H2928" s="4"/>
      <c r="I2928" s="4">
        <f t="shared" si="282"/>
        <v>0</v>
      </c>
      <c r="J2928" s="4"/>
      <c r="K2928" s="4">
        <f t="shared" si="274"/>
        <v>0</v>
      </c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 spans="1:26" ht="15.75" customHeight="1" x14ac:dyDescent="0.2">
      <c r="A2929" s="1">
        <v>3</v>
      </c>
      <c r="B2929" s="13" t="s">
        <v>411</v>
      </c>
      <c r="C2929" s="14" t="s">
        <v>2672</v>
      </c>
      <c r="D2929" s="14" t="s">
        <v>2673</v>
      </c>
      <c r="E2929" s="14"/>
      <c r="F2929" s="14" t="s">
        <v>2674</v>
      </c>
      <c r="G2929" s="14" t="s">
        <v>2675</v>
      </c>
      <c r="H2929" s="4"/>
      <c r="I2929" s="4">
        <f t="shared" si="282"/>
        <v>0</v>
      </c>
      <c r="J2929" s="4"/>
      <c r="K2929" s="4">
        <f t="shared" si="274"/>
        <v>0</v>
      </c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 spans="1:26" ht="15.75" customHeight="1" x14ac:dyDescent="0.2">
      <c r="A2930" s="1">
        <v>51</v>
      </c>
      <c r="B2930" s="13" t="s">
        <v>226</v>
      </c>
      <c r="C2930" s="14" t="s">
        <v>2672</v>
      </c>
      <c r="D2930" s="14" t="s">
        <v>2673</v>
      </c>
      <c r="E2930" s="14"/>
      <c r="F2930" s="14" t="s">
        <v>2674</v>
      </c>
      <c r="G2930" s="14" t="s">
        <v>2675</v>
      </c>
      <c r="H2930" s="4"/>
      <c r="I2930" s="4">
        <f t="shared" si="282"/>
        <v>0</v>
      </c>
      <c r="J2930" s="4"/>
      <c r="K2930" s="4">
        <f t="shared" si="274"/>
        <v>0</v>
      </c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 spans="1:26" ht="15.75" customHeight="1" x14ac:dyDescent="0.2">
      <c r="A2931" s="1">
        <v>99</v>
      </c>
      <c r="B2931" s="13" t="s">
        <v>415</v>
      </c>
      <c r="C2931" s="14" t="s">
        <v>2672</v>
      </c>
      <c r="D2931" s="14" t="s">
        <v>2673</v>
      </c>
      <c r="E2931" s="14"/>
      <c r="F2931" s="14" t="s">
        <v>2674</v>
      </c>
      <c r="G2931" s="14" t="s">
        <v>2675</v>
      </c>
      <c r="H2931" s="4"/>
      <c r="I2931" s="4">
        <f t="shared" si="282"/>
        <v>0</v>
      </c>
      <c r="J2931" s="4"/>
      <c r="K2931" s="4">
        <f t="shared" si="274"/>
        <v>0</v>
      </c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 spans="1:26" ht="15.75" customHeight="1" x14ac:dyDescent="0.2">
      <c r="A2932" s="1">
        <v>141</v>
      </c>
      <c r="B2932" s="13" t="s">
        <v>2101</v>
      </c>
      <c r="C2932" s="14" t="s">
        <v>2672</v>
      </c>
      <c r="D2932" s="14" t="s">
        <v>2673</v>
      </c>
      <c r="E2932" s="14"/>
      <c r="F2932" s="14" t="s">
        <v>2674</v>
      </c>
      <c r="G2932" s="14" t="s">
        <v>2675</v>
      </c>
      <c r="H2932" s="4"/>
      <c r="I2932" s="4">
        <f t="shared" si="282"/>
        <v>0</v>
      </c>
      <c r="J2932" s="4"/>
      <c r="K2932" s="4">
        <f t="shared" si="274"/>
        <v>0</v>
      </c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 spans="1:26" ht="15.75" customHeight="1" x14ac:dyDescent="0.2">
      <c r="A2933" s="1">
        <v>225</v>
      </c>
      <c r="B2933" s="13" t="s">
        <v>2533</v>
      </c>
      <c r="C2933" s="14" t="s">
        <v>2672</v>
      </c>
      <c r="D2933" s="14" t="s">
        <v>2673</v>
      </c>
      <c r="E2933" s="14"/>
      <c r="F2933" s="14" t="s">
        <v>2674</v>
      </c>
      <c r="G2933" s="14" t="s">
        <v>2675</v>
      </c>
      <c r="H2933" s="4"/>
      <c r="I2933" s="4">
        <f t="shared" si="282"/>
        <v>0</v>
      </c>
      <c r="J2933" s="4"/>
      <c r="K2933" s="4">
        <f t="shared" si="274"/>
        <v>0</v>
      </c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 spans="1:26" ht="15.75" customHeight="1" x14ac:dyDescent="0.2">
      <c r="A2934" s="1">
        <v>83</v>
      </c>
      <c r="B2934" s="13" t="s">
        <v>226</v>
      </c>
      <c r="C2934" s="14" t="s">
        <v>2678</v>
      </c>
      <c r="D2934" s="14" t="s">
        <v>2679</v>
      </c>
      <c r="E2934" s="14" t="s">
        <v>2680</v>
      </c>
      <c r="F2934" s="14" t="s">
        <v>2681</v>
      </c>
      <c r="G2934" s="14"/>
      <c r="H2934" s="4"/>
      <c r="I2934" s="4">
        <f t="shared" si="282"/>
        <v>0</v>
      </c>
      <c r="J2934" s="4"/>
      <c r="K2934" s="4">
        <f t="shared" si="274"/>
        <v>0</v>
      </c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 spans="1:26" ht="15.75" customHeight="1" x14ac:dyDescent="0.2">
      <c r="A2935" s="1">
        <v>111</v>
      </c>
      <c r="B2935" s="13" t="s">
        <v>415</v>
      </c>
      <c r="C2935" s="14" t="s">
        <v>2678</v>
      </c>
      <c r="D2935" s="14" t="s">
        <v>2679</v>
      </c>
      <c r="E2935" s="14" t="s">
        <v>2680</v>
      </c>
      <c r="F2935" s="14" t="s">
        <v>2681</v>
      </c>
      <c r="G2935" s="14"/>
      <c r="H2935" s="4"/>
      <c r="I2935" s="4">
        <f t="shared" si="282"/>
        <v>0</v>
      </c>
      <c r="J2935" s="4"/>
      <c r="K2935" s="4">
        <f t="shared" si="274"/>
        <v>0</v>
      </c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 spans="1:26" ht="15.75" customHeight="1" x14ac:dyDescent="0.2">
      <c r="A2936" s="1">
        <v>153</v>
      </c>
      <c r="B2936" s="13" t="s">
        <v>2101</v>
      </c>
      <c r="C2936" s="14" t="s">
        <v>2678</v>
      </c>
      <c r="D2936" s="14" t="s">
        <v>2679</v>
      </c>
      <c r="E2936" s="14" t="s">
        <v>2680</v>
      </c>
      <c r="F2936" s="14" t="s">
        <v>2681</v>
      </c>
      <c r="G2936" s="14"/>
      <c r="H2936" s="4"/>
      <c r="I2936" s="4">
        <f t="shared" si="282"/>
        <v>0</v>
      </c>
      <c r="J2936" s="4"/>
      <c r="K2936" s="4">
        <f t="shared" si="274"/>
        <v>0</v>
      </c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 spans="1:26" ht="15.75" customHeight="1" x14ac:dyDescent="0.2">
      <c r="A2937" s="1">
        <v>185</v>
      </c>
      <c r="B2937" s="13" t="s">
        <v>1125</v>
      </c>
      <c r="C2937" s="14" t="s">
        <v>2678</v>
      </c>
      <c r="D2937" s="14" t="s">
        <v>2679</v>
      </c>
      <c r="E2937" s="14" t="s">
        <v>2680</v>
      </c>
      <c r="F2937" s="14" t="s">
        <v>2681</v>
      </c>
      <c r="G2937" s="14"/>
      <c r="H2937" s="4"/>
      <c r="I2937" s="4">
        <f t="shared" si="282"/>
        <v>0</v>
      </c>
      <c r="J2937" s="4"/>
      <c r="K2937" s="4">
        <f t="shared" si="274"/>
        <v>0</v>
      </c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 spans="1:26" ht="15.75" customHeight="1" x14ac:dyDescent="0.2">
      <c r="A2938" s="1">
        <v>81</v>
      </c>
      <c r="B2938" s="13" t="s">
        <v>226</v>
      </c>
      <c r="C2938" s="14" t="s">
        <v>2682</v>
      </c>
      <c r="D2938" s="14" t="s">
        <v>2683</v>
      </c>
      <c r="E2938" s="14" t="s">
        <v>2684</v>
      </c>
      <c r="F2938" s="14" t="s">
        <v>2685</v>
      </c>
      <c r="G2938" s="14"/>
      <c r="H2938" s="4"/>
      <c r="I2938" s="4">
        <f t="shared" si="282"/>
        <v>0</v>
      </c>
      <c r="J2938" s="4"/>
      <c r="K2938" s="4">
        <f t="shared" si="274"/>
        <v>0</v>
      </c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 spans="1:26" ht="15.75" customHeight="1" x14ac:dyDescent="0.2">
      <c r="A2939" s="1">
        <v>237</v>
      </c>
      <c r="B2939" s="13" t="s">
        <v>19</v>
      </c>
      <c r="C2939" s="14" t="s">
        <v>2686</v>
      </c>
      <c r="D2939" s="14" t="s">
        <v>2687</v>
      </c>
      <c r="E2939" s="14" t="s">
        <v>2688</v>
      </c>
      <c r="F2939" s="14" t="s">
        <v>2689</v>
      </c>
      <c r="G2939" s="14"/>
      <c r="H2939" s="4"/>
      <c r="I2939" s="4">
        <f t="shared" si="282"/>
        <v>0</v>
      </c>
      <c r="J2939" s="4"/>
      <c r="K2939" s="4">
        <f t="shared" si="274"/>
        <v>0</v>
      </c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 spans="1:26" ht="15.75" customHeight="1" x14ac:dyDescent="0.2">
      <c r="A2940" s="1">
        <v>211</v>
      </c>
      <c r="B2940" s="13" t="s">
        <v>1008</v>
      </c>
      <c r="C2940" s="14" t="s">
        <v>2690</v>
      </c>
      <c r="D2940" s="14" t="s">
        <v>2691</v>
      </c>
      <c r="E2940" s="14"/>
      <c r="F2940" s="14" t="s">
        <v>2692</v>
      </c>
      <c r="G2940" s="14"/>
      <c r="H2940" s="4"/>
      <c r="I2940" s="4">
        <f t="shared" si="282"/>
        <v>0</v>
      </c>
      <c r="J2940" s="4"/>
      <c r="K2940" s="4">
        <f t="shared" si="274"/>
        <v>0</v>
      </c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 spans="1:26" ht="15.75" customHeight="1" x14ac:dyDescent="0.2">
      <c r="A2941" s="1">
        <v>219</v>
      </c>
      <c r="B2941" s="13" t="s">
        <v>1636</v>
      </c>
      <c r="C2941" s="14" t="s">
        <v>2690</v>
      </c>
      <c r="D2941" s="14" t="s">
        <v>2691</v>
      </c>
      <c r="E2941" s="14"/>
      <c r="F2941" s="14" t="s">
        <v>2692</v>
      </c>
      <c r="G2941" s="14"/>
      <c r="H2941" s="4"/>
      <c r="I2941" s="4">
        <f t="shared" si="282"/>
        <v>0</v>
      </c>
      <c r="J2941" s="4"/>
      <c r="K2941" s="4">
        <f t="shared" si="274"/>
        <v>0</v>
      </c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 spans="1:26" ht="15.75" customHeight="1" x14ac:dyDescent="0.2">
      <c r="A2942" s="1">
        <v>249</v>
      </c>
      <c r="B2942" s="13" t="s">
        <v>178</v>
      </c>
      <c r="C2942" s="14" t="s">
        <v>2693</v>
      </c>
      <c r="D2942" s="14" t="s">
        <v>2694</v>
      </c>
      <c r="E2942" s="14"/>
      <c r="F2942" s="14" t="s">
        <v>2695</v>
      </c>
      <c r="G2942" s="14"/>
      <c r="H2942" s="4"/>
      <c r="I2942" s="4">
        <f t="shared" si="282"/>
        <v>0</v>
      </c>
      <c r="J2942" s="4"/>
      <c r="K2942" s="4">
        <f t="shared" si="274"/>
        <v>0</v>
      </c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 spans="1:26" ht="15.75" customHeight="1" x14ac:dyDescent="0.2">
      <c r="A2943" s="1">
        <v>255</v>
      </c>
      <c r="B2943" s="13" t="s">
        <v>2615</v>
      </c>
      <c r="C2943" s="14" t="s">
        <v>2696</v>
      </c>
      <c r="D2943" s="14" t="s">
        <v>2697</v>
      </c>
      <c r="E2943" s="14"/>
      <c r="F2943" s="14" t="s">
        <v>2698</v>
      </c>
      <c r="G2943" s="14"/>
      <c r="H2943" s="4"/>
      <c r="I2943" s="4">
        <f t="shared" si="282"/>
        <v>0</v>
      </c>
      <c r="J2943" s="4"/>
      <c r="K2943" s="4">
        <f t="shared" si="274"/>
        <v>0</v>
      </c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 spans="1:26" ht="15.75" customHeight="1" x14ac:dyDescent="0.2">
      <c r="A2944" s="1">
        <v>23</v>
      </c>
      <c r="B2944" s="13" t="s">
        <v>411</v>
      </c>
      <c r="C2944" s="14" t="s">
        <v>2699</v>
      </c>
      <c r="D2944" s="14" t="s">
        <v>2700</v>
      </c>
      <c r="E2944" s="14"/>
      <c r="F2944" s="14" t="s">
        <v>2701</v>
      </c>
      <c r="G2944" s="14"/>
      <c r="H2944" s="4"/>
      <c r="I2944" s="4">
        <f t="shared" si="282"/>
        <v>0</v>
      </c>
      <c r="J2944" s="4"/>
      <c r="K2944" s="4">
        <f t="shared" si="274"/>
        <v>0</v>
      </c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 spans="1:26" ht="15.75" customHeight="1" x14ac:dyDescent="0.2">
      <c r="A2945" s="1">
        <v>41</v>
      </c>
      <c r="B2945" s="13" t="s">
        <v>2156</v>
      </c>
      <c r="C2945" s="14" t="s">
        <v>2699</v>
      </c>
      <c r="D2945" s="14" t="s">
        <v>2700</v>
      </c>
      <c r="E2945" s="14"/>
      <c r="F2945" s="14" t="s">
        <v>2701</v>
      </c>
      <c r="G2945" s="14"/>
      <c r="H2945" s="4"/>
      <c r="I2945" s="4">
        <f t="shared" si="282"/>
        <v>0</v>
      </c>
      <c r="J2945" s="4"/>
      <c r="K2945" s="4">
        <f t="shared" si="274"/>
        <v>0</v>
      </c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 spans="1:26" ht="15.75" customHeight="1" x14ac:dyDescent="0.2">
      <c r="A2946" s="1">
        <v>321</v>
      </c>
      <c r="B2946" s="13" t="s">
        <v>2568</v>
      </c>
      <c r="C2946" s="14" t="s">
        <v>2702</v>
      </c>
      <c r="D2946" s="14" t="s">
        <v>2703</v>
      </c>
      <c r="E2946" s="14"/>
      <c r="F2946" s="14" t="s">
        <v>2704</v>
      </c>
      <c r="G2946" s="14"/>
      <c r="H2946" s="4"/>
      <c r="I2946" s="4">
        <f t="shared" si="282"/>
        <v>0</v>
      </c>
      <c r="J2946" s="4"/>
      <c r="K2946" s="4">
        <f t="shared" si="274"/>
        <v>0</v>
      </c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 spans="1:26" ht="15.75" customHeight="1" x14ac:dyDescent="0.2">
      <c r="A2947" s="1">
        <v>333</v>
      </c>
      <c r="B2947" s="13" t="s">
        <v>95</v>
      </c>
      <c r="C2947" s="14" t="s">
        <v>2702</v>
      </c>
      <c r="D2947" s="14" t="s">
        <v>2703</v>
      </c>
      <c r="E2947" s="14"/>
      <c r="F2947" s="14" t="s">
        <v>2704</v>
      </c>
      <c r="G2947" s="14"/>
      <c r="H2947" s="4"/>
      <c r="I2947" s="4">
        <f t="shared" si="282"/>
        <v>0</v>
      </c>
      <c r="J2947" s="4"/>
      <c r="K2947" s="4">
        <f t="shared" si="274"/>
        <v>0</v>
      </c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 spans="1:26" ht="15.75" customHeight="1" x14ac:dyDescent="0.2">
      <c r="A2948" s="1">
        <v>347</v>
      </c>
      <c r="B2948" s="13" t="s">
        <v>100</v>
      </c>
      <c r="C2948" s="14" t="s">
        <v>2702</v>
      </c>
      <c r="D2948" s="14" t="s">
        <v>2703</v>
      </c>
      <c r="E2948" s="14"/>
      <c r="F2948" s="14" t="s">
        <v>2704</v>
      </c>
      <c r="G2948" s="14"/>
      <c r="H2948" s="4"/>
      <c r="I2948" s="4">
        <f t="shared" si="282"/>
        <v>0</v>
      </c>
      <c r="J2948" s="4"/>
      <c r="K2948" s="4">
        <f t="shared" si="274"/>
        <v>0</v>
      </c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 spans="1:26" ht="15.75" customHeight="1" x14ac:dyDescent="0.2">
      <c r="A2949" s="1">
        <v>129</v>
      </c>
      <c r="B2949" s="13" t="s">
        <v>360</v>
      </c>
      <c r="C2949" s="14" t="s">
        <v>2705</v>
      </c>
      <c r="D2949" s="14" t="s">
        <v>1128</v>
      </c>
      <c r="E2949" s="14" t="s">
        <v>2706</v>
      </c>
      <c r="F2949" s="14" t="s">
        <v>2707</v>
      </c>
      <c r="G2949" s="14"/>
      <c r="H2949" s="4"/>
      <c r="I2949" s="4">
        <f t="shared" si="282"/>
        <v>0</v>
      </c>
      <c r="J2949" s="4"/>
      <c r="K2949" s="4">
        <f t="shared" si="274"/>
        <v>0</v>
      </c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 spans="1:26" ht="15.75" customHeight="1" x14ac:dyDescent="0.2">
      <c r="A2950" s="18">
        <v>257</v>
      </c>
      <c r="B2950" s="30" t="s">
        <v>2615</v>
      </c>
      <c r="C2950" s="31" t="s">
        <v>2708</v>
      </c>
      <c r="D2950" s="31" t="s">
        <v>2679</v>
      </c>
      <c r="E2950" s="31" t="s">
        <v>2709</v>
      </c>
      <c r="F2950" s="14" t="s">
        <v>2710</v>
      </c>
      <c r="G2950" s="14"/>
      <c r="H2950" s="5"/>
      <c r="I2950" s="5">
        <f t="shared" si="282"/>
        <v>0</v>
      </c>
      <c r="J2950" s="5"/>
      <c r="K2950" s="5">
        <f t="shared" si="274"/>
        <v>0</v>
      </c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 spans="1:26" ht="15.75" customHeight="1" x14ac:dyDescent="0.2">
      <c r="A2951" s="18"/>
      <c r="B2951" s="5" t="s">
        <v>466</v>
      </c>
      <c r="C2951" s="32" t="s">
        <v>2715</v>
      </c>
      <c r="D2951" s="33" t="s">
        <v>474</v>
      </c>
      <c r="E2951" s="33" t="s">
        <v>348</v>
      </c>
      <c r="F2951" s="33" t="s">
        <v>469</v>
      </c>
      <c r="G2951" s="33" t="s">
        <v>432</v>
      </c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 spans="1:26" ht="15.75" customHeight="1" x14ac:dyDescent="0.2">
      <c r="A2952" s="18"/>
      <c r="B2952" s="5" t="s">
        <v>2716</v>
      </c>
      <c r="C2952" s="32" t="s">
        <v>2717</v>
      </c>
      <c r="D2952" s="33" t="s">
        <v>1242</v>
      </c>
      <c r="E2952" s="33"/>
      <c r="F2952" s="33" t="s">
        <v>1233</v>
      </c>
      <c r="G2952" s="33" t="s">
        <v>1207</v>
      </c>
      <c r="H2952" s="4">
        <v>1</v>
      </c>
      <c r="I2952" s="4">
        <f>H2952*1800</f>
        <v>1800</v>
      </c>
      <c r="J2952" s="4"/>
      <c r="K2952" s="4">
        <f>J2952*4000</f>
        <v>0</v>
      </c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</sheetData>
  <autoFilter ref="A1:Z2950" xr:uid="{00000000-0009-0000-0000-000001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СПИСОК СПОРТСМЕНОВ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Сапунов</cp:lastModifiedBy>
  <dcterms:created xsi:type="dcterms:W3CDTF">2025-11-16T05:10:10Z</dcterms:created>
  <dcterms:modified xsi:type="dcterms:W3CDTF">2025-11-16T07:59:43Z</dcterms:modified>
</cp:coreProperties>
</file>